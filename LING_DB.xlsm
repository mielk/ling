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360" yWindow="75" windowWidth="15315" windowHeight="5445" activeTab="5"/>
  </bookViews>
  <sheets>
    <sheet name="TABLES" sheetId="1" r:id="rId1"/>
    <sheet name="Sheet3" sheetId="3" r:id="rId2"/>
    <sheet name="Sheet2" sheetId="2" r:id="rId3"/>
    <sheet name="Metawords" sheetId="4" r:id="rId4"/>
    <sheet name="Kategorie" sheetId="5" r:id="rId5"/>
    <sheet name="Words" sheetId="6" r:id="rId6"/>
    <sheet name="POL" sheetId="9" r:id="rId7"/>
    <sheet name="Sheet4" sheetId="7" r:id="rId8"/>
    <sheet name="convert categories to sql" sheetId="8" r:id="rId9"/>
    <sheet name="commands" sheetId="10" r:id="rId10"/>
  </sheets>
  <definedNames>
    <definedName name="_xlnm._FilterDatabase" localSheetId="9" hidden="1">commands!$A$1:$A$612</definedName>
    <definedName name="_xlnm._FilterDatabase" localSheetId="8" hidden="1">'convert categories to sql'!$A$1:$C$503</definedName>
    <definedName name="_xlnm._FilterDatabase" localSheetId="3" hidden="1">Metawords!$A$1:$M$629</definedName>
    <definedName name="_xlnm._FilterDatabase" localSheetId="6" hidden="1">POL!$A$1:$AN$155</definedName>
    <definedName name="_xlnm._FilterDatabase" localSheetId="2" hidden="1">Sheet2!$A$1:$I$36</definedName>
    <definedName name="_xlnm._FilterDatabase" localSheetId="5" hidden="1">Words!$A$1:$L$430</definedName>
    <definedName name="Kategorie">OFFSET(Kategorie!$A$1,1,1,COUNTA(Kategorie!$E:$E)-1,9)</definedName>
  </definedNames>
  <calcPr calcId="125725"/>
</workbook>
</file>

<file path=xl/calcChain.xml><?xml version="1.0" encoding="utf-8"?>
<calcChain xmlns="http://schemas.openxmlformats.org/spreadsheetml/2006/main">
  <c r="W153" i="9"/>
  <c r="AM153" s="1"/>
  <c r="W151"/>
  <c r="Y151" s="1"/>
  <c r="W146"/>
  <c r="AM146" s="1"/>
  <c r="W144"/>
  <c r="Y144" s="1"/>
  <c r="W143"/>
  <c r="AM143" s="1"/>
  <c r="V155"/>
  <c r="W155" s="1"/>
  <c r="V154"/>
  <c r="W154" s="1"/>
  <c r="V152"/>
  <c r="W152" s="1"/>
  <c r="V150"/>
  <c r="W150" s="1"/>
  <c r="V149"/>
  <c r="W149" s="1"/>
  <c r="V148"/>
  <c r="W148" s="1"/>
  <c r="V147"/>
  <c r="W147" s="1"/>
  <c r="V145"/>
  <c r="W145" s="1"/>
  <c r="V142"/>
  <c r="W142" s="1"/>
  <c r="V140"/>
  <c r="V139"/>
  <c r="V138"/>
  <c r="V137"/>
  <c r="V136"/>
  <c r="V135"/>
  <c r="V134"/>
  <c r="V131"/>
  <c r="W131" s="1"/>
  <c r="V128"/>
  <c r="V127"/>
  <c r="W127" s="1"/>
  <c r="V126"/>
  <c r="V125"/>
  <c r="W125" s="1"/>
  <c r="V124"/>
  <c r="V123"/>
  <c r="W123" s="1"/>
  <c r="V122"/>
  <c r="V121"/>
  <c r="W121" s="1"/>
  <c r="V120"/>
  <c r="V119"/>
  <c r="W119" s="1"/>
  <c r="V118"/>
  <c r="V117"/>
  <c r="W117" s="1"/>
  <c r="V116"/>
  <c r="V114"/>
  <c r="W114" s="1"/>
  <c r="V113"/>
  <c r="V112"/>
  <c r="W112" s="1"/>
  <c r="AN112" s="1"/>
  <c r="V111"/>
  <c r="V110"/>
  <c r="W110" s="1"/>
  <c r="AN110" s="1"/>
  <c r="V109"/>
  <c r="V108"/>
  <c r="W108" s="1"/>
  <c r="AN108" s="1"/>
  <c r="V107"/>
  <c r="V106"/>
  <c r="W106" s="1"/>
  <c r="V105"/>
  <c r="V104"/>
  <c r="W104" s="1"/>
  <c r="V103"/>
  <c r="V101"/>
  <c r="W101" s="1"/>
  <c r="V100"/>
  <c r="V98"/>
  <c r="W98" s="1"/>
  <c r="V87"/>
  <c r="V85"/>
  <c r="V84"/>
  <c r="V82"/>
  <c r="W82" s="1"/>
  <c r="V81"/>
  <c r="V80"/>
  <c r="W80" s="1"/>
  <c r="V79"/>
  <c r="V78"/>
  <c r="W78" s="1"/>
  <c r="V77"/>
  <c r="V74"/>
  <c r="W74" s="1"/>
  <c r="V73"/>
  <c r="V70"/>
  <c r="W70" s="1"/>
  <c r="V69"/>
  <c r="V68"/>
  <c r="W68" s="1"/>
  <c r="V66"/>
  <c r="V61"/>
  <c r="W61" s="1"/>
  <c r="V60"/>
  <c r="V59"/>
  <c r="W59" s="1"/>
  <c r="V58"/>
  <c r="V57"/>
  <c r="W57" s="1"/>
  <c r="V54"/>
  <c r="V52"/>
  <c r="W52" s="1"/>
  <c r="V40"/>
  <c r="V39"/>
  <c r="W39" s="1"/>
  <c r="V37"/>
  <c r="V35"/>
  <c r="W35" s="1"/>
  <c r="V34"/>
  <c r="V33"/>
  <c r="W33" s="1"/>
  <c r="V32"/>
  <c r="V31"/>
  <c r="W31" s="1"/>
  <c r="AM31" s="1"/>
  <c r="V28"/>
  <c r="V22"/>
  <c r="W22" s="1"/>
  <c r="V21"/>
  <c r="V18"/>
  <c r="W18" s="1"/>
  <c r="V16"/>
  <c r="V15"/>
  <c r="W15" s="1"/>
  <c r="V12"/>
  <c r="V8"/>
  <c r="W8" s="1"/>
  <c r="W140"/>
  <c r="W139"/>
  <c r="W138"/>
  <c r="W137"/>
  <c r="W136"/>
  <c r="W135"/>
  <c r="W134"/>
  <c r="W133"/>
  <c r="Y133" s="1"/>
  <c r="V130"/>
  <c r="W130" s="1"/>
  <c r="AM130" s="1"/>
  <c r="V129"/>
  <c r="W129" s="1"/>
  <c r="AN129" s="1"/>
  <c r="W128"/>
  <c r="W126"/>
  <c r="W124"/>
  <c r="W122"/>
  <c r="W120"/>
  <c r="W118"/>
  <c r="W116"/>
  <c r="W113"/>
  <c r="AM113" s="1"/>
  <c r="W111"/>
  <c r="AM111" s="1"/>
  <c r="W109"/>
  <c r="AM109" s="1"/>
  <c r="W107"/>
  <c r="W105"/>
  <c r="W103"/>
  <c r="W100"/>
  <c r="W97"/>
  <c r="AM97" s="1"/>
  <c r="W96"/>
  <c r="Y96" s="1"/>
  <c r="W95"/>
  <c r="AD95" s="1"/>
  <c r="W87"/>
  <c r="W85"/>
  <c r="W84"/>
  <c r="W83"/>
  <c r="Y83" s="1"/>
  <c r="W81"/>
  <c r="W79"/>
  <c r="W77"/>
  <c r="W73"/>
  <c r="W71"/>
  <c r="AM71" s="1"/>
  <c r="W69"/>
  <c r="W66"/>
  <c r="W65"/>
  <c r="Y65" s="1"/>
  <c r="W63"/>
  <c r="AM63" s="1"/>
  <c r="W60"/>
  <c r="W58"/>
  <c r="V55"/>
  <c r="W55" s="1"/>
  <c r="AM55" s="1"/>
  <c r="W54"/>
  <c r="V51"/>
  <c r="W51" s="1"/>
  <c r="AN51" s="1"/>
  <c r="V49"/>
  <c r="W49" s="1"/>
  <c r="AM49" s="1"/>
  <c r="V47"/>
  <c r="W47" s="1"/>
  <c r="W45"/>
  <c r="Y45" s="1"/>
  <c r="W40"/>
  <c r="W37"/>
  <c r="W34"/>
  <c r="W32"/>
  <c r="W28"/>
  <c r="V27"/>
  <c r="W27" s="1"/>
  <c r="AM27" s="1"/>
  <c r="V26"/>
  <c r="W26" s="1"/>
  <c r="AN26" s="1"/>
  <c r="W21"/>
  <c r="V20"/>
  <c r="W20" s="1"/>
  <c r="AM20" s="1"/>
  <c r="W16"/>
  <c r="W12"/>
  <c r="V10"/>
  <c r="W10" s="1"/>
  <c r="AN10" s="1"/>
  <c r="V7"/>
  <c r="W7" s="1"/>
  <c r="AE7" s="1"/>
  <c r="V9"/>
  <c r="W9" s="1"/>
  <c r="AD9" s="1"/>
  <c r="V11"/>
  <c r="W11" s="1"/>
  <c r="AN11" s="1"/>
  <c r="V13"/>
  <c r="W13" s="1"/>
  <c r="AD13" s="1"/>
  <c r="V14"/>
  <c r="W14" s="1"/>
  <c r="AN14" s="1"/>
  <c r="V17"/>
  <c r="W17" s="1"/>
  <c r="AD17" s="1"/>
  <c r="V19"/>
  <c r="W19" s="1"/>
  <c r="AN19" s="1"/>
  <c r="V23"/>
  <c r="W23" s="1"/>
  <c r="AD23" s="1"/>
  <c r="V24"/>
  <c r="W24" s="1"/>
  <c r="AN24" s="1"/>
  <c r="V25"/>
  <c r="W25" s="1"/>
  <c r="AD25" s="1"/>
  <c r="V29"/>
  <c r="W29" s="1"/>
  <c r="AD29" s="1"/>
  <c r="V30"/>
  <c r="V36"/>
  <c r="W36" s="1"/>
  <c r="AN36" s="1"/>
  <c r="V38"/>
  <c r="V41"/>
  <c r="W41" s="1"/>
  <c r="AN41" s="1"/>
  <c r="V42"/>
  <c r="V43"/>
  <c r="W43" s="1"/>
  <c r="AN43" s="1"/>
  <c r="V44"/>
  <c r="V46"/>
  <c r="W46" s="1"/>
  <c r="AN46" s="1"/>
  <c r="V48"/>
  <c r="V50"/>
  <c r="W50" s="1"/>
  <c r="AN50" s="1"/>
  <c r="V53"/>
  <c r="W53" s="1"/>
  <c r="V56"/>
  <c r="W56" s="1"/>
  <c r="AN56" s="1"/>
  <c r="V62"/>
  <c r="V64"/>
  <c r="W64" s="1"/>
  <c r="AN64" s="1"/>
  <c r="V67"/>
  <c r="W67" s="1"/>
  <c r="AD67" s="1"/>
  <c r="V72"/>
  <c r="W72" s="1"/>
  <c r="AN72" s="1"/>
  <c r="V75"/>
  <c r="W75" s="1"/>
  <c r="AD75" s="1"/>
  <c r="V76"/>
  <c r="W76" s="1"/>
  <c r="AN76" s="1"/>
  <c r="V86"/>
  <c r="V88"/>
  <c r="W88" s="1"/>
  <c r="AN88" s="1"/>
  <c r="V89"/>
  <c r="W89" s="1"/>
  <c r="AD89" s="1"/>
  <c r="V90"/>
  <c r="W90" s="1"/>
  <c r="AD90" s="1"/>
  <c r="V91"/>
  <c r="W91" s="1"/>
  <c r="AD91" s="1"/>
  <c r="V92"/>
  <c r="W92" s="1"/>
  <c r="AN92" s="1"/>
  <c r="V93"/>
  <c r="W93" s="1"/>
  <c r="AD93" s="1"/>
  <c r="V94"/>
  <c r="W94" s="1"/>
  <c r="AN94" s="1"/>
  <c r="V99"/>
  <c r="W99" s="1"/>
  <c r="AD99" s="1"/>
  <c r="V102"/>
  <c r="W102" s="1"/>
  <c r="AN102" s="1"/>
  <c r="V115"/>
  <c r="W115" s="1"/>
  <c r="AD115" s="1"/>
  <c r="V132"/>
  <c r="W132" s="1"/>
  <c r="V141"/>
  <c r="W141" s="1"/>
  <c r="AD141" s="1"/>
  <c r="W6"/>
  <c r="AN6" s="1"/>
  <c r="AA1"/>
  <c r="AB1"/>
  <c r="AC1" s="1"/>
  <c r="AD1" s="1"/>
  <c r="AE1" s="1"/>
  <c r="AF1" s="1"/>
  <c r="AG1" s="1"/>
  <c r="AH1" s="1"/>
  <c r="AI1" s="1"/>
  <c r="AJ1" s="1"/>
  <c r="AK1" s="1"/>
  <c r="AL1" s="1"/>
  <c r="Z1"/>
  <c r="P4"/>
  <c r="Q4"/>
  <c r="R4"/>
  <c r="S4"/>
  <c r="P5"/>
  <c r="Q5"/>
  <c r="R5"/>
  <c r="S5"/>
  <c r="P6"/>
  <c r="Q6"/>
  <c r="R6"/>
  <c r="S6"/>
  <c r="P7"/>
  <c r="Q7"/>
  <c r="R7"/>
  <c r="S7"/>
  <c r="P8"/>
  <c r="Q8"/>
  <c r="R8"/>
  <c r="S8"/>
  <c r="P9"/>
  <c r="Q9"/>
  <c r="R9"/>
  <c r="S9"/>
  <c r="P10"/>
  <c r="Q10"/>
  <c r="R10"/>
  <c r="S10"/>
  <c r="P11"/>
  <c r="Q11"/>
  <c r="R11"/>
  <c r="S11"/>
  <c r="P12"/>
  <c r="Q12"/>
  <c r="R12"/>
  <c r="S12"/>
  <c r="P13"/>
  <c r="Q13"/>
  <c r="R13"/>
  <c r="S13"/>
  <c r="P14"/>
  <c r="Q14"/>
  <c r="R14"/>
  <c r="S14"/>
  <c r="P15"/>
  <c r="Q15"/>
  <c r="R15"/>
  <c r="S15"/>
  <c r="P16"/>
  <c r="Q16"/>
  <c r="R16"/>
  <c r="S16"/>
  <c r="P17"/>
  <c r="Q17"/>
  <c r="R17"/>
  <c r="S17"/>
  <c r="P18"/>
  <c r="Q18"/>
  <c r="R18"/>
  <c r="S18"/>
  <c r="P19"/>
  <c r="Q19"/>
  <c r="R19"/>
  <c r="S19"/>
  <c r="P20"/>
  <c r="Q20"/>
  <c r="R20"/>
  <c r="S20"/>
  <c r="P21"/>
  <c r="Q21"/>
  <c r="R21"/>
  <c r="S21"/>
  <c r="P22"/>
  <c r="Q22"/>
  <c r="R22"/>
  <c r="S22"/>
  <c r="P23"/>
  <c r="Q23"/>
  <c r="R23"/>
  <c r="S23"/>
  <c r="P24"/>
  <c r="Q24"/>
  <c r="R24"/>
  <c r="S24"/>
  <c r="P25"/>
  <c r="Q25"/>
  <c r="R25"/>
  <c r="S25"/>
  <c r="P26"/>
  <c r="Q26"/>
  <c r="R26"/>
  <c r="S26"/>
  <c r="P27"/>
  <c r="Q27"/>
  <c r="R27"/>
  <c r="S27"/>
  <c r="P28"/>
  <c r="Q28"/>
  <c r="R28"/>
  <c r="S28"/>
  <c r="P29"/>
  <c r="Q29"/>
  <c r="R29"/>
  <c r="S29"/>
  <c r="P30"/>
  <c r="Q30"/>
  <c r="R30"/>
  <c r="S30"/>
  <c r="P31"/>
  <c r="Q31"/>
  <c r="R31"/>
  <c r="S31"/>
  <c r="P32"/>
  <c r="Q32"/>
  <c r="R32"/>
  <c r="S32"/>
  <c r="P33"/>
  <c r="Q33"/>
  <c r="R33"/>
  <c r="S33"/>
  <c r="P34"/>
  <c r="Q34"/>
  <c r="R34"/>
  <c r="S34"/>
  <c r="P35"/>
  <c r="Q35"/>
  <c r="R35"/>
  <c r="S35"/>
  <c r="P36"/>
  <c r="Q36"/>
  <c r="R36"/>
  <c r="S36"/>
  <c r="P37"/>
  <c r="Q37"/>
  <c r="R37"/>
  <c r="S37"/>
  <c r="P38"/>
  <c r="Q38"/>
  <c r="R38"/>
  <c r="S38"/>
  <c r="P39"/>
  <c r="Q39"/>
  <c r="R39"/>
  <c r="S39"/>
  <c r="P40"/>
  <c r="Q40"/>
  <c r="R40"/>
  <c r="S40"/>
  <c r="P41"/>
  <c r="Q41"/>
  <c r="R41"/>
  <c r="S41"/>
  <c r="P42"/>
  <c r="Q42"/>
  <c r="R42"/>
  <c r="S42"/>
  <c r="P43"/>
  <c r="Q43"/>
  <c r="R43"/>
  <c r="S43"/>
  <c r="P44"/>
  <c r="Q44"/>
  <c r="R44"/>
  <c r="S44"/>
  <c r="P45"/>
  <c r="Q45"/>
  <c r="R45"/>
  <c r="S45"/>
  <c r="P46"/>
  <c r="Q46"/>
  <c r="R46"/>
  <c r="S46"/>
  <c r="P47"/>
  <c r="Q47"/>
  <c r="R47"/>
  <c r="S47"/>
  <c r="P48"/>
  <c r="Q48"/>
  <c r="R48"/>
  <c r="S48"/>
  <c r="P49"/>
  <c r="Q49"/>
  <c r="R49"/>
  <c r="S49"/>
  <c r="P50"/>
  <c r="Q50"/>
  <c r="R50"/>
  <c r="S50"/>
  <c r="P51"/>
  <c r="Q51"/>
  <c r="R51"/>
  <c r="S51"/>
  <c r="P52"/>
  <c r="Q52"/>
  <c r="R52"/>
  <c r="S52"/>
  <c r="P53"/>
  <c r="Q53"/>
  <c r="R53"/>
  <c r="S53"/>
  <c r="P54"/>
  <c r="Q54"/>
  <c r="R54"/>
  <c r="S54"/>
  <c r="P55"/>
  <c r="Q55"/>
  <c r="R55"/>
  <c r="S55"/>
  <c r="P56"/>
  <c r="Q56"/>
  <c r="R56"/>
  <c r="S56"/>
  <c r="P57"/>
  <c r="Q57"/>
  <c r="R57"/>
  <c r="S57"/>
  <c r="P58"/>
  <c r="Q58"/>
  <c r="R58"/>
  <c r="S58"/>
  <c r="P59"/>
  <c r="Q59"/>
  <c r="R59"/>
  <c r="S59"/>
  <c r="P60"/>
  <c r="Q60"/>
  <c r="R60"/>
  <c r="S60"/>
  <c r="P61"/>
  <c r="Q61"/>
  <c r="R61"/>
  <c r="S61"/>
  <c r="P62"/>
  <c r="Q62"/>
  <c r="R62"/>
  <c r="S62"/>
  <c r="P63"/>
  <c r="Q63"/>
  <c r="R63"/>
  <c r="S63"/>
  <c r="P64"/>
  <c r="Q64"/>
  <c r="R64"/>
  <c r="S64"/>
  <c r="P65"/>
  <c r="Q65"/>
  <c r="R65"/>
  <c r="S65"/>
  <c r="P66"/>
  <c r="Q66"/>
  <c r="R66"/>
  <c r="S66"/>
  <c r="P67"/>
  <c r="Q67"/>
  <c r="R67"/>
  <c r="S67"/>
  <c r="P68"/>
  <c r="Q68"/>
  <c r="R68"/>
  <c r="S68"/>
  <c r="P69"/>
  <c r="Q69"/>
  <c r="R69"/>
  <c r="S69"/>
  <c r="P70"/>
  <c r="Q70"/>
  <c r="R70"/>
  <c r="S70"/>
  <c r="P71"/>
  <c r="Q71"/>
  <c r="R71"/>
  <c r="S71"/>
  <c r="P72"/>
  <c r="Q72"/>
  <c r="R72"/>
  <c r="S72"/>
  <c r="P73"/>
  <c r="Q73"/>
  <c r="R73"/>
  <c r="S73"/>
  <c r="P74"/>
  <c r="Q74"/>
  <c r="R74"/>
  <c r="S74"/>
  <c r="P75"/>
  <c r="Q75"/>
  <c r="R75"/>
  <c r="S75"/>
  <c r="P76"/>
  <c r="Q76"/>
  <c r="R76"/>
  <c r="S76"/>
  <c r="P77"/>
  <c r="Q77"/>
  <c r="R77"/>
  <c r="S77"/>
  <c r="P78"/>
  <c r="Q78"/>
  <c r="R78"/>
  <c r="S78"/>
  <c r="P79"/>
  <c r="Q79"/>
  <c r="R79"/>
  <c r="S79"/>
  <c r="P80"/>
  <c r="Q80"/>
  <c r="R80"/>
  <c r="S80"/>
  <c r="P81"/>
  <c r="Q81"/>
  <c r="R81"/>
  <c r="S81"/>
  <c r="P82"/>
  <c r="Q82"/>
  <c r="R82"/>
  <c r="S82"/>
  <c r="P83"/>
  <c r="Q83"/>
  <c r="R83"/>
  <c r="S83"/>
  <c r="P84"/>
  <c r="Q84"/>
  <c r="R84"/>
  <c r="S84"/>
  <c r="P85"/>
  <c r="Q85"/>
  <c r="R85"/>
  <c r="S85"/>
  <c r="P86"/>
  <c r="Q86"/>
  <c r="R86"/>
  <c r="S86"/>
  <c r="P87"/>
  <c r="Q87"/>
  <c r="R87"/>
  <c r="S87"/>
  <c r="P88"/>
  <c r="Q88"/>
  <c r="R88"/>
  <c r="S88"/>
  <c r="P89"/>
  <c r="Q89"/>
  <c r="R89"/>
  <c r="S89"/>
  <c r="P90"/>
  <c r="Q90"/>
  <c r="R90"/>
  <c r="S90"/>
  <c r="P91"/>
  <c r="Q91"/>
  <c r="R91"/>
  <c r="S91"/>
  <c r="P92"/>
  <c r="Q92"/>
  <c r="R92"/>
  <c r="S92"/>
  <c r="P93"/>
  <c r="Q93"/>
  <c r="R93"/>
  <c r="S93"/>
  <c r="P94"/>
  <c r="Q94"/>
  <c r="R94"/>
  <c r="S94"/>
  <c r="P95"/>
  <c r="Q95"/>
  <c r="R95"/>
  <c r="S95"/>
  <c r="P96"/>
  <c r="Q96"/>
  <c r="R96"/>
  <c r="S96"/>
  <c r="P97"/>
  <c r="Q97"/>
  <c r="R97"/>
  <c r="S97"/>
  <c r="P98"/>
  <c r="Q98"/>
  <c r="R98"/>
  <c r="S98"/>
  <c r="P99"/>
  <c r="Q99"/>
  <c r="R99"/>
  <c r="S99"/>
  <c r="P100"/>
  <c r="Q100"/>
  <c r="R100"/>
  <c r="S100"/>
  <c r="P101"/>
  <c r="Q101"/>
  <c r="R101"/>
  <c r="S101"/>
  <c r="P102"/>
  <c r="Q102"/>
  <c r="R102"/>
  <c r="S102"/>
  <c r="P103"/>
  <c r="Q103"/>
  <c r="R103"/>
  <c r="S103"/>
  <c r="P104"/>
  <c r="Q104"/>
  <c r="R104"/>
  <c r="S104"/>
  <c r="P105"/>
  <c r="Q105"/>
  <c r="R105"/>
  <c r="S105"/>
  <c r="P106"/>
  <c r="Q106"/>
  <c r="R106"/>
  <c r="S106"/>
  <c r="P107"/>
  <c r="Q107"/>
  <c r="R107"/>
  <c r="S107"/>
  <c r="P108"/>
  <c r="Q108"/>
  <c r="R108"/>
  <c r="S108"/>
  <c r="P109"/>
  <c r="Q109"/>
  <c r="R109"/>
  <c r="S109"/>
  <c r="P110"/>
  <c r="Q110"/>
  <c r="R110"/>
  <c r="S110"/>
  <c r="P111"/>
  <c r="Q111"/>
  <c r="R111"/>
  <c r="S111"/>
  <c r="P112"/>
  <c r="Q112"/>
  <c r="R112"/>
  <c r="S112"/>
  <c r="P113"/>
  <c r="Q113"/>
  <c r="R113"/>
  <c r="S113"/>
  <c r="P114"/>
  <c r="Q114"/>
  <c r="R114"/>
  <c r="S114"/>
  <c r="P115"/>
  <c r="Q115"/>
  <c r="R115"/>
  <c r="S115"/>
  <c r="P116"/>
  <c r="Q116"/>
  <c r="R116"/>
  <c r="S116"/>
  <c r="P117"/>
  <c r="Q117"/>
  <c r="R117"/>
  <c r="S117"/>
  <c r="P118"/>
  <c r="Q118"/>
  <c r="R118"/>
  <c r="S118"/>
  <c r="P119"/>
  <c r="Q119"/>
  <c r="R119"/>
  <c r="S119"/>
  <c r="P120"/>
  <c r="Q120"/>
  <c r="R120"/>
  <c r="S120"/>
  <c r="P121"/>
  <c r="Q121"/>
  <c r="R121"/>
  <c r="S121"/>
  <c r="P122"/>
  <c r="Q122"/>
  <c r="R122"/>
  <c r="S122"/>
  <c r="P123"/>
  <c r="Q123"/>
  <c r="R123"/>
  <c r="S123"/>
  <c r="P124"/>
  <c r="Q124"/>
  <c r="R124"/>
  <c r="S124"/>
  <c r="P125"/>
  <c r="Q125"/>
  <c r="R125"/>
  <c r="S125"/>
  <c r="P126"/>
  <c r="Q126"/>
  <c r="R126"/>
  <c r="S126"/>
  <c r="P127"/>
  <c r="Q127"/>
  <c r="R127"/>
  <c r="S127"/>
  <c r="P128"/>
  <c r="Q128"/>
  <c r="R128"/>
  <c r="S128"/>
  <c r="P129"/>
  <c r="Q129"/>
  <c r="R129"/>
  <c r="S129"/>
  <c r="P130"/>
  <c r="Q130"/>
  <c r="R130"/>
  <c r="S130"/>
  <c r="P131"/>
  <c r="Q131"/>
  <c r="R131"/>
  <c r="S131"/>
  <c r="P132"/>
  <c r="Q132"/>
  <c r="R132"/>
  <c r="S132"/>
  <c r="P133"/>
  <c r="Q133"/>
  <c r="R133"/>
  <c r="S133"/>
  <c r="P134"/>
  <c r="Q134"/>
  <c r="R134"/>
  <c r="S134"/>
  <c r="P135"/>
  <c r="Q135"/>
  <c r="R135"/>
  <c r="S135"/>
  <c r="P136"/>
  <c r="Q136"/>
  <c r="R136"/>
  <c r="S136"/>
  <c r="P137"/>
  <c r="Q137"/>
  <c r="R137"/>
  <c r="S137"/>
  <c r="P138"/>
  <c r="Q138"/>
  <c r="R138"/>
  <c r="S138"/>
  <c r="P139"/>
  <c r="Q139"/>
  <c r="R139"/>
  <c r="S139"/>
  <c r="P140"/>
  <c r="Q140"/>
  <c r="R140"/>
  <c r="S140"/>
  <c r="P141"/>
  <c r="Q141"/>
  <c r="R141"/>
  <c r="S141"/>
  <c r="P142"/>
  <c r="Q142"/>
  <c r="R142"/>
  <c r="S142"/>
  <c r="P143"/>
  <c r="Q143"/>
  <c r="R143"/>
  <c r="S143"/>
  <c r="P144"/>
  <c r="Q144"/>
  <c r="R144"/>
  <c r="S144"/>
  <c r="P145"/>
  <c r="Q145"/>
  <c r="R145"/>
  <c r="S145"/>
  <c r="P146"/>
  <c r="Q146"/>
  <c r="R146"/>
  <c r="S146"/>
  <c r="P147"/>
  <c r="Q147"/>
  <c r="R147"/>
  <c r="S147"/>
  <c r="P148"/>
  <c r="Q148"/>
  <c r="R148"/>
  <c r="S148"/>
  <c r="P149"/>
  <c r="Q149"/>
  <c r="R149"/>
  <c r="S149"/>
  <c r="P150"/>
  <c r="Q150"/>
  <c r="R150"/>
  <c r="S150"/>
  <c r="P151"/>
  <c r="Q151"/>
  <c r="R151"/>
  <c r="S151"/>
  <c r="P152"/>
  <c r="Q152"/>
  <c r="R152"/>
  <c r="S152"/>
  <c r="P153"/>
  <c r="Q153"/>
  <c r="R153"/>
  <c r="S153"/>
  <c r="P154"/>
  <c r="Q154"/>
  <c r="R154"/>
  <c r="S154"/>
  <c r="P155"/>
  <c r="Q155"/>
  <c r="R155"/>
  <c r="S155"/>
  <c r="Q3"/>
  <c r="R3"/>
  <c r="S3"/>
  <c r="P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3"/>
  <c r="B418" i="8"/>
  <c r="C418"/>
  <c r="B419"/>
  <c r="C419"/>
  <c r="B420"/>
  <c r="C420"/>
  <c r="B421"/>
  <c r="C421"/>
  <c r="B422"/>
  <c r="C422"/>
  <c r="B424"/>
  <c r="C424"/>
  <c r="B425"/>
  <c r="C425"/>
  <c r="B427"/>
  <c r="C427"/>
  <c r="B428"/>
  <c r="C428"/>
  <c r="B429"/>
  <c r="C429"/>
  <c r="B430"/>
  <c r="C430"/>
  <c r="B431"/>
  <c r="C431"/>
  <c r="B432"/>
  <c r="C432"/>
  <c r="B433"/>
  <c r="C433"/>
  <c r="B434"/>
  <c r="C434"/>
  <c r="B435"/>
  <c r="C435"/>
  <c r="B436"/>
  <c r="C436"/>
  <c r="B437"/>
  <c r="C437"/>
  <c r="B438"/>
  <c r="C438"/>
  <c r="B439"/>
  <c r="C439"/>
  <c r="B440"/>
  <c r="C440"/>
  <c r="B442"/>
  <c r="C442"/>
  <c r="B444"/>
  <c r="C444"/>
  <c r="B446"/>
  <c r="C446"/>
  <c r="B448"/>
  <c r="C448"/>
  <c r="B449"/>
  <c r="C449"/>
  <c r="B450"/>
  <c r="C450"/>
  <c r="B451"/>
  <c r="C451"/>
  <c r="B452"/>
  <c r="C452"/>
  <c r="B453"/>
  <c r="C453"/>
  <c r="B454"/>
  <c r="C454"/>
  <c r="B455"/>
  <c r="C455"/>
  <c r="B456"/>
  <c r="C456"/>
  <c r="B457"/>
  <c r="C457"/>
  <c r="B458"/>
  <c r="C458"/>
  <c r="B459"/>
  <c r="C459"/>
  <c r="B460"/>
  <c r="C460"/>
  <c r="B461"/>
  <c r="C461"/>
  <c r="B462"/>
  <c r="C462"/>
  <c r="B463"/>
  <c r="C463"/>
  <c r="B464"/>
  <c r="C464"/>
  <c r="B465"/>
  <c r="C465"/>
  <c r="B466"/>
  <c r="C466"/>
  <c r="B467"/>
  <c r="C467"/>
  <c r="B468"/>
  <c r="C468"/>
  <c r="B469"/>
  <c r="C469"/>
  <c r="B470"/>
  <c r="C470"/>
  <c r="B471"/>
  <c r="C471"/>
  <c r="B472"/>
  <c r="C472"/>
  <c r="B473"/>
  <c r="C473"/>
  <c r="B474"/>
  <c r="C474"/>
  <c r="B475"/>
  <c r="C475"/>
  <c r="B476"/>
  <c r="C476"/>
  <c r="B477"/>
  <c r="C477"/>
  <c r="B478"/>
  <c r="C478"/>
  <c r="B479"/>
  <c r="C479"/>
  <c r="B480"/>
  <c r="C480"/>
  <c r="B481"/>
  <c r="C481"/>
  <c r="B482"/>
  <c r="C482"/>
  <c r="B483"/>
  <c r="C483"/>
  <c r="B484"/>
  <c r="C484"/>
  <c r="B485"/>
  <c r="C485"/>
  <c r="B486"/>
  <c r="C486"/>
  <c r="B487"/>
  <c r="C487"/>
  <c r="B488"/>
  <c r="C488"/>
  <c r="B489"/>
  <c r="C489"/>
  <c r="B490"/>
  <c r="C490"/>
  <c r="B491"/>
  <c r="C491"/>
  <c r="B492"/>
  <c r="C492"/>
  <c r="B493"/>
  <c r="C493"/>
  <c r="B494"/>
  <c r="C494"/>
  <c r="B495"/>
  <c r="C495"/>
  <c r="B496"/>
  <c r="C496"/>
  <c r="B497"/>
  <c r="C497"/>
  <c r="B498"/>
  <c r="C498"/>
  <c r="B499"/>
  <c r="C499"/>
  <c r="B500"/>
  <c r="C500"/>
  <c r="B501"/>
  <c r="C501"/>
  <c r="B502"/>
  <c r="C502"/>
  <c r="B503"/>
  <c r="C503"/>
  <c r="B9"/>
  <c r="C9"/>
  <c r="B13"/>
  <c r="C13"/>
  <c r="B16"/>
  <c r="C16"/>
  <c r="B23"/>
  <c r="C23"/>
  <c r="B32"/>
  <c r="C32"/>
  <c r="B34"/>
  <c r="C34"/>
  <c r="B42"/>
  <c r="C42"/>
  <c r="B57"/>
  <c r="C57"/>
  <c r="B99"/>
  <c r="C99"/>
  <c r="B111"/>
  <c r="C111"/>
  <c r="B115"/>
  <c r="C115"/>
  <c r="B117"/>
  <c r="C117"/>
  <c r="B119"/>
  <c r="C119"/>
  <c r="B155"/>
  <c r="C155"/>
  <c r="B163"/>
  <c r="C163"/>
  <c r="B165"/>
  <c r="C165"/>
  <c r="B170"/>
  <c r="C170"/>
  <c r="B172"/>
  <c r="C172"/>
  <c r="B174"/>
  <c r="C174"/>
  <c r="B181"/>
  <c r="C181"/>
  <c r="B187"/>
  <c r="C187"/>
  <c r="B278"/>
  <c r="C278"/>
  <c r="B300"/>
  <c r="C300"/>
  <c r="B305"/>
  <c r="C305"/>
  <c r="B404"/>
  <c r="C404"/>
  <c r="B406"/>
  <c r="C406"/>
  <c r="B408"/>
  <c r="C408"/>
  <c r="B423"/>
  <c r="C423"/>
  <c r="B426"/>
  <c r="C426"/>
  <c r="B441"/>
  <c r="C441"/>
  <c r="B443"/>
  <c r="C443"/>
  <c r="B445"/>
  <c r="C445"/>
  <c r="B447"/>
  <c r="C447"/>
  <c r="B10"/>
  <c r="C10" s="1"/>
  <c r="B100"/>
  <c r="C100" s="1"/>
  <c r="B101"/>
  <c r="C101" s="1"/>
  <c r="B102"/>
  <c r="C102" s="1"/>
  <c r="B103"/>
  <c r="C103" s="1"/>
  <c r="B104"/>
  <c r="C104" s="1"/>
  <c r="B105"/>
  <c r="C105" s="1"/>
  <c r="B106"/>
  <c r="C106" s="1"/>
  <c r="B107"/>
  <c r="C107" s="1"/>
  <c r="B108"/>
  <c r="C108" s="1"/>
  <c r="B109"/>
  <c r="C109" s="1"/>
  <c r="B11"/>
  <c r="C11" s="1"/>
  <c r="B110"/>
  <c r="C110" s="1"/>
  <c r="B112"/>
  <c r="C112" s="1"/>
  <c r="B113"/>
  <c r="C113" s="1"/>
  <c r="B114"/>
  <c r="C114" s="1"/>
  <c r="B116"/>
  <c r="C116" s="1"/>
  <c r="B118"/>
  <c r="C118" s="1"/>
  <c r="B12"/>
  <c r="C12" s="1"/>
  <c r="B120"/>
  <c r="C120" s="1"/>
  <c r="B121"/>
  <c r="C121" s="1"/>
  <c r="B122"/>
  <c r="C122" s="1"/>
  <c r="B123"/>
  <c r="C123" s="1"/>
  <c r="B124"/>
  <c r="C124" s="1"/>
  <c r="B125"/>
  <c r="C125" s="1"/>
  <c r="B126"/>
  <c r="C126" s="1"/>
  <c r="B127"/>
  <c r="C127" s="1"/>
  <c r="B128"/>
  <c r="C128" s="1"/>
  <c r="B129"/>
  <c r="C129" s="1"/>
  <c r="B130"/>
  <c r="C130" s="1"/>
  <c r="B131"/>
  <c r="C131" s="1"/>
  <c r="B132"/>
  <c r="C132" s="1"/>
  <c r="B133"/>
  <c r="C133" s="1"/>
  <c r="B134"/>
  <c r="C134" s="1"/>
  <c r="B135"/>
  <c r="C135" s="1"/>
  <c r="B136"/>
  <c r="C136" s="1"/>
  <c r="B137"/>
  <c r="C137" s="1"/>
  <c r="B138"/>
  <c r="C138" s="1"/>
  <c r="B139"/>
  <c r="C139" s="1"/>
  <c r="B14"/>
  <c r="C14" s="1"/>
  <c r="B140"/>
  <c r="C140" s="1"/>
  <c r="B141"/>
  <c r="C141" s="1"/>
  <c r="B142"/>
  <c r="C142" s="1"/>
  <c r="B143"/>
  <c r="C143" s="1"/>
  <c r="B144"/>
  <c r="C144" s="1"/>
  <c r="B145"/>
  <c r="C145" s="1"/>
  <c r="B146"/>
  <c r="C146" s="1"/>
  <c r="B147"/>
  <c r="C147" s="1"/>
  <c r="B148"/>
  <c r="C148" s="1"/>
  <c r="B149"/>
  <c r="C149" s="1"/>
  <c r="B15"/>
  <c r="C15" s="1"/>
  <c r="B150"/>
  <c r="C150" s="1"/>
  <c r="B151"/>
  <c r="C151" s="1"/>
  <c r="B152"/>
  <c r="C152" s="1"/>
  <c r="B153"/>
  <c r="C153" s="1"/>
  <c r="B154"/>
  <c r="C154" s="1"/>
  <c r="B156"/>
  <c r="C156" s="1"/>
  <c r="B157"/>
  <c r="C157" s="1"/>
  <c r="B158"/>
  <c r="C158" s="1"/>
  <c r="B159"/>
  <c r="C159" s="1"/>
  <c r="B160"/>
  <c r="C160" s="1"/>
  <c r="B161"/>
  <c r="C161" s="1"/>
  <c r="B162"/>
  <c r="C162" s="1"/>
  <c r="B164"/>
  <c r="C164" s="1"/>
  <c r="B166"/>
  <c r="C166" s="1"/>
  <c r="B167"/>
  <c r="C167" s="1"/>
  <c r="B168"/>
  <c r="C168" s="1"/>
  <c r="B169"/>
  <c r="C169" s="1"/>
  <c r="B17"/>
  <c r="C17" s="1"/>
  <c r="B171"/>
  <c r="C171" s="1"/>
  <c r="B173"/>
  <c r="C173" s="1"/>
  <c r="B175"/>
  <c r="C175" s="1"/>
  <c r="B176"/>
  <c r="C176" s="1"/>
  <c r="B177"/>
  <c r="C177" s="1"/>
  <c r="B178"/>
  <c r="C178" s="1"/>
  <c r="B179"/>
  <c r="C179" s="1"/>
  <c r="B18"/>
  <c r="C18" s="1"/>
  <c r="B180"/>
  <c r="C180" s="1"/>
  <c r="B182"/>
  <c r="C182" s="1"/>
  <c r="B183"/>
  <c r="C183" s="1"/>
  <c r="B184"/>
  <c r="C184" s="1"/>
  <c r="B185"/>
  <c r="C185" s="1"/>
  <c r="B186"/>
  <c r="C186" s="1"/>
  <c r="B188"/>
  <c r="C188" s="1"/>
  <c r="B189"/>
  <c r="C189" s="1"/>
  <c r="B19"/>
  <c r="C19" s="1"/>
  <c r="B190"/>
  <c r="C190" s="1"/>
  <c r="B191"/>
  <c r="C191" s="1"/>
  <c r="B192"/>
  <c r="C192" s="1"/>
  <c r="B193"/>
  <c r="C193" s="1"/>
  <c r="B194"/>
  <c r="C194" s="1"/>
  <c r="B195"/>
  <c r="C195" s="1"/>
  <c r="B196"/>
  <c r="C196" s="1"/>
  <c r="B197"/>
  <c r="C197" s="1"/>
  <c r="B198"/>
  <c r="C198" s="1"/>
  <c r="B199"/>
  <c r="C199" s="1"/>
  <c r="B2"/>
  <c r="C2" s="1"/>
  <c r="B20"/>
  <c r="C20" s="1"/>
  <c r="B200"/>
  <c r="C200" s="1"/>
  <c r="B201"/>
  <c r="C201" s="1"/>
  <c r="B202"/>
  <c r="C202" s="1"/>
  <c r="B203"/>
  <c r="C203" s="1"/>
  <c r="B204"/>
  <c r="C204" s="1"/>
  <c r="B205"/>
  <c r="C205" s="1"/>
  <c r="B206"/>
  <c r="C206" s="1"/>
  <c r="B207"/>
  <c r="C207" s="1"/>
  <c r="B208"/>
  <c r="C208" s="1"/>
  <c r="B209"/>
  <c r="C209" s="1"/>
  <c r="B21"/>
  <c r="C21" s="1"/>
  <c r="B210"/>
  <c r="C210" s="1"/>
  <c r="B211"/>
  <c r="C211" s="1"/>
  <c r="B212"/>
  <c r="C212" s="1"/>
  <c r="B213"/>
  <c r="C213" s="1"/>
  <c r="B214"/>
  <c r="C214" s="1"/>
  <c r="B215"/>
  <c r="C215" s="1"/>
  <c r="B216"/>
  <c r="C216" s="1"/>
  <c r="B217"/>
  <c r="C217" s="1"/>
  <c r="B218"/>
  <c r="C218" s="1"/>
  <c r="B219"/>
  <c r="C219" s="1"/>
  <c r="B22"/>
  <c r="C22" s="1"/>
  <c r="B220"/>
  <c r="C220" s="1"/>
  <c r="B221"/>
  <c r="C221" s="1"/>
  <c r="B222"/>
  <c r="C222" s="1"/>
  <c r="B223"/>
  <c r="C223" s="1"/>
  <c r="B224"/>
  <c r="C224" s="1"/>
  <c r="B225"/>
  <c r="C225" s="1"/>
  <c r="B226"/>
  <c r="C226" s="1"/>
  <c r="B227"/>
  <c r="C227" s="1"/>
  <c r="B228"/>
  <c r="C228" s="1"/>
  <c r="B229"/>
  <c r="C229" s="1"/>
  <c r="B230"/>
  <c r="C230" s="1"/>
  <c r="B231"/>
  <c r="C231" s="1"/>
  <c r="B232"/>
  <c r="C232" s="1"/>
  <c r="B233"/>
  <c r="C233" s="1"/>
  <c r="B234"/>
  <c r="C234" s="1"/>
  <c r="B235"/>
  <c r="C235" s="1"/>
  <c r="B236"/>
  <c r="C236" s="1"/>
  <c r="B237"/>
  <c r="C237" s="1"/>
  <c r="B238"/>
  <c r="C238" s="1"/>
  <c r="B239"/>
  <c r="C239" s="1"/>
  <c r="B24"/>
  <c r="C24" s="1"/>
  <c r="B240"/>
  <c r="C240" s="1"/>
  <c r="B241"/>
  <c r="C241" s="1"/>
  <c r="B242"/>
  <c r="C242" s="1"/>
  <c r="B243"/>
  <c r="C243" s="1"/>
  <c r="B244"/>
  <c r="C244" s="1"/>
  <c r="B245"/>
  <c r="C245" s="1"/>
  <c r="B246"/>
  <c r="C246" s="1"/>
  <c r="B247"/>
  <c r="C247" s="1"/>
  <c r="B248"/>
  <c r="C248" s="1"/>
  <c r="B249"/>
  <c r="C249" s="1"/>
  <c r="B25"/>
  <c r="C25" s="1"/>
  <c r="B250"/>
  <c r="C250" s="1"/>
  <c r="B251"/>
  <c r="C251" s="1"/>
  <c r="B252"/>
  <c r="C252" s="1"/>
  <c r="B253"/>
  <c r="C253" s="1"/>
  <c r="B254"/>
  <c r="C254" s="1"/>
  <c r="B255"/>
  <c r="C255" s="1"/>
  <c r="B256"/>
  <c r="C256" s="1"/>
  <c r="B257"/>
  <c r="C257" s="1"/>
  <c r="B258"/>
  <c r="C258" s="1"/>
  <c r="B259"/>
  <c r="C259" s="1"/>
  <c r="B26"/>
  <c r="C26" s="1"/>
  <c r="B260"/>
  <c r="C260" s="1"/>
  <c r="B261"/>
  <c r="C261" s="1"/>
  <c r="B262"/>
  <c r="C262" s="1"/>
  <c r="B263"/>
  <c r="C263" s="1"/>
  <c r="B264"/>
  <c r="C264" s="1"/>
  <c r="B265"/>
  <c r="C265" s="1"/>
  <c r="B266"/>
  <c r="C266" s="1"/>
  <c r="B267"/>
  <c r="C267" s="1"/>
  <c r="B268"/>
  <c r="C268" s="1"/>
  <c r="B269"/>
  <c r="C269" s="1"/>
  <c r="B27"/>
  <c r="C27" s="1"/>
  <c r="B270"/>
  <c r="C270" s="1"/>
  <c r="B271"/>
  <c r="C271" s="1"/>
  <c r="B272"/>
  <c r="C272" s="1"/>
  <c r="B273"/>
  <c r="C273" s="1"/>
  <c r="B274"/>
  <c r="C274" s="1"/>
  <c r="B275"/>
  <c r="C275" s="1"/>
  <c r="B276"/>
  <c r="C276" s="1"/>
  <c r="B277"/>
  <c r="C277" s="1"/>
  <c r="B279"/>
  <c r="C279" s="1"/>
  <c r="B28"/>
  <c r="C28" s="1"/>
  <c r="B280"/>
  <c r="C280" s="1"/>
  <c r="B281"/>
  <c r="C281" s="1"/>
  <c r="B282"/>
  <c r="C282" s="1"/>
  <c r="B283"/>
  <c r="C283" s="1"/>
  <c r="B284"/>
  <c r="C284" s="1"/>
  <c r="B285"/>
  <c r="C285" s="1"/>
  <c r="B286"/>
  <c r="C286" s="1"/>
  <c r="B287"/>
  <c r="C287" s="1"/>
  <c r="B288"/>
  <c r="C288" s="1"/>
  <c r="B289"/>
  <c r="C289" s="1"/>
  <c r="B29"/>
  <c r="C29" s="1"/>
  <c r="B290"/>
  <c r="C290" s="1"/>
  <c r="B291"/>
  <c r="C291" s="1"/>
  <c r="B292"/>
  <c r="C292" s="1"/>
  <c r="B293"/>
  <c r="C293" s="1"/>
  <c r="B294"/>
  <c r="C294" s="1"/>
  <c r="B295"/>
  <c r="C295" s="1"/>
  <c r="B296"/>
  <c r="C296" s="1"/>
  <c r="B297"/>
  <c r="C297" s="1"/>
  <c r="B3"/>
  <c r="C3" s="1"/>
  <c r="B30"/>
  <c r="C30" s="1"/>
  <c r="B298"/>
  <c r="C298" s="1"/>
  <c r="B31"/>
  <c r="C31" s="1"/>
  <c r="B299"/>
  <c r="C299" s="1"/>
  <c r="B33"/>
  <c r="C33" s="1"/>
  <c r="B301"/>
  <c r="C301" s="1"/>
  <c r="B302"/>
  <c r="C302" s="1"/>
  <c r="B303"/>
  <c r="C303" s="1"/>
  <c r="B304"/>
  <c r="C304" s="1"/>
  <c r="B306"/>
  <c r="C306" s="1"/>
  <c r="B307"/>
  <c r="C307" s="1"/>
  <c r="B308"/>
  <c r="C308" s="1"/>
  <c r="B309"/>
  <c r="C309" s="1"/>
  <c r="B35"/>
  <c r="C35" s="1"/>
  <c r="B36"/>
  <c r="C36" s="1"/>
  <c r="B310"/>
  <c r="C310" s="1"/>
  <c r="B311"/>
  <c r="C311" s="1"/>
  <c r="B312"/>
  <c r="C312" s="1"/>
  <c r="B37"/>
  <c r="C37" s="1"/>
  <c r="B313"/>
  <c r="C313" s="1"/>
  <c r="B314"/>
  <c r="C314" s="1"/>
  <c r="B315"/>
  <c r="C315" s="1"/>
  <c r="B316"/>
  <c r="C316" s="1"/>
  <c r="B317"/>
  <c r="C317" s="1"/>
  <c r="B318"/>
  <c r="C318" s="1"/>
  <c r="B319"/>
  <c r="C319" s="1"/>
  <c r="B38"/>
  <c r="C38" s="1"/>
  <c r="B320"/>
  <c r="C320" s="1"/>
  <c r="B321"/>
  <c r="C321" s="1"/>
  <c r="B322"/>
  <c r="C322" s="1"/>
  <c r="B323"/>
  <c r="C323" s="1"/>
  <c r="B324"/>
  <c r="C324" s="1"/>
  <c r="B39"/>
  <c r="C39" s="1"/>
  <c r="B325"/>
  <c r="C325" s="1"/>
  <c r="B326"/>
  <c r="C326" s="1"/>
  <c r="B327"/>
  <c r="C327" s="1"/>
  <c r="B328"/>
  <c r="C328" s="1"/>
  <c r="B329"/>
  <c r="C329" s="1"/>
  <c r="B330"/>
  <c r="C330" s="1"/>
  <c r="B331"/>
  <c r="C331" s="1"/>
  <c r="B332"/>
  <c r="C332" s="1"/>
  <c r="B333"/>
  <c r="C333" s="1"/>
  <c r="B334"/>
  <c r="C334" s="1"/>
  <c r="B4"/>
  <c r="C4" s="1"/>
  <c r="B40"/>
  <c r="C40" s="1"/>
  <c r="B335"/>
  <c r="C335" s="1"/>
  <c r="B336"/>
  <c r="C336" s="1"/>
  <c r="B337"/>
  <c r="C337" s="1"/>
  <c r="B338"/>
  <c r="C338" s="1"/>
  <c r="B339"/>
  <c r="C339" s="1"/>
  <c r="B340"/>
  <c r="C340" s="1"/>
  <c r="B341"/>
  <c r="C341" s="1"/>
  <c r="B41"/>
  <c r="C41" s="1"/>
  <c r="B342"/>
  <c r="C342" s="1"/>
  <c r="B343"/>
  <c r="C343" s="1"/>
  <c r="B344"/>
  <c r="C344" s="1"/>
  <c r="B345"/>
  <c r="C345" s="1"/>
  <c r="B346"/>
  <c r="C346" s="1"/>
  <c r="B347"/>
  <c r="C347" s="1"/>
  <c r="B348"/>
  <c r="C348" s="1"/>
  <c r="B349"/>
  <c r="C349" s="1"/>
  <c r="B350"/>
  <c r="C350" s="1"/>
  <c r="B351"/>
  <c r="C351" s="1"/>
  <c r="B352"/>
  <c r="C352" s="1"/>
  <c r="B353"/>
  <c r="C353" s="1"/>
  <c r="B354"/>
  <c r="C354" s="1"/>
  <c r="B355"/>
  <c r="C355" s="1"/>
  <c r="B356"/>
  <c r="C356" s="1"/>
  <c r="B357"/>
  <c r="C357" s="1"/>
  <c r="B358"/>
  <c r="C358" s="1"/>
  <c r="B359"/>
  <c r="C359" s="1"/>
  <c r="B43"/>
  <c r="C43" s="1"/>
  <c r="B360"/>
  <c r="C360" s="1"/>
  <c r="B361"/>
  <c r="C361" s="1"/>
  <c r="B362"/>
  <c r="C362" s="1"/>
  <c r="B363"/>
  <c r="C363" s="1"/>
  <c r="B364"/>
  <c r="C364" s="1"/>
  <c r="B365"/>
  <c r="C365" s="1"/>
  <c r="B366"/>
  <c r="C366" s="1"/>
  <c r="B367"/>
  <c r="C367" s="1"/>
  <c r="B368"/>
  <c r="C368" s="1"/>
  <c r="B369"/>
  <c r="C369" s="1"/>
  <c r="B44"/>
  <c r="C44" s="1"/>
  <c r="B370"/>
  <c r="C370" s="1"/>
  <c r="B371"/>
  <c r="C371" s="1"/>
  <c r="B372"/>
  <c r="C372" s="1"/>
  <c r="B373"/>
  <c r="C373" s="1"/>
  <c r="B374"/>
  <c r="C374" s="1"/>
  <c r="B375"/>
  <c r="C375" s="1"/>
  <c r="B45"/>
  <c r="C45" s="1"/>
  <c r="B376"/>
  <c r="C376" s="1"/>
  <c r="B377"/>
  <c r="C377" s="1"/>
  <c r="B378"/>
  <c r="C378" s="1"/>
  <c r="B379"/>
  <c r="C379" s="1"/>
  <c r="B380"/>
  <c r="C380" s="1"/>
  <c r="B381"/>
  <c r="C381" s="1"/>
  <c r="B382"/>
  <c r="C382" s="1"/>
  <c r="B383"/>
  <c r="C383" s="1"/>
  <c r="B384"/>
  <c r="C384" s="1"/>
  <c r="B385"/>
  <c r="C385" s="1"/>
  <c r="B46"/>
  <c r="C46" s="1"/>
  <c r="B386"/>
  <c r="C386" s="1"/>
  <c r="B387"/>
  <c r="C387" s="1"/>
  <c r="B388"/>
  <c r="C388" s="1"/>
  <c r="B389"/>
  <c r="C389" s="1"/>
  <c r="B390"/>
  <c r="C390" s="1"/>
  <c r="B391"/>
  <c r="C391" s="1"/>
  <c r="B392"/>
  <c r="C392" s="1"/>
  <c r="B393"/>
  <c r="C393" s="1"/>
  <c r="B394"/>
  <c r="C394" s="1"/>
  <c r="B47"/>
  <c r="C47" s="1"/>
  <c r="B395"/>
  <c r="C395" s="1"/>
  <c r="B396"/>
  <c r="C396" s="1"/>
  <c r="B397"/>
  <c r="C397" s="1"/>
  <c r="B398"/>
  <c r="C398" s="1"/>
  <c r="B399"/>
  <c r="C399" s="1"/>
  <c r="B400"/>
  <c r="C400" s="1"/>
  <c r="B401"/>
  <c r="C401" s="1"/>
  <c r="B402"/>
  <c r="C402" s="1"/>
  <c r="B48"/>
  <c r="C48" s="1"/>
  <c r="B403"/>
  <c r="C403" s="1"/>
  <c r="B405"/>
  <c r="C405" s="1"/>
  <c r="B49"/>
  <c r="C49" s="1"/>
  <c r="B407"/>
  <c r="C407" s="1"/>
  <c r="B409"/>
  <c r="C409" s="1"/>
  <c r="B410"/>
  <c r="C410" s="1"/>
  <c r="B411"/>
  <c r="C411" s="1"/>
  <c r="B412"/>
  <c r="C412" s="1"/>
  <c r="B413"/>
  <c r="C413" s="1"/>
  <c r="B414"/>
  <c r="C414" s="1"/>
  <c r="B415"/>
  <c r="C415" s="1"/>
  <c r="B416"/>
  <c r="C416" s="1"/>
  <c r="B5"/>
  <c r="C5" s="1"/>
  <c r="B50"/>
  <c r="C50" s="1"/>
  <c r="B417"/>
  <c r="C417" s="1"/>
  <c r="B51"/>
  <c r="C51" s="1"/>
  <c r="B52"/>
  <c r="C52" s="1"/>
  <c r="B53"/>
  <c r="C53" s="1"/>
  <c r="B54"/>
  <c r="C54" s="1"/>
  <c r="B55"/>
  <c r="C55" s="1"/>
  <c r="B56"/>
  <c r="C56" s="1"/>
  <c r="B58"/>
  <c r="C58" s="1"/>
  <c r="B59"/>
  <c r="C59" s="1"/>
  <c r="B6"/>
  <c r="C6" s="1"/>
  <c r="B60"/>
  <c r="C60" s="1"/>
  <c r="B61"/>
  <c r="C61" s="1"/>
  <c r="B62"/>
  <c r="C62" s="1"/>
  <c r="B63"/>
  <c r="C63" s="1"/>
  <c r="B64"/>
  <c r="C64" s="1"/>
  <c r="B65"/>
  <c r="C65" s="1"/>
  <c r="B66"/>
  <c r="C66" s="1"/>
  <c r="B67"/>
  <c r="C67" s="1"/>
  <c r="B68"/>
  <c r="C68" s="1"/>
  <c r="B69"/>
  <c r="C69" s="1"/>
  <c r="B7"/>
  <c r="C7" s="1"/>
  <c r="B70"/>
  <c r="C70" s="1"/>
  <c r="B71"/>
  <c r="C71" s="1"/>
  <c r="B72"/>
  <c r="C72" s="1"/>
  <c r="B73"/>
  <c r="C73" s="1"/>
  <c r="B74"/>
  <c r="C74" s="1"/>
  <c r="B75"/>
  <c r="C75" s="1"/>
  <c r="B76"/>
  <c r="C76" s="1"/>
  <c r="B77"/>
  <c r="C77" s="1"/>
  <c r="B78"/>
  <c r="C78" s="1"/>
  <c r="B79"/>
  <c r="C79" s="1"/>
  <c r="B8"/>
  <c r="C8" s="1"/>
  <c r="B80"/>
  <c r="C80" s="1"/>
  <c r="B81"/>
  <c r="C81" s="1"/>
  <c r="B82"/>
  <c r="C82" s="1"/>
  <c r="B83"/>
  <c r="C83" s="1"/>
  <c r="B84"/>
  <c r="C84" s="1"/>
  <c r="B85"/>
  <c r="C85" s="1"/>
  <c r="B86"/>
  <c r="C86" s="1"/>
  <c r="B87"/>
  <c r="C87" s="1"/>
  <c r="B88"/>
  <c r="C88" s="1"/>
  <c r="B89"/>
  <c r="C89" s="1"/>
  <c r="B90"/>
  <c r="C90" s="1"/>
  <c r="B91"/>
  <c r="C91" s="1"/>
  <c r="B92"/>
  <c r="C92" s="1"/>
  <c r="B93"/>
  <c r="C93" s="1"/>
  <c r="B94"/>
  <c r="C94" s="1"/>
  <c r="B95"/>
  <c r="C95" s="1"/>
  <c r="B96"/>
  <c r="C96" s="1"/>
  <c r="B97"/>
  <c r="C97" s="1"/>
  <c r="B98"/>
  <c r="C98" s="1"/>
  <c r="B1"/>
  <c r="C1" s="1"/>
  <c r="L598" i="4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W4"/>
  <c r="X4"/>
  <c r="W5"/>
  <c r="X5"/>
  <c r="W6"/>
  <c r="X6"/>
  <c r="W7"/>
  <c r="X7"/>
  <c r="W8"/>
  <c r="X8"/>
  <c r="W9"/>
  <c r="X9"/>
  <c r="W10"/>
  <c r="X10"/>
  <c r="W11"/>
  <c r="X11"/>
  <c r="W12"/>
  <c r="X12"/>
  <c r="W13"/>
  <c r="X13"/>
  <c r="W14"/>
  <c r="X14"/>
  <c r="W15"/>
  <c r="X15"/>
  <c r="W16"/>
  <c r="X16"/>
  <c r="W17"/>
  <c r="X17"/>
  <c r="W18"/>
  <c r="X18"/>
  <c r="W19"/>
  <c r="X19"/>
  <c r="W20"/>
  <c r="X20"/>
  <c r="W21"/>
  <c r="X21"/>
  <c r="W22"/>
  <c r="X22"/>
  <c r="W23"/>
  <c r="X23"/>
  <c r="W24"/>
  <c r="X24"/>
  <c r="W25"/>
  <c r="X25"/>
  <c r="W26"/>
  <c r="X26"/>
  <c r="W27"/>
  <c r="X27"/>
  <c r="W28"/>
  <c r="X28"/>
  <c r="W29"/>
  <c r="X29"/>
  <c r="W30"/>
  <c r="X30"/>
  <c r="W31"/>
  <c r="X31"/>
  <c r="W32"/>
  <c r="X32"/>
  <c r="W33"/>
  <c r="X33"/>
  <c r="W34"/>
  <c r="X34"/>
  <c r="W35"/>
  <c r="X35"/>
  <c r="W36"/>
  <c r="X36"/>
  <c r="W37"/>
  <c r="X37"/>
  <c r="W38"/>
  <c r="X38"/>
  <c r="W39"/>
  <c r="X39"/>
  <c r="W40"/>
  <c r="X40"/>
  <c r="W41"/>
  <c r="X41"/>
  <c r="W42"/>
  <c r="X42"/>
  <c r="W43"/>
  <c r="X43"/>
  <c r="W44"/>
  <c r="X44"/>
  <c r="W45"/>
  <c r="X45"/>
  <c r="W46"/>
  <c r="X46"/>
  <c r="W47"/>
  <c r="X47"/>
  <c r="W48"/>
  <c r="X48"/>
  <c r="W49"/>
  <c r="X49"/>
  <c r="W50"/>
  <c r="X50"/>
  <c r="W51"/>
  <c r="X51"/>
  <c r="W52"/>
  <c r="X52"/>
  <c r="W53"/>
  <c r="X53"/>
  <c r="W54"/>
  <c r="X54"/>
  <c r="W55"/>
  <c r="X55"/>
  <c r="W56"/>
  <c r="X56"/>
  <c r="W57"/>
  <c r="X57"/>
  <c r="W58"/>
  <c r="X58"/>
  <c r="W59"/>
  <c r="X59"/>
  <c r="W60"/>
  <c r="X60"/>
  <c r="W61"/>
  <c r="X61"/>
  <c r="W62"/>
  <c r="X62"/>
  <c r="W63"/>
  <c r="X63"/>
  <c r="W64"/>
  <c r="X64"/>
  <c r="W65"/>
  <c r="X65"/>
  <c r="W66"/>
  <c r="X66"/>
  <c r="W67"/>
  <c r="X67"/>
  <c r="W68"/>
  <c r="X68"/>
  <c r="W69"/>
  <c r="X69"/>
  <c r="W70"/>
  <c r="X70"/>
  <c r="W71"/>
  <c r="X71"/>
  <c r="W72"/>
  <c r="X72"/>
  <c r="W73"/>
  <c r="X73"/>
  <c r="W74"/>
  <c r="X74"/>
  <c r="W75"/>
  <c r="X75"/>
  <c r="W76"/>
  <c r="X76"/>
  <c r="W77"/>
  <c r="X77"/>
  <c r="W78"/>
  <c r="X78"/>
  <c r="W79"/>
  <c r="X79"/>
  <c r="W80"/>
  <c r="X80"/>
  <c r="W81"/>
  <c r="X81"/>
  <c r="W82"/>
  <c r="X82"/>
  <c r="W83"/>
  <c r="X83"/>
  <c r="W84"/>
  <c r="X84"/>
  <c r="W85"/>
  <c r="X85"/>
  <c r="W86"/>
  <c r="X86"/>
  <c r="W87"/>
  <c r="X87"/>
  <c r="W88"/>
  <c r="X88"/>
  <c r="W89"/>
  <c r="X89"/>
  <c r="W90"/>
  <c r="X90"/>
  <c r="W91"/>
  <c r="X91"/>
  <c r="W92"/>
  <c r="X92"/>
  <c r="W93"/>
  <c r="X93"/>
  <c r="W94"/>
  <c r="X94"/>
  <c r="W95"/>
  <c r="X95"/>
  <c r="W96"/>
  <c r="X96"/>
  <c r="W97"/>
  <c r="X97"/>
  <c r="W98"/>
  <c r="X98"/>
  <c r="W99"/>
  <c r="X99"/>
  <c r="W100"/>
  <c r="X100"/>
  <c r="W101"/>
  <c r="X101"/>
  <c r="W102"/>
  <c r="X102"/>
  <c r="W103"/>
  <c r="X103"/>
  <c r="W104"/>
  <c r="X104"/>
  <c r="W105"/>
  <c r="X105"/>
  <c r="W106"/>
  <c r="X106"/>
  <c r="W107"/>
  <c r="X107"/>
  <c r="W108"/>
  <c r="X108"/>
  <c r="W109"/>
  <c r="X109"/>
  <c r="W110"/>
  <c r="X110"/>
  <c r="W111"/>
  <c r="X111"/>
  <c r="W112"/>
  <c r="X112"/>
  <c r="W113"/>
  <c r="X113"/>
  <c r="W114"/>
  <c r="X114"/>
  <c r="W115"/>
  <c r="X115"/>
  <c r="W116"/>
  <c r="X116"/>
  <c r="W117"/>
  <c r="X117"/>
  <c r="W118"/>
  <c r="X118"/>
  <c r="W119"/>
  <c r="X119"/>
  <c r="W120"/>
  <c r="X120"/>
  <c r="W121"/>
  <c r="X121"/>
  <c r="W122"/>
  <c r="X122"/>
  <c r="W123"/>
  <c r="X123"/>
  <c r="W124"/>
  <c r="X124"/>
  <c r="W125"/>
  <c r="X125"/>
  <c r="W126"/>
  <c r="X126"/>
  <c r="W127"/>
  <c r="X127"/>
  <c r="W128"/>
  <c r="X128"/>
  <c r="W129"/>
  <c r="X129"/>
  <c r="W130"/>
  <c r="X130"/>
  <c r="W131"/>
  <c r="X131"/>
  <c r="W132"/>
  <c r="X132"/>
  <c r="W133"/>
  <c r="X133"/>
  <c r="W134"/>
  <c r="X134"/>
  <c r="W135"/>
  <c r="X135"/>
  <c r="W136"/>
  <c r="X136"/>
  <c r="W137"/>
  <c r="X137"/>
  <c r="W138"/>
  <c r="X138"/>
  <c r="W139"/>
  <c r="X139"/>
  <c r="W140"/>
  <c r="X140"/>
  <c r="W141"/>
  <c r="X141"/>
  <c r="W142"/>
  <c r="X142"/>
  <c r="W143"/>
  <c r="X143"/>
  <c r="W144"/>
  <c r="X144"/>
  <c r="W145"/>
  <c r="X145"/>
  <c r="W146"/>
  <c r="X146"/>
  <c r="W147"/>
  <c r="X147"/>
  <c r="W148"/>
  <c r="X148"/>
  <c r="W149"/>
  <c r="X149"/>
  <c r="W150"/>
  <c r="X150"/>
  <c r="W151"/>
  <c r="X151"/>
  <c r="W152"/>
  <c r="X152"/>
  <c r="W153"/>
  <c r="X153"/>
  <c r="W154"/>
  <c r="X154"/>
  <c r="W155"/>
  <c r="X155"/>
  <c r="W156"/>
  <c r="X156"/>
  <c r="W157"/>
  <c r="X157"/>
  <c r="W158"/>
  <c r="X158"/>
  <c r="W159"/>
  <c r="X159"/>
  <c r="W160"/>
  <c r="X160"/>
  <c r="W161"/>
  <c r="X161"/>
  <c r="W162"/>
  <c r="X162"/>
  <c r="W163"/>
  <c r="X163"/>
  <c r="W164"/>
  <c r="X164"/>
  <c r="W165"/>
  <c r="X165"/>
  <c r="W166"/>
  <c r="X166"/>
  <c r="W167"/>
  <c r="X167"/>
  <c r="W168"/>
  <c r="X168"/>
  <c r="W169"/>
  <c r="X169"/>
  <c r="W170"/>
  <c r="X170"/>
  <c r="W171"/>
  <c r="X171"/>
  <c r="W172"/>
  <c r="X172"/>
  <c r="W173"/>
  <c r="X173"/>
  <c r="W174"/>
  <c r="X174"/>
  <c r="W175"/>
  <c r="X175"/>
  <c r="W176"/>
  <c r="X176"/>
  <c r="W177"/>
  <c r="X177"/>
  <c r="W178"/>
  <c r="X178"/>
  <c r="W179"/>
  <c r="X179"/>
  <c r="W180"/>
  <c r="X180"/>
  <c r="W181"/>
  <c r="X181"/>
  <c r="W182"/>
  <c r="X182"/>
  <c r="W183"/>
  <c r="X183"/>
  <c r="W184"/>
  <c r="X184"/>
  <c r="W185"/>
  <c r="X185"/>
  <c r="W186"/>
  <c r="X186"/>
  <c r="W187"/>
  <c r="X187"/>
  <c r="W188"/>
  <c r="X188"/>
  <c r="W189"/>
  <c r="X189"/>
  <c r="W190"/>
  <c r="X190"/>
  <c r="W191"/>
  <c r="X191"/>
  <c r="W192"/>
  <c r="X192"/>
  <c r="W193"/>
  <c r="X193"/>
  <c r="W194"/>
  <c r="X194"/>
  <c r="W195"/>
  <c r="X195"/>
  <c r="W196"/>
  <c r="X196"/>
  <c r="W197"/>
  <c r="X197"/>
  <c r="W198"/>
  <c r="X198"/>
  <c r="W199"/>
  <c r="X199"/>
  <c r="W200"/>
  <c r="X200"/>
  <c r="W201"/>
  <c r="X201"/>
  <c r="W202"/>
  <c r="X202"/>
  <c r="W203"/>
  <c r="X203"/>
  <c r="W204"/>
  <c r="X204"/>
  <c r="W205"/>
  <c r="X205"/>
  <c r="W206"/>
  <c r="X206"/>
  <c r="W207"/>
  <c r="X207"/>
  <c r="W208"/>
  <c r="X208"/>
  <c r="W209"/>
  <c r="X209"/>
  <c r="W210"/>
  <c r="X210"/>
  <c r="W211"/>
  <c r="X211"/>
  <c r="W212"/>
  <c r="X212"/>
  <c r="W213"/>
  <c r="X213"/>
  <c r="W214"/>
  <c r="X214"/>
  <c r="W215"/>
  <c r="X215"/>
  <c r="W216"/>
  <c r="X216"/>
  <c r="W217"/>
  <c r="X217"/>
  <c r="W218"/>
  <c r="X218"/>
  <c r="W219"/>
  <c r="X219"/>
  <c r="W220"/>
  <c r="X220"/>
  <c r="W221"/>
  <c r="X221"/>
  <c r="W222"/>
  <c r="X222"/>
  <c r="W223"/>
  <c r="X223"/>
  <c r="W224"/>
  <c r="X224"/>
  <c r="W225"/>
  <c r="X225"/>
  <c r="W226"/>
  <c r="X226"/>
  <c r="W227"/>
  <c r="X227"/>
  <c r="W228"/>
  <c r="X228"/>
  <c r="W229"/>
  <c r="X229"/>
  <c r="W230"/>
  <c r="X230"/>
  <c r="W231"/>
  <c r="X231"/>
  <c r="W232"/>
  <c r="X232"/>
  <c r="W233"/>
  <c r="X233"/>
  <c r="W234"/>
  <c r="X234"/>
  <c r="W235"/>
  <c r="X235"/>
  <c r="W236"/>
  <c r="X236"/>
  <c r="W237"/>
  <c r="X237"/>
  <c r="W238"/>
  <c r="X238"/>
  <c r="W239"/>
  <c r="X239"/>
  <c r="W240"/>
  <c r="X240"/>
  <c r="W241"/>
  <c r="X241"/>
  <c r="W242"/>
  <c r="X242"/>
  <c r="W243"/>
  <c r="X243"/>
  <c r="W244"/>
  <c r="X244"/>
  <c r="W245"/>
  <c r="X245"/>
  <c r="W246"/>
  <c r="X246"/>
  <c r="W247"/>
  <c r="X247"/>
  <c r="W248"/>
  <c r="X248"/>
  <c r="W249"/>
  <c r="X249"/>
  <c r="W250"/>
  <c r="X250"/>
  <c r="W251"/>
  <c r="X251"/>
  <c r="W252"/>
  <c r="X252"/>
  <c r="W253"/>
  <c r="X253"/>
  <c r="W254"/>
  <c r="X254"/>
  <c r="W255"/>
  <c r="X255"/>
  <c r="W256"/>
  <c r="X256"/>
  <c r="W257"/>
  <c r="X257"/>
  <c r="W258"/>
  <c r="X258"/>
  <c r="W259"/>
  <c r="X259"/>
  <c r="W260"/>
  <c r="X260"/>
  <c r="W261"/>
  <c r="X261"/>
  <c r="W262"/>
  <c r="X262"/>
  <c r="W263"/>
  <c r="X263"/>
  <c r="W264"/>
  <c r="X264"/>
  <c r="W265"/>
  <c r="X265"/>
  <c r="W266"/>
  <c r="X266"/>
  <c r="W267"/>
  <c r="X267"/>
  <c r="W268"/>
  <c r="X268"/>
  <c r="W269"/>
  <c r="X269"/>
  <c r="W270"/>
  <c r="X270"/>
  <c r="W271"/>
  <c r="X271"/>
  <c r="W272"/>
  <c r="X272"/>
  <c r="W273"/>
  <c r="X273"/>
  <c r="W274"/>
  <c r="X274"/>
  <c r="W275"/>
  <c r="X275"/>
  <c r="W276"/>
  <c r="X276"/>
  <c r="W277"/>
  <c r="X277"/>
  <c r="W278"/>
  <c r="X278"/>
  <c r="W279"/>
  <c r="X279"/>
  <c r="W280"/>
  <c r="X280"/>
  <c r="W281"/>
  <c r="X281"/>
  <c r="W282"/>
  <c r="X282"/>
  <c r="W283"/>
  <c r="X283"/>
  <c r="W284"/>
  <c r="X284"/>
  <c r="W285"/>
  <c r="X285"/>
  <c r="W286"/>
  <c r="X286"/>
  <c r="W287"/>
  <c r="X287"/>
  <c r="W288"/>
  <c r="X288"/>
  <c r="W289"/>
  <c r="X289"/>
  <c r="W290"/>
  <c r="X290"/>
  <c r="W291"/>
  <c r="X291"/>
  <c r="W292"/>
  <c r="X292"/>
  <c r="W293"/>
  <c r="X293"/>
  <c r="W294"/>
  <c r="X294"/>
  <c r="W295"/>
  <c r="X295"/>
  <c r="W296"/>
  <c r="X296"/>
  <c r="W297"/>
  <c r="X297"/>
  <c r="W298"/>
  <c r="X298"/>
  <c r="W299"/>
  <c r="X299"/>
  <c r="W300"/>
  <c r="X300"/>
  <c r="W301"/>
  <c r="X301"/>
  <c r="W302"/>
  <c r="X302"/>
  <c r="W303"/>
  <c r="X303"/>
  <c r="W304"/>
  <c r="X304"/>
  <c r="W305"/>
  <c r="X305"/>
  <c r="W306"/>
  <c r="X306"/>
  <c r="W307"/>
  <c r="X307"/>
  <c r="W308"/>
  <c r="X308"/>
  <c r="W309"/>
  <c r="X309"/>
  <c r="W310"/>
  <c r="X310"/>
  <c r="W311"/>
  <c r="X311"/>
  <c r="W312"/>
  <c r="X312"/>
  <c r="W313"/>
  <c r="X313"/>
  <c r="W314"/>
  <c r="X314"/>
  <c r="W315"/>
  <c r="X315"/>
  <c r="W316"/>
  <c r="X316"/>
  <c r="W317"/>
  <c r="X317"/>
  <c r="W318"/>
  <c r="X318"/>
  <c r="W319"/>
  <c r="X319"/>
  <c r="W320"/>
  <c r="X320"/>
  <c r="W321"/>
  <c r="X321"/>
  <c r="W322"/>
  <c r="X322"/>
  <c r="W323"/>
  <c r="X323"/>
  <c r="W324"/>
  <c r="X324"/>
  <c r="W325"/>
  <c r="X325"/>
  <c r="W326"/>
  <c r="X326"/>
  <c r="W327"/>
  <c r="X327"/>
  <c r="W328"/>
  <c r="X328"/>
  <c r="W329"/>
  <c r="X329"/>
  <c r="W330"/>
  <c r="X330"/>
  <c r="W331"/>
  <c r="X331"/>
  <c r="W332"/>
  <c r="X332"/>
  <c r="W333"/>
  <c r="X333"/>
  <c r="W334"/>
  <c r="X334"/>
  <c r="W335"/>
  <c r="X335"/>
  <c r="W336"/>
  <c r="X336"/>
  <c r="W337"/>
  <c r="X337"/>
  <c r="W338"/>
  <c r="X338"/>
  <c r="W339"/>
  <c r="X339"/>
  <c r="W340"/>
  <c r="X340"/>
  <c r="W341"/>
  <c r="X341"/>
  <c r="W342"/>
  <c r="X342"/>
  <c r="W343"/>
  <c r="X343"/>
  <c r="W344"/>
  <c r="X344"/>
  <c r="W345"/>
  <c r="X345"/>
  <c r="W346"/>
  <c r="X346"/>
  <c r="W347"/>
  <c r="X347"/>
  <c r="W348"/>
  <c r="X348"/>
  <c r="W349"/>
  <c r="X349"/>
  <c r="W350"/>
  <c r="X350"/>
  <c r="W351"/>
  <c r="X351"/>
  <c r="W352"/>
  <c r="X352"/>
  <c r="W353"/>
  <c r="X353"/>
  <c r="W354"/>
  <c r="X354"/>
  <c r="W355"/>
  <c r="X355"/>
  <c r="W356"/>
  <c r="X356"/>
  <c r="W357"/>
  <c r="X357"/>
  <c r="W358"/>
  <c r="X358"/>
  <c r="W359"/>
  <c r="X359"/>
  <c r="W360"/>
  <c r="X360"/>
  <c r="W361"/>
  <c r="X361"/>
  <c r="W362"/>
  <c r="X362"/>
  <c r="W363"/>
  <c r="X363"/>
  <c r="W364"/>
  <c r="X364"/>
  <c r="W365"/>
  <c r="X365"/>
  <c r="W366"/>
  <c r="X366"/>
  <c r="W367"/>
  <c r="X367"/>
  <c r="W368"/>
  <c r="X368"/>
  <c r="W369"/>
  <c r="X369"/>
  <c r="W370"/>
  <c r="X370"/>
  <c r="W371"/>
  <c r="X371"/>
  <c r="W372"/>
  <c r="X372"/>
  <c r="W373"/>
  <c r="X373"/>
  <c r="W374"/>
  <c r="X374"/>
  <c r="W375"/>
  <c r="X375"/>
  <c r="W376"/>
  <c r="X376"/>
  <c r="W377"/>
  <c r="X377"/>
  <c r="W378"/>
  <c r="X378"/>
  <c r="W379"/>
  <c r="X379"/>
  <c r="W380"/>
  <c r="X380"/>
  <c r="W381"/>
  <c r="X381"/>
  <c r="W382"/>
  <c r="X382"/>
  <c r="W383"/>
  <c r="X383"/>
  <c r="W384"/>
  <c r="X384"/>
  <c r="W385"/>
  <c r="X385"/>
  <c r="W386"/>
  <c r="X386"/>
  <c r="W387"/>
  <c r="X387"/>
  <c r="W388"/>
  <c r="X388"/>
  <c r="W389"/>
  <c r="X389"/>
  <c r="W390"/>
  <c r="X390"/>
  <c r="W391"/>
  <c r="X391"/>
  <c r="W392"/>
  <c r="X392"/>
  <c r="W393"/>
  <c r="X393"/>
  <c r="W394"/>
  <c r="X394"/>
  <c r="W395"/>
  <c r="X395"/>
  <c r="W396"/>
  <c r="X396"/>
  <c r="W397"/>
  <c r="X397"/>
  <c r="W398"/>
  <c r="X398"/>
  <c r="W399"/>
  <c r="X399"/>
  <c r="W400"/>
  <c r="X400"/>
  <c r="W401"/>
  <c r="X401"/>
  <c r="W402"/>
  <c r="X402"/>
  <c r="W403"/>
  <c r="X403"/>
  <c r="W404"/>
  <c r="X404"/>
  <c r="W405"/>
  <c r="X405"/>
  <c r="W406"/>
  <c r="X406"/>
  <c r="W407"/>
  <c r="X407"/>
  <c r="W408"/>
  <c r="X408"/>
  <c r="W409"/>
  <c r="X409"/>
  <c r="W410"/>
  <c r="X410"/>
  <c r="W411"/>
  <c r="X411"/>
  <c r="W412"/>
  <c r="X412"/>
  <c r="W413"/>
  <c r="X413"/>
  <c r="W414"/>
  <c r="X414"/>
  <c r="W415"/>
  <c r="X415"/>
  <c r="W416"/>
  <c r="X416"/>
  <c r="W417"/>
  <c r="X417"/>
  <c r="W418"/>
  <c r="X418"/>
  <c r="W419"/>
  <c r="X419"/>
  <c r="W420"/>
  <c r="X420"/>
  <c r="W421"/>
  <c r="X421"/>
  <c r="W422"/>
  <c r="X422"/>
  <c r="W423"/>
  <c r="X423"/>
  <c r="W424"/>
  <c r="X424"/>
  <c r="W425"/>
  <c r="X425"/>
  <c r="W426"/>
  <c r="X426"/>
  <c r="W427"/>
  <c r="X427"/>
  <c r="W428"/>
  <c r="X428"/>
  <c r="W429"/>
  <c r="X429"/>
  <c r="W430"/>
  <c r="X430"/>
  <c r="W431"/>
  <c r="X431"/>
  <c r="W432"/>
  <c r="X432"/>
  <c r="W433"/>
  <c r="X433"/>
  <c r="W434"/>
  <c r="X434"/>
  <c r="W435"/>
  <c r="X435"/>
  <c r="W436"/>
  <c r="X436"/>
  <c r="W437"/>
  <c r="X437"/>
  <c r="W438"/>
  <c r="X438"/>
  <c r="W439"/>
  <c r="X439"/>
  <c r="W440"/>
  <c r="X440"/>
  <c r="W441"/>
  <c r="X441"/>
  <c r="W442"/>
  <c r="X442"/>
  <c r="W443"/>
  <c r="X443"/>
  <c r="W444"/>
  <c r="X444"/>
  <c r="W445"/>
  <c r="X445"/>
  <c r="W446"/>
  <c r="X446"/>
  <c r="W447"/>
  <c r="X447"/>
  <c r="W448"/>
  <c r="X448"/>
  <c r="W449"/>
  <c r="X449"/>
  <c r="W450"/>
  <c r="X450"/>
  <c r="W451"/>
  <c r="X451"/>
  <c r="W452"/>
  <c r="X452"/>
  <c r="W453"/>
  <c r="X453"/>
  <c r="W454"/>
  <c r="X454"/>
  <c r="W455"/>
  <c r="X455"/>
  <c r="W456"/>
  <c r="X456"/>
  <c r="W457"/>
  <c r="X457"/>
  <c r="W458"/>
  <c r="X458"/>
  <c r="W459"/>
  <c r="X459"/>
  <c r="W460"/>
  <c r="X460"/>
  <c r="W461"/>
  <c r="X461"/>
  <c r="W462"/>
  <c r="X462"/>
  <c r="W463"/>
  <c r="X463"/>
  <c r="W464"/>
  <c r="X464"/>
  <c r="W465"/>
  <c r="X465"/>
  <c r="W466"/>
  <c r="X466"/>
  <c r="W467"/>
  <c r="X467"/>
  <c r="W468"/>
  <c r="X468"/>
  <c r="W469"/>
  <c r="X469"/>
  <c r="W470"/>
  <c r="X470"/>
  <c r="W471"/>
  <c r="X471"/>
  <c r="W472"/>
  <c r="X472"/>
  <c r="W473"/>
  <c r="X473"/>
  <c r="W474"/>
  <c r="X474"/>
  <c r="W475"/>
  <c r="X475"/>
  <c r="W476"/>
  <c r="X476"/>
  <c r="W477"/>
  <c r="X477"/>
  <c r="W478"/>
  <c r="X478"/>
  <c r="W479"/>
  <c r="X479"/>
  <c r="W480"/>
  <c r="X480"/>
  <c r="W481"/>
  <c r="X481"/>
  <c r="W482"/>
  <c r="X482"/>
  <c r="W483"/>
  <c r="X483"/>
  <c r="W484"/>
  <c r="X484"/>
  <c r="W485"/>
  <c r="X485"/>
  <c r="W486"/>
  <c r="X486"/>
  <c r="W487"/>
  <c r="X487"/>
  <c r="W488"/>
  <c r="X488"/>
  <c r="W489"/>
  <c r="X489"/>
  <c r="W490"/>
  <c r="X490"/>
  <c r="W491"/>
  <c r="X491"/>
  <c r="W492"/>
  <c r="X492"/>
  <c r="W493"/>
  <c r="X493"/>
  <c r="W494"/>
  <c r="X494"/>
  <c r="W495"/>
  <c r="X495"/>
  <c r="W496"/>
  <c r="X496"/>
  <c r="W497"/>
  <c r="X497"/>
  <c r="W498"/>
  <c r="X498"/>
  <c r="W499"/>
  <c r="X499"/>
  <c r="W500"/>
  <c r="X500"/>
  <c r="W501"/>
  <c r="X501"/>
  <c r="W502"/>
  <c r="X502"/>
  <c r="W503"/>
  <c r="X503"/>
  <c r="W504"/>
  <c r="X504"/>
  <c r="W505"/>
  <c r="X505"/>
  <c r="W506"/>
  <c r="X506"/>
  <c r="W507"/>
  <c r="X507"/>
  <c r="W508"/>
  <c r="X508"/>
  <c r="W509"/>
  <c r="X509"/>
  <c r="W510"/>
  <c r="X510"/>
  <c r="W511"/>
  <c r="X511"/>
  <c r="W512"/>
  <c r="X512"/>
  <c r="W513"/>
  <c r="X513"/>
  <c r="W514"/>
  <c r="X514"/>
  <c r="W515"/>
  <c r="X515"/>
  <c r="W516"/>
  <c r="X516"/>
  <c r="W517"/>
  <c r="X517"/>
  <c r="W518"/>
  <c r="X518"/>
  <c r="W519"/>
  <c r="X519"/>
  <c r="W520"/>
  <c r="X520"/>
  <c r="W521"/>
  <c r="X521"/>
  <c r="W522"/>
  <c r="X522"/>
  <c r="W523"/>
  <c r="X523"/>
  <c r="W524"/>
  <c r="X524"/>
  <c r="W525"/>
  <c r="X525"/>
  <c r="W526"/>
  <c r="X526"/>
  <c r="W527"/>
  <c r="X527"/>
  <c r="W528"/>
  <c r="X528"/>
  <c r="W529"/>
  <c r="X529"/>
  <c r="W530"/>
  <c r="X530"/>
  <c r="W531"/>
  <c r="X531"/>
  <c r="W532"/>
  <c r="X532"/>
  <c r="W533"/>
  <c r="X533"/>
  <c r="W534"/>
  <c r="X534"/>
  <c r="W535"/>
  <c r="X535"/>
  <c r="W536"/>
  <c r="X536"/>
  <c r="W537"/>
  <c r="X537"/>
  <c r="W538"/>
  <c r="X538"/>
  <c r="W539"/>
  <c r="X539"/>
  <c r="W540"/>
  <c r="X540"/>
  <c r="W541"/>
  <c r="X541"/>
  <c r="W542"/>
  <c r="X542"/>
  <c r="W543"/>
  <c r="X543"/>
  <c r="W544"/>
  <c r="X544"/>
  <c r="W545"/>
  <c r="X545"/>
  <c r="W546"/>
  <c r="X546"/>
  <c r="W547"/>
  <c r="X547"/>
  <c r="W548"/>
  <c r="X548"/>
  <c r="W549"/>
  <c r="X549"/>
  <c r="W550"/>
  <c r="X550"/>
  <c r="W551"/>
  <c r="X551"/>
  <c r="W552"/>
  <c r="X552"/>
  <c r="W553"/>
  <c r="X553"/>
  <c r="W554"/>
  <c r="X554"/>
  <c r="W555"/>
  <c r="X555"/>
  <c r="W556"/>
  <c r="X556"/>
  <c r="W557"/>
  <c r="X557"/>
  <c r="W558"/>
  <c r="X558"/>
  <c r="W559"/>
  <c r="X559"/>
  <c r="W560"/>
  <c r="X560"/>
  <c r="W561"/>
  <c r="X561"/>
  <c r="W562"/>
  <c r="X562"/>
  <c r="W563"/>
  <c r="X563"/>
  <c r="W564"/>
  <c r="X564"/>
  <c r="W565"/>
  <c r="X565"/>
  <c r="W566"/>
  <c r="X566"/>
  <c r="W567"/>
  <c r="X567"/>
  <c r="W568"/>
  <c r="X568"/>
  <c r="W569"/>
  <c r="X569"/>
  <c r="W570"/>
  <c r="X570"/>
  <c r="W571"/>
  <c r="X571"/>
  <c r="W572"/>
  <c r="X572"/>
  <c r="W573"/>
  <c r="X573"/>
  <c r="W574"/>
  <c r="X574"/>
  <c r="W575"/>
  <c r="X575"/>
  <c r="W576"/>
  <c r="X576"/>
  <c r="W577"/>
  <c r="X577"/>
  <c r="W578"/>
  <c r="X578"/>
  <c r="W579"/>
  <c r="X579"/>
  <c r="W580"/>
  <c r="X580"/>
  <c r="W581"/>
  <c r="X581"/>
  <c r="W582"/>
  <c r="X582"/>
  <c r="W583"/>
  <c r="X583"/>
  <c r="W584"/>
  <c r="X584"/>
  <c r="W585"/>
  <c r="X585"/>
  <c r="W586"/>
  <c r="X586"/>
  <c r="W587"/>
  <c r="X587"/>
  <c r="W588"/>
  <c r="X588"/>
  <c r="W589"/>
  <c r="X589"/>
  <c r="W590"/>
  <c r="X590"/>
  <c r="W591"/>
  <c r="X591"/>
  <c r="W592"/>
  <c r="X592"/>
  <c r="W593"/>
  <c r="X593"/>
  <c r="W594"/>
  <c r="X594"/>
  <c r="W595"/>
  <c r="X595"/>
  <c r="W596"/>
  <c r="X596"/>
  <c r="W597"/>
  <c r="X597"/>
  <c r="W598"/>
  <c r="X598"/>
  <c r="W599"/>
  <c r="X599"/>
  <c r="W600"/>
  <c r="X600"/>
  <c r="W601"/>
  <c r="X601"/>
  <c r="W602"/>
  <c r="X602"/>
  <c r="W603"/>
  <c r="X603"/>
  <c r="W604"/>
  <c r="X604"/>
  <c r="W605"/>
  <c r="X605"/>
  <c r="W606"/>
  <c r="X606"/>
  <c r="W607"/>
  <c r="X607"/>
  <c r="W608"/>
  <c r="X608"/>
  <c r="W609"/>
  <c r="X609"/>
  <c r="W610"/>
  <c r="X610"/>
  <c r="W611"/>
  <c r="X611"/>
  <c r="W612"/>
  <c r="X612"/>
  <c r="W613"/>
  <c r="X613"/>
  <c r="W614"/>
  <c r="X614"/>
  <c r="W615"/>
  <c r="X615"/>
  <c r="W616"/>
  <c r="X616"/>
  <c r="W617"/>
  <c r="X617"/>
  <c r="W618"/>
  <c r="X618"/>
  <c r="W619"/>
  <c r="X619"/>
  <c r="W620"/>
  <c r="X620"/>
  <c r="W621"/>
  <c r="X621"/>
  <c r="W622"/>
  <c r="X622"/>
  <c r="W623"/>
  <c r="X623"/>
  <c r="W624"/>
  <c r="X624"/>
  <c r="W625"/>
  <c r="X625"/>
  <c r="W626"/>
  <c r="X626"/>
  <c r="W627"/>
  <c r="X627"/>
  <c r="W628"/>
  <c r="X628"/>
  <c r="W629"/>
  <c r="X629"/>
  <c r="R629"/>
  <c r="V629" s="1"/>
  <c r="R628"/>
  <c r="V628" s="1"/>
  <c r="R627"/>
  <c r="V627" s="1"/>
  <c r="R626"/>
  <c r="V626" s="1"/>
  <c r="R625"/>
  <c r="V625" s="1"/>
  <c r="R624"/>
  <c r="V624" s="1"/>
  <c r="R623"/>
  <c r="V623" s="1"/>
  <c r="R622"/>
  <c r="V622" s="1"/>
  <c r="R621"/>
  <c r="V621" s="1"/>
  <c r="R620"/>
  <c r="V620" s="1"/>
  <c r="R619"/>
  <c r="V619" s="1"/>
  <c r="R618"/>
  <c r="V618" s="1"/>
  <c r="R617"/>
  <c r="V617" s="1"/>
  <c r="R616"/>
  <c r="V616" s="1"/>
  <c r="R615"/>
  <c r="V615" s="1"/>
  <c r="R614"/>
  <c r="V614" s="1"/>
  <c r="R613"/>
  <c r="V613" s="1"/>
  <c r="R612"/>
  <c r="V612" s="1"/>
  <c r="R611"/>
  <c r="V611" s="1"/>
  <c r="R610"/>
  <c r="V610" s="1"/>
  <c r="R609"/>
  <c r="V609" s="1"/>
  <c r="R608"/>
  <c r="V608" s="1"/>
  <c r="R607"/>
  <c r="V607" s="1"/>
  <c r="R606"/>
  <c r="V606" s="1"/>
  <c r="R605"/>
  <c r="V605" s="1"/>
  <c r="R604"/>
  <c r="V604" s="1"/>
  <c r="R603"/>
  <c r="V603" s="1"/>
  <c r="R602"/>
  <c r="V602" s="1"/>
  <c r="R601"/>
  <c r="V601" s="1"/>
  <c r="R600"/>
  <c r="V600" s="1"/>
  <c r="R599"/>
  <c r="V599" s="1"/>
  <c r="R598"/>
  <c r="V598" s="1"/>
  <c r="R459"/>
  <c r="V459" s="1"/>
  <c r="Q460"/>
  <c r="U460" s="1"/>
  <c r="R460"/>
  <c r="V460" s="1"/>
  <c r="R461"/>
  <c r="V461" s="1"/>
  <c r="R462"/>
  <c r="V462" s="1"/>
  <c r="R463"/>
  <c r="V463" s="1"/>
  <c r="R464"/>
  <c r="V464" s="1"/>
  <c r="R465"/>
  <c r="V465" s="1"/>
  <c r="R466"/>
  <c r="V466" s="1"/>
  <c r="R467"/>
  <c r="V467" s="1"/>
  <c r="R468"/>
  <c r="V468" s="1"/>
  <c r="Q469"/>
  <c r="U469" s="1"/>
  <c r="R469"/>
  <c r="V469" s="1"/>
  <c r="Q470"/>
  <c r="U470" s="1"/>
  <c r="R470"/>
  <c r="V470" s="1"/>
  <c r="Q471"/>
  <c r="U471" s="1"/>
  <c r="R471"/>
  <c r="V471" s="1"/>
  <c r="Q472"/>
  <c r="U472" s="1"/>
  <c r="R472"/>
  <c r="V472" s="1"/>
  <c r="R473"/>
  <c r="V473" s="1"/>
  <c r="R474"/>
  <c r="V474" s="1"/>
  <c r="Q475"/>
  <c r="U475" s="1"/>
  <c r="R475"/>
  <c r="V475" s="1"/>
  <c r="R476"/>
  <c r="V476" s="1"/>
  <c r="R477"/>
  <c r="V477" s="1"/>
  <c r="Q478"/>
  <c r="U478" s="1"/>
  <c r="R478"/>
  <c r="V478" s="1"/>
  <c r="Q479"/>
  <c r="U479" s="1"/>
  <c r="R479"/>
  <c r="V479" s="1"/>
  <c r="Q480"/>
  <c r="U480" s="1"/>
  <c r="R480"/>
  <c r="V480" s="1"/>
  <c r="Q481"/>
  <c r="U481" s="1"/>
  <c r="R481"/>
  <c r="V481" s="1"/>
  <c r="Q482"/>
  <c r="U482" s="1"/>
  <c r="R482"/>
  <c r="V482" s="1"/>
  <c r="Q483"/>
  <c r="U483" s="1"/>
  <c r="R483"/>
  <c r="V483" s="1"/>
  <c r="Q484"/>
  <c r="U484" s="1"/>
  <c r="R484"/>
  <c r="V484" s="1"/>
  <c r="Q485"/>
  <c r="U485" s="1"/>
  <c r="R485"/>
  <c r="V485" s="1"/>
  <c r="Q486"/>
  <c r="U486" s="1"/>
  <c r="R486"/>
  <c r="V486" s="1"/>
  <c r="Q487"/>
  <c r="U487" s="1"/>
  <c r="R487"/>
  <c r="V487" s="1"/>
  <c r="Q489"/>
  <c r="U489" s="1"/>
  <c r="R489"/>
  <c r="V489" s="1"/>
  <c r="Q490"/>
  <c r="U490" s="1"/>
  <c r="R490"/>
  <c r="V490" s="1"/>
  <c r="Q491"/>
  <c r="U491" s="1"/>
  <c r="R491"/>
  <c r="V491" s="1"/>
  <c r="Q492"/>
  <c r="U492" s="1"/>
  <c r="R492"/>
  <c r="V492" s="1"/>
  <c r="Q493"/>
  <c r="U493" s="1"/>
  <c r="R493"/>
  <c r="V493" s="1"/>
  <c r="Q494"/>
  <c r="U494" s="1"/>
  <c r="R494"/>
  <c r="V494" s="1"/>
  <c r="Q495"/>
  <c r="U495" s="1"/>
  <c r="R495"/>
  <c r="V495" s="1"/>
  <c r="Q496"/>
  <c r="U496" s="1"/>
  <c r="R496"/>
  <c r="V496" s="1"/>
  <c r="R497"/>
  <c r="V497" s="1"/>
  <c r="R499"/>
  <c r="V499" s="1"/>
  <c r="R500"/>
  <c r="V500" s="1"/>
  <c r="Q501"/>
  <c r="U501" s="1"/>
  <c r="R501"/>
  <c r="V501" s="1"/>
  <c r="Q502"/>
  <c r="U502" s="1"/>
  <c r="R502"/>
  <c r="V502" s="1"/>
  <c r="Q503"/>
  <c r="U503" s="1"/>
  <c r="R503"/>
  <c r="V503" s="1"/>
  <c r="Q504"/>
  <c r="U504" s="1"/>
  <c r="R504"/>
  <c r="V504" s="1"/>
  <c r="Q505"/>
  <c r="U505" s="1"/>
  <c r="R505"/>
  <c r="V505" s="1"/>
  <c r="Q506"/>
  <c r="U506" s="1"/>
  <c r="R506"/>
  <c r="V506" s="1"/>
  <c r="R507"/>
  <c r="V507" s="1"/>
  <c r="R508"/>
  <c r="V508" s="1"/>
  <c r="R509"/>
  <c r="V509" s="1"/>
  <c r="Q510"/>
  <c r="U510" s="1"/>
  <c r="R510"/>
  <c r="V510" s="1"/>
  <c r="Q511"/>
  <c r="U511" s="1"/>
  <c r="R511"/>
  <c r="V511" s="1"/>
  <c r="R512"/>
  <c r="V512" s="1"/>
  <c r="R513"/>
  <c r="V513" s="1"/>
  <c r="R514"/>
  <c r="V514" s="1"/>
  <c r="Q515"/>
  <c r="U515" s="1"/>
  <c r="R515"/>
  <c r="V515" s="1"/>
  <c r="R516"/>
  <c r="V516" s="1"/>
  <c r="Q517"/>
  <c r="U517" s="1"/>
  <c r="R517"/>
  <c r="V517" s="1"/>
  <c r="Q518"/>
  <c r="U518" s="1"/>
  <c r="R518"/>
  <c r="V518" s="1"/>
  <c r="R519"/>
  <c r="V519" s="1"/>
  <c r="Q520"/>
  <c r="U520" s="1"/>
  <c r="R520"/>
  <c r="V520" s="1"/>
  <c r="Q521"/>
  <c r="U521" s="1"/>
  <c r="R521"/>
  <c r="V521" s="1"/>
  <c r="Q522"/>
  <c r="U522" s="1"/>
  <c r="R522"/>
  <c r="V522" s="1"/>
  <c r="R523"/>
  <c r="V523" s="1"/>
  <c r="R524"/>
  <c r="V524" s="1"/>
  <c r="R525"/>
  <c r="V525" s="1"/>
  <c r="Q526"/>
  <c r="U526" s="1"/>
  <c r="R526"/>
  <c r="V526" s="1"/>
  <c r="Q531"/>
  <c r="U531" s="1"/>
  <c r="R531"/>
  <c r="V531" s="1"/>
  <c r="Q532"/>
  <c r="U532" s="1"/>
  <c r="R532"/>
  <c r="V532" s="1"/>
  <c r="Q533"/>
  <c r="U533" s="1"/>
  <c r="R533"/>
  <c r="V533" s="1"/>
  <c r="Q534"/>
  <c r="U534" s="1"/>
  <c r="R534"/>
  <c r="V534" s="1"/>
  <c r="Q535"/>
  <c r="U535" s="1"/>
  <c r="R535"/>
  <c r="V535" s="1"/>
  <c r="Q536"/>
  <c r="U536" s="1"/>
  <c r="R536"/>
  <c r="V536" s="1"/>
  <c r="Q537"/>
  <c r="U537" s="1"/>
  <c r="R537"/>
  <c r="V537" s="1"/>
  <c r="Q538"/>
  <c r="U538" s="1"/>
  <c r="R538"/>
  <c r="V538" s="1"/>
  <c r="Q539"/>
  <c r="U539" s="1"/>
  <c r="R539"/>
  <c r="V539" s="1"/>
  <c r="Q540"/>
  <c r="U540" s="1"/>
  <c r="R540"/>
  <c r="V540" s="1"/>
  <c r="Q541"/>
  <c r="U541" s="1"/>
  <c r="R541"/>
  <c r="V541" s="1"/>
  <c r="Q542"/>
  <c r="U542" s="1"/>
  <c r="R542"/>
  <c r="V542" s="1"/>
  <c r="Q543"/>
  <c r="U543" s="1"/>
  <c r="R543"/>
  <c r="V543" s="1"/>
  <c r="Q544"/>
  <c r="U544" s="1"/>
  <c r="R544"/>
  <c r="V544" s="1"/>
  <c r="R545"/>
  <c r="V545" s="1"/>
  <c r="R546"/>
  <c r="V546" s="1"/>
  <c r="Q547"/>
  <c r="U547" s="1"/>
  <c r="R547"/>
  <c r="V547" s="1"/>
  <c r="R548"/>
  <c r="V548" s="1"/>
  <c r="R549"/>
  <c r="V549" s="1"/>
  <c r="Q550"/>
  <c r="U550" s="1"/>
  <c r="R550"/>
  <c r="V550" s="1"/>
  <c r="Q551"/>
  <c r="U551" s="1"/>
  <c r="R551"/>
  <c r="V551" s="1"/>
  <c r="Q552"/>
  <c r="U552" s="1"/>
  <c r="R552"/>
  <c r="V552" s="1"/>
  <c r="Q553"/>
  <c r="U553" s="1"/>
  <c r="R553"/>
  <c r="V553" s="1"/>
  <c r="Q554"/>
  <c r="U554" s="1"/>
  <c r="R554"/>
  <c r="V554" s="1"/>
  <c r="Q555"/>
  <c r="U555" s="1"/>
  <c r="R555"/>
  <c r="V555" s="1"/>
  <c r="R556"/>
  <c r="V556" s="1"/>
  <c r="R557"/>
  <c r="V557" s="1"/>
  <c r="R558"/>
  <c r="V558" s="1"/>
  <c r="R559"/>
  <c r="V559" s="1"/>
  <c r="R560"/>
  <c r="V560" s="1"/>
  <c r="R561"/>
  <c r="V561" s="1"/>
  <c r="R562"/>
  <c r="V562" s="1"/>
  <c r="R563"/>
  <c r="V563" s="1"/>
  <c r="R564"/>
  <c r="V564" s="1"/>
  <c r="R565"/>
  <c r="V565" s="1"/>
  <c r="Q566"/>
  <c r="U566" s="1"/>
  <c r="R566"/>
  <c r="V566" s="1"/>
  <c r="Q567"/>
  <c r="U567" s="1"/>
  <c r="R567"/>
  <c r="V567" s="1"/>
  <c r="R568"/>
  <c r="V568" s="1"/>
  <c r="Q569"/>
  <c r="U569" s="1"/>
  <c r="R569"/>
  <c r="V569" s="1"/>
  <c r="Q570"/>
  <c r="U570" s="1"/>
  <c r="R570"/>
  <c r="V570" s="1"/>
  <c r="Q571"/>
  <c r="U571" s="1"/>
  <c r="R571"/>
  <c r="V571" s="1"/>
  <c r="Q572"/>
  <c r="U572" s="1"/>
  <c r="R572"/>
  <c r="V572" s="1"/>
  <c r="Q573"/>
  <c r="U573" s="1"/>
  <c r="R573"/>
  <c r="V573" s="1"/>
  <c r="Q574"/>
  <c r="U574" s="1"/>
  <c r="R574"/>
  <c r="V574" s="1"/>
  <c r="Q575"/>
  <c r="U575" s="1"/>
  <c r="R575"/>
  <c r="V575" s="1"/>
  <c r="Q576"/>
  <c r="U576" s="1"/>
  <c r="R576"/>
  <c r="V576" s="1"/>
  <c r="Q577"/>
  <c r="U577" s="1"/>
  <c r="R577"/>
  <c r="V577" s="1"/>
  <c r="Q578"/>
  <c r="U578" s="1"/>
  <c r="R578"/>
  <c r="V578" s="1"/>
  <c r="Q579"/>
  <c r="U579" s="1"/>
  <c r="R579"/>
  <c r="V579" s="1"/>
  <c r="Q580"/>
  <c r="U580" s="1"/>
  <c r="R580"/>
  <c r="V580" s="1"/>
  <c r="Q581"/>
  <c r="U581" s="1"/>
  <c r="R581"/>
  <c r="V581" s="1"/>
  <c r="Q582"/>
  <c r="U582" s="1"/>
  <c r="R582"/>
  <c r="V582" s="1"/>
  <c r="Q583"/>
  <c r="U583" s="1"/>
  <c r="R583"/>
  <c r="V583" s="1"/>
  <c r="Q584"/>
  <c r="U584" s="1"/>
  <c r="R584"/>
  <c r="V584" s="1"/>
  <c r="R585"/>
  <c r="V585" s="1"/>
  <c r="R586"/>
  <c r="V586" s="1"/>
  <c r="Q587"/>
  <c r="U587" s="1"/>
  <c r="R587"/>
  <c r="V587" s="1"/>
  <c r="R588"/>
  <c r="V588" s="1"/>
  <c r="R589"/>
  <c r="V589" s="1"/>
  <c r="R590"/>
  <c r="V590" s="1"/>
  <c r="R591"/>
  <c r="V591" s="1"/>
  <c r="R592"/>
  <c r="V592" s="1"/>
  <c r="Q593"/>
  <c r="U593" s="1"/>
  <c r="R593"/>
  <c r="V593" s="1"/>
  <c r="Q594"/>
  <c r="U594" s="1"/>
  <c r="R594"/>
  <c r="V594" s="1"/>
  <c r="Q595"/>
  <c r="U595" s="1"/>
  <c r="R595"/>
  <c r="V595" s="1"/>
  <c r="R596"/>
  <c r="V596" s="1"/>
  <c r="R597"/>
  <c r="V597" s="1"/>
  <c r="R3"/>
  <c r="R4"/>
  <c r="V4" s="1"/>
  <c r="R5"/>
  <c r="V5" s="1"/>
  <c r="R6"/>
  <c r="V6" s="1"/>
  <c r="R7"/>
  <c r="V7" s="1"/>
  <c r="R8"/>
  <c r="V8" s="1"/>
  <c r="R10"/>
  <c r="V10" s="1"/>
  <c r="R11"/>
  <c r="V11" s="1"/>
  <c r="R13"/>
  <c r="V13" s="1"/>
  <c r="R15"/>
  <c r="V15" s="1"/>
  <c r="R16"/>
  <c r="V16" s="1"/>
  <c r="R17"/>
  <c r="V17" s="1"/>
  <c r="R18"/>
  <c r="V18" s="1"/>
  <c r="R19"/>
  <c r="V19" s="1"/>
  <c r="R21"/>
  <c r="V21" s="1"/>
  <c r="R22"/>
  <c r="V22" s="1"/>
  <c r="R23"/>
  <c r="V23" s="1"/>
  <c r="R24"/>
  <c r="V24" s="1"/>
  <c r="R25"/>
  <c r="V25" s="1"/>
  <c r="R26"/>
  <c r="V26" s="1"/>
  <c r="R27"/>
  <c r="V27" s="1"/>
  <c r="R30"/>
  <c r="V30" s="1"/>
  <c r="R31"/>
  <c r="V31" s="1"/>
  <c r="R32"/>
  <c r="V32" s="1"/>
  <c r="R33"/>
  <c r="V33" s="1"/>
  <c r="R34"/>
  <c r="V34" s="1"/>
  <c r="R35"/>
  <c r="V35" s="1"/>
  <c r="R37"/>
  <c r="V37" s="1"/>
  <c r="R38"/>
  <c r="V38" s="1"/>
  <c r="R39"/>
  <c r="V39" s="1"/>
  <c r="R40"/>
  <c r="V40" s="1"/>
  <c r="R41"/>
  <c r="V41" s="1"/>
  <c r="R42"/>
  <c r="V42" s="1"/>
  <c r="R43"/>
  <c r="V43" s="1"/>
  <c r="R44"/>
  <c r="V44" s="1"/>
  <c r="R45"/>
  <c r="V45" s="1"/>
  <c r="R46"/>
  <c r="V46" s="1"/>
  <c r="R47"/>
  <c r="V47" s="1"/>
  <c r="R48"/>
  <c r="V48" s="1"/>
  <c r="R49"/>
  <c r="V49" s="1"/>
  <c r="R51"/>
  <c r="V51" s="1"/>
  <c r="R52"/>
  <c r="V52" s="1"/>
  <c r="R53"/>
  <c r="V53" s="1"/>
  <c r="R54"/>
  <c r="V54" s="1"/>
  <c r="R55"/>
  <c r="V55" s="1"/>
  <c r="R56"/>
  <c r="V56" s="1"/>
  <c r="R57"/>
  <c r="V57" s="1"/>
  <c r="R58"/>
  <c r="V58" s="1"/>
  <c r="R59"/>
  <c r="V59" s="1"/>
  <c r="R60"/>
  <c r="V60" s="1"/>
  <c r="R61"/>
  <c r="V61" s="1"/>
  <c r="R62"/>
  <c r="V62" s="1"/>
  <c r="R63"/>
  <c r="V63" s="1"/>
  <c r="R64"/>
  <c r="V64" s="1"/>
  <c r="R65"/>
  <c r="V65" s="1"/>
  <c r="R66"/>
  <c r="V66" s="1"/>
  <c r="R67"/>
  <c r="V67" s="1"/>
  <c r="R68"/>
  <c r="V68" s="1"/>
  <c r="R69"/>
  <c r="V69" s="1"/>
  <c r="R70"/>
  <c r="V70" s="1"/>
  <c r="R71"/>
  <c r="V71" s="1"/>
  <c r="R72"/>
  <c r="V72" s="1"/>
  <c r="R73"/>
  <c r="V73" s="1"/>
  <c r="R74"/>
  <c r="V74" s="1"/>
  <c r="R75"/>
  <c r="V75" s="1"/>
  <c r="R76"/>
  <c r="V76" s="1"/>
  <c r="R77"/>
  <c r="V77" s="1"/>
  <c r="R78"/>
  <c r="V78" s="1"/>
  <c r="R79"/>
  <c r="V79" s="1"/>
  <c r="R80"/>
  <c r="V80" s="1"/>
  <c r="R81"/>
  <c r="V81" s="1"/>
  <c r="R82"/>
  <c r="V82" s="1"/>
  <c r="R83"/>
  <c r="V83" s="1"/>
  <c r="R84"/>
  <c r="V84" s="1"/>
  <c r="R85"/>
  <c r="V85" s="1"/>
  <c r="R86"/>
  <c r="V86" s="1"/>
  <c r="R87"/>
  <c r="V87" s="1"/>
  <c r="R88"/>
  <c r="V88" s="1"/>
  <c r="R89"/>
  <c r="V89" s="1"/>
  <c r="R90"/>
  <c r="V90" s="1"/>
  <c r="R92"/>
  <c r="V92" s="1"/>
  <c r="R93"/>
  <c r="V93" s="1"/>
  <c r="R94"/>
  <c r="V94" s="1"/>
  <c r="R95"/>
  <c r="V95" s="1"/>
  <c r="R96"/>
  <c r="V96" s="1"/>
  <c r="R97"/>
  <c r="V97" s="1"/>
  <c r="R98"/>
  <c r="V98" s="1"/>
  <c r="R99"/>
  <c r="V99" s="1"/>
  <c r="R100"/>
  <c r="V100" s="1"/>
  <c r="R101"/>
  <c r="V101" s="1"/>
  <c r="R103"/>
  <c r="V103" s="1"/>
  <c r="R104"/>
  <c r="V104" s="1"/>
  <c r="R108"/>
  <c r="V108" s="1"/>
  <c r="R109"/>
  <c r="V109" s="1"/>
  <c r="R110"/>
  <c r="V110" s="1"/>
  <c r="R111"/>
  <c r="V111" s="1"/>
  <c r="R112"/>
  <c r="V112" s="1"/>
  <c r="R113"/>
  <c r="V113" s="1"/>
  <c r="R114"/>
  <c r="V114" s="1"/>
  <c r="R115"/>
  <c r="V115" s="1"/>
  <c r="R116"/>
  <c r="V116" s="1"/>
  <c r="R117"/>
  <c r="V117" s="1"/>
  <c r="R118"/>
  <c r="V118" s="1"/>
  <c r="R119"/>
  <c r="V119" s="1"/>
  <c r="R120"/>
  <c r="V120" s="1"/>
  <c r="R121"/>
  <c r="V121" s="1"/>
  <c r="R122"/>
  <c r="V122" s="1"/>
  <c r="R123"/>
  <c r="V123" s="1"/>
  <c r="R124"/>
  <c r="V124" s="1"/>
  <c r="R125"/>
  <c r="V125" s="1"/>
  <c r="R126"/>
  <c r="V126" s="1"/>
  <c r="R127"/>
  <c r="V127" s="1"/>
  <c r="R128"/>
  <c r="V128" s="1"/>
  <c r="R129"/>
  <c r="V129" s="1"/>
  <c r="R130"/>
  <c r="V130" s="1"/>
  <c r="R131"/>
  <c r="V131" s="1"/>
  <c r="R132"/>
  <c r="V132" s="1"/>
  <c r="R133"/>
  <c r="V133" s="1"/>
  <c r="R134"/>
  <c r="V134" s="1"/>
  <c r="R135"/>
  <c r="V135" s="1"/>
  <c r="R136"/>
  <c r="V136" s="1"/>
  <c r="R137"/>
  <c r="V137" s="1"/>
  <c r="R138"/>
  <c r="V138" s="1"/>
  <c r="R139"/>
  <c r="V139" s="1"/>
  <c r="R140"/>
  <c r="V140" s="1"/>
  <c r="R141"/>
  <c r="V141" s="1"/>
  <c r="R143"/>
  <c r="V143" s="1"/>
  <c r="R144"/>
  <c r="V144" s="1"/>
  <c r="R145"/>
  <c r="V145" s="1"/>
  <c r="R146"/>
  <c r="V146" s="1"/>
  <c r="R147"/>
  <c r="V147" s="1"/>
  <c r="R148"/>
  <c r="V148" s="1"/>
  <c r="R151"/>
  <c r="V151" s="1"/>
  <c r="R152"/>
  <c r="V152" s="1"/>
  <c r="R153"/>
  <c r="V153" s="1"/>
  <c r="R157"/>
  <c r="V157" s="1"/>
  <c r="R158"/>
  <c r="V158" s="1"/>
  <c r="R159"/>
  <c r="V159" s="1"/>
  <c r="R160"/>
  <c r="V160" s="1"/>
  <c r="R161"/>
  <c r="V161" s="1"/>
  <c r="R163"/>
  <c r="V163" s="1"/>
  <c r="R164"/>
  <c r="V164" s="1"/>
  <c r="R165"/>
  <c r="V165" s="1"/>
  <c r="R166"/>
  <c r="V166" s="1"/>
  <c r="R168"/>
  <c r="V168" s="1"/>
  <c r="R169"/>
  <c r="V169" s="1"/>
  <c r="R170"/>
  <c r="V170" s="1"/>
  <c r="R171"/>
  <c r="V171" s="1"/>
  <c r="R172"/>
  <c r="V172" s="1"/>
  <c r="R173"/>
  <c r="V173" s="1"/>
  <c r="R174"/>
  <c r="V174" s="1"/>
  <c r="R175"/>
  <c r="V175" s="1"/>
  <c r="R176"/>
  <c r="V176" s="1"/>
  <c r="R177"/>
  <c r="V177" s="1"/>
  <c r="R178"/>
  <c r="V178" s="1"/>
  <c r="R179"/>
  <c r="V179" s="1"/>
  <c r="R180"/>
  <c r="V180" s="1"/>
  <c r="R181"/>
  <c r="V181" s="1"/>
  <c r="R182"/>
  <c r="V182" s="1"/>
  <c r="R183"/>
  <c r="V183" s="1"/>
  <c r="R184"/>
  <c r="V184" s="1"/>
  <c r="R185"/>
  <c r="V185" s="1"/>
  <c r="R186"/>
  <c r="V186" s="1"/>
  <c r="R187"/>
  <c r="V187" s="1"/>
  <c r="R188"/>
  <c r="V188" s="1"/>
  <c r="R189"/>
  <c r="V189" s="1"/>
  <c r="R190"/>
  <c r="V190" s="1"/>
  <c r="R191"/>
  <c r="V191" s="1"/>
  <c r="R192"/>
  <c r="V192" s="1"/>
  <c r="R193"/>
  <c r="V193" s="1"/>
  <c r="R194"/>
  <c r="V194" s="1"/>
  <c r="R195"/>
  <c r="V195" s="1"/>
  <c r="R196"/>
  <c r="V196" s="1"/>
  <c r="R197"/>
  <c r="V197" s="1"/>
  <c r="R198"/>
  <c r="V198" s="1"/>
  <c r="R199"/>
  <c r="V199" s="1"/>
  <c r="R200"/>
  <c r="V200" s="1"/>
  <c r="R201"/>
  <c r="V201" s="1"/>
  <c r="R202"/>
  <c r="V202" s="1"/>
  <c r="R203"/>
  <c r="V203" s="1"/>
  <c r="R204"/>
  <c r="V204" s="1"/>
  <c r="R205"/>
  <c r="V205" s="1"/>
  <c r="R206"/>
  <c r="V206" s="1"/>
  <c r="R207"/>
  <c r="V207" s="1"/>
  <c r="R208"/>
  <c r="V208" s="1"/>
  <c r="R209"/>
  <c r="V209" s="1"/>
  <c r="R210"/>
  <c r="V210" s="1"/>
  <c r="R211"/>
  <c r="V211" s="1"/>
  <c r="R212"/>
  <c r="V212" s="1"/>
  <c r="R213"/>
  <c r="V213" s="1"/>
  <c r="R214"/>
  <c r="V214" s="1"/>
  <c r="R215"/>
  <c r="V215" s="1"/>
  <c r="R216"/>
  <c r="V216" s="1"/>
  <c r="R217"/>
  <c r="V217" s="1"/>
  <c r="R218"/>
  <c r="V218" s="1"/>
  <c r="R219"/>
  <c r="V219" s="1"/>
  <c r="R220"/>
  <c r="V220" s="1"/>
  <c r="R221"/>
  <c r="V221" s="1"/>
  <c r="R222"/>
  <c r="V222" s="1"/>
  <c r="R223"/>
  <c r="V223" s="1"/>
  <c r="R224"/>
  <c r="V224" s="1"/>
  <c r="R225"/>
  <c r="V225" s="1"/>
  <c r="R226"/>
  <c r="V226" s="1"/>
  <c r="R227"/>
  <c r="V227" s="1"/>
  <c r="R228"/>
  <c r="V228" s="1"/>
  <c r="R229"/>
  <c r="V229" s="1"/>
  <c r="R230"/>
  <c r="V230" s="1"/>
  <c r="R231"/>
  <c r="V231" s="1"/>
  <c r="R232"/>
  <c r="V232" s="1"/>
  <c r="R233"/>
  <c r="V233" s="1"/>
  <c r="R234"/>
  <c r="V234" s="1"/>
  <c r="R235"/>
  <c r="V235" s="1"/>
  <c r="R236"/>
  <c r="V236" s="1"/>
  <c r="R237"/>
  <c r="V237" s="1"/>
  <c r="R238"/>
  <c r="V238" s="1"/>
  <c r="R239"/>
  <c r="V239" s="1"/>
  <c r="R240"/>
  <c r="V240" s="1"/>
  <c r="R241"/>
  <c r="V241" s="1"/>
  <c r="R242"/>
  <c r="V242" s="1"/>
  <c r="R243"/>
  <c r="V243" s="1"/>
  <c r="R244"/>
  <c r="V244" s="1"/>
  <c r="R245"/>
  <c r="V245" s="1"/>
  <c r="R246"/>
  <c r="V246" s="1"/>
  <c r="R247"/>
  <c r="V247" s="1"/>
  <c r="R248"/>
  <c r="V248" s="1"/>
  <c r="R249"/>
  <c r="V249" s="1"/>
  <c r="R250"/>
  <c r="V250" s="1"/>
  <c r="R251"/>
  <c r="V251" s="1"/>
  <c r="R252"/>
  <c r="V252" s="1"/>
  <c r="R253"/>
  <c r="V253" s="1"/>
  <c r="R254"/>
  <c r="V254" s="1"/>
  <c r="R255"/>
  <c r="V255" s="1"/>
  <c r="R256"/>
  <c r="V256" s="1"/>
  <c r="R258"/>
  <c r="V258" s="1"/>
  <c r="R259"/>
  <c r="V259" s="1"/>
  <c r="R260"/>
  <c r="V260" s="1"/>
  <c r="R261"/>
  <c r="V261" s="1"/>
  <c r="R262"/>
  <c r="V262" s="1"/>
  <c r="R263"/>
  <c r="V263" s="1"/>
  <c r="R264"/>
  <c r="V264" s="1"/>
  <c r="R265"/>
  <c r="V265" s="1"/>
  <c r="R266"/>
  <c r="V266" s="1"/>
  <c r="R267"/>
  <c r="V267" s="1"/>
  <c r="R268"/>
  <c r="V268" s="1"/>
  <c r="R269"/>
  <c r="V269" s="1"/>
  <c r="R270"/>
  <c r="V270" s="1"/>
  <c r="R271"/>
  <c r="V271" s="1"/>
  <c r="R272"/>
  <c r="V272" s="1"/>
  <c r="R273"/>
  <c r="V273" s="1"/>
  <c r="R274"/>
  <c r="V274" s="1"/>
  <c r="Q275"/>
  <c r="U275" s="1"/>
  <c r="R275"/>
  <c r="V275" s="1"/>
  <c r="R276"/>
  <c r="V276" s="1"/>
  <c r="R277"/>
  <c r="V277" s="1"/>
  <c r="Q278"/>
  <c r="U278" s="1"/>
  <c r="R278"/>
  <c r="V278" s="1"/>
  <c r="Q279"/>
  <c r="U279" s="1"/>
  <c r="R279"/>
  <c r="V279" s="1"/>
  <c r="Q280"/>
  <c r="U280" s="1"/>
  <c r="R280"/>
  <c r="V280" s="1"/>
  <c r="Q281"/>
  <c r="U281" s="1"/>
  <c r="R281"/>
  <c r="V281" s="1"/>
  <c r="Q282"/>
  <c r="U282" s="1"/>
  <c r="R282"/>
  <c r="V282" s="1"/>
  <c r="Q283"/>
  <c r="U283" s="1"/>
  <c r="R283"/>
  <c r="V283" s="1"/>
  <c r="Q284"/>
  <c r="U284" s="1"/>
  <c r="R284"/>
  <c r="V284" s="1"/>
  <c r="Q285"/>
  <c r="U285" s="1"/>
  <c r="R285"/>
  <c r="V285" s="1"/>
  <c r="R286"/>
  <c r="V286" s="1"/>
  <c r="Q287"/>
  <c r="U287" s="1"/>
  <c r="R287"/>
  <c r="V287" s="1"/>
  <c r="Q288"/>
  <c r="U288" s="1"/>
  <c r="R288"/>
  <c r="V288" s="1"/>
  <c r="Q290"/>
  <c r="U290" s="1"/>
  <c r="R290"/>
  <c r="V290" s="1"/>
  <c r="Q291"/>
  <c r="U291" s="1"/>
  <c r="R291"/>
  <c r="V291" s="1"/>
  <c r="Q292"/>
  <c r="U292" s="1"/>
  <c r="R292"/>
  <c r="V292" s="1"/>
  <c r="Q293"/>
  <c r="U293" s="1"/>
  <c r="R293"/>
  <c r="V293" s="1"/>
  <c r="Q294"/>
  <c r="U294" s="1"/>
  <c r="R294"/>
  <c r="V294" s="1"/>
  <c r="Q295"/>
  <c r="U295" s="1"/>
  <c r="R295"/>
  <c r="V295" s="1"/>
  <c r="Q296"/>
  <c r="U296" s="1"/>
  <c r="R296"/>
  <c r="V296" s="1"/>
  <c r="Q297"/>
  <c r="U297" s="1"/>
  <c r="R297"/>
  <c r="V297" s="1"/>
  <c r="Q298"/>
  <c r="U298" s="1"/>
  <c r="R298"/>
  <c r="V298" s="1"/>
  <c r="Q299"/>
  <c r="U299" s="1"/>
  <c r="R299"/>
  <c r="V299" s="1"/>
  <c r="Q300"/>
  <c r="U300" s="1"/>
  <c r="R300"/>
  <c r="V300" s="1"/>
  <c r="Q301"/>
  <c r="U301" s="1"/>
  <c r="R301"/>
  <c r="V301" s="1"/>
  <c r="Q302"/>
  <c r="U302" s="1"/>
  <c r="R302"/>
  <c r="V302" s="1"/>
  <c r="Q303"/>
  <c r="U303" s="1"/>
  <c r="R303"/>
  <c r="V303" s="1"/>
  <c r="Q304"/>
  <c r="U304" s="1"/>
  <c r="R304"/>
  <c r="V304" s="1"/>
  <c r="Q305"/>
  <c r="U305" s="1"/>
  <c r="R305"/>
  <c r="V305" s="1"/>
  <c r="Q306"/>
  <c r="U306" s="1"/>
  <c r="R306"/>
  <c r="V306" s="1"/>
  <c r="Q307"/>
  <c r="U307" s="1"/>
  <c r="R307"/>
  <c r="V307" s="1"/>
  <c r="R308"/>
  <c r="V308" s="1"/>
  <c r="R309"/>
  <c r="V309" s="1"/>
  <c r="R310"/>
  <c r="V310" s="1"/>
  <c r="Q311"/>
  <c r="U311" s="1"/>
  <c r="R311"/>
  <c r="V311" s="1"/>
  <c r="Q312"/>
  <c r="U312" s="1"/>
  <c r="R312"/>
  <c r="V312" s="1"/>
  <c r="Q313"/>
  <c r="U313" s="1"/>
  <c r="R313"/>
  <c r="V313" s="1"/>
  <c r="Q315"/>
  <c r="U315" s="1"/>
  <c r="R315"/>
  <c r="V315" s="1"/>
  <c r="R316"/>
  <c r="V316" s="1"/>
  <c r="Q317"/>
  <c r="U317" s="1"/>
  <c r="R317"/>
  <c r="V317" s="1"/>
  <c r="Q318"/>
  <c r="U318" s="1"/>
  <c r="R318"/>
  <c r="V318" s="1"/>
  <c r="Q319"/>
  <c r="U319" s="1"/>
  <c r="R319"/>
  <c r="V319" s="1"/>
  <c r="R320"/>
  <c r="V320" s="1"/>
  <c r="R321"/>
  <c r="V321" s="1"/>
  <c r="R322"/>
  <c r="V322" s="1"/>
  <c r="Q323"/>
  <c r="U323" s="1"/>
  <c r="R323"/>
  <c r="V323" s="1"/>
  <c r="Q324"/>
  <c r="U324" s="1"/>
  <c r="R324"/>
  <c r="V324" s="1"/>
  <c r="Q325"/>
  <c r="U325" s="1"/>
  <c r="R325"/>
  <c r="V325" s="1"/>
  <c r="Q326"/>
  <c r="U326" s="1"/>
  <c r="R326"/>
  <c r="V326" s="1"/>
  <c r="Q327"/>
  <c r="U327" s="1"/>
  <c r="R327"/>
  <c r="V327" s="1"/>
  <c r="Q328"/>
  <c r="U328" s="1"/>
  <c r="R328"/>
  <c r="V328" s="1"/>
  <c r="Q329"/>
  <c r="U329" s="1"/>
  <c r="R329"/>
  <c r="V329" s="1"/>
  <c r="Q330"/>
  <c r="U330" s="1"/>
  <c r="R330"/>
  <c r="V330" s="1"/>
  <c r="Q331"/>
  <c r="U331" s="1"/>
  <c r="R331"/>
  <c r="V331" s="1"/>
  <c r="Q332"/>
  <c r="U332" s="1"/>
  <c r="R332"/>
  <c r="V332" s="1"/>
  <c r="Q333"/>
  <c r="U333" s="1"/>
  <c r="R333"/>
  <c r="V333" s="1"/>
  <c r="Q334"/>
  <c r="U334" s="1"/>
  <c r="R334"/>
  <c r="V334" s="1"/>
  <c r="Q335"/>
  <c r="U335" s="1"/>
  <c r="R335"/>
  <c r="V335" s="1"/>
  <c r="Q336"/>
  <c r="U336" s="1"/>
  <c r="R336"/>
  <c r="V336" s="1"/>
  <c r="Q337"/>
  <c r="U337" s="1"/>
  <c r="R337"/>
  <c r="V337" s="1"/>
  <c r="Q338"/>
  <c r="U338" s="1"/>
  <c r="R338"/>
  <c r="V338" s="1"/>
  <c r="Q339"/>
  <c r="U339" s="1"/>
  <c r="R339"/>
  <c r="V339" s="1"/>
  <c r="R340"/>
  <c r="V340" s="1"/>
  <c r="R341"/>
  <c r="V341" s="1"/>
  <c r="R342"/>
  <c r="V342" s="1"/>
  <c r="Q343"/>
  <c r="U343" s="1"/>
  <c r="R343"/>
  <c r="V343" s="1"/>
  <c r="Q344"/>
  <c r="U344" s="1"/>
  <c r="R344"/>
  <c r="V344" s="1"/>
  <c r="Q345"/>
  <c r="U345" s="1"/>
  <c r="R345"/>
  <c r="V345" s="1"/>
  <c r="Q346"/>
  <c r="U346" s="1"/>
  <c r="R346"/>
  <c r="V346" s="1"/>
  <c r="Q347"/>
  <c r="U347" s="1"/>
  <c r="R347"/>
  <c r="V347" s="1"/>
  <c r="Q348"/>
  <c r="U348" s="1"/>
  <c r="R348"/>
  <c r="V348" s="1"/>
  <c r="Q349"/>
  <c r="U349" s="1"/>
  <c r="R349"/>
  <c r="V349" s="1"/>
  <c r="R350"/>
  <c r="V350" s="1"/>
  <c r="R351"/>
  <c r="V351" s="1"/>
  <c r="R352"/>
  <c r="V352" s="1"/>
  <c r="R353"/>
  <c r="V353" s="1"/>
  <c r="R354"/>
  <c r="V354" s="1"/>
  <c r="R355"/>
  <c r="V355" s="1"/>
  <c r="R356"/>
  <c r="V356" s="1"/>
  <c r="R357"/>
  <c r="V357" s="1"/>
  <c r="R358"/>
  <c r="V358" s="1"/>
  <c r="R359"/>
  <c r="V359" s="1"/>
  <c r="Q360"/>
  <c r="U360" s="1"/>
  <c r="R360"/>
  <c r="V360" s="1"/>
  <c r="Q361"/>
  <c r="U361" s="1"/>
  <c r="R361"/>
  <c r="V361" s="1"/>
  <c r="Q362"/>
  <c r="U362" s="1"/>
  <c r="R362"/>
  <c r="V362" s="1"/>
  <c r="Q363"/>
  <c r="U363" s="1"/>
  <c r="R363"/>
  <c r="V363" s="1"/>
  <c r="Q364"/>
  <c r="U364" s="1"/>
  <c r="R364"/>
  <c r="V364" s="1"/>
  <c r="R365"/>
  <c r="V365" s="1"/>
  <c r="R366"/>
  <c r="V366" s="1"/>
  <c r="R367"/>
  <c r="V367" s="1"/>
  <c r="R368"/>
  <c r="V368" s="1"/>
  <c r="R369"/>
  <c r="V369" s="1"/>
  <c r="R370"/>
  <c r="V370" s="1"/>
  <c r="R371"/>
  <c r="V371" s="1"/>
  <c r="R372"/>
  <c r="V372" s="1"/>
  <c r="R373"/>
  <c r="V373" s="1"/>
  <c r="R374"/>
  <c r="V374" s="1"/>
  <c r="R375"/>
  <c r="V375" s="1"/>
  <c r="R376"/>
  <c r="V376" s="1"/>
  <c r="R377"/>
  <c r="V377" s="1"/>
  <c r="R378"/>
  <c r="V378" s="1"/>
  <c r="R379"/>
  <c r="V379" s="1"/>
  <c r="R380"/>
  <c r="V380" s="1"/>
  <c r="R381"/>
  <c r="V381" s="1"/>
  <c r="R382"/>
  <c r="V382" s="1"/>
  <c r="R383"/>
  <c r="V383" s="1"/>
  <c r="R384"/>
  <c r="V384" s="1"/>
  <c r="R385"/>
  <c r="V385" s="1"/>
  <c r="R386"/>
  <c r="V386" s="1"/>
  <c r="R387"/>
  <c r="V387" s="1"/>
  <c r="R388"/>
  <c r="V388" s="1"/>
  <c r="R389"/>
  <c r="V389" s="1"/>
  <c r="R390"/>
  <c r="V390" s="1"/>
  <c r="R391"/>
  <c r="V391" s="1"/>
  <c r="R392"/>
  <c r="V392" s="1"/>
  <c r="R393"/>
  <c r="V393" s="1"/>
  <c r="R394"/>
  <c r="V394" s="1"/>
  <c r="R395"/>
  <c r="V395" s="1"/>
  <c r="R396"/>
  <c r="V396" s="1"/>
  <c r="R397"/>
  <c r="V397" s="1"/>
  <c r="R398"/>
  <c r="V398" s="1"/>
  <c r="R399"/>
  <c r="V399" s="1"/>
  <c r="R400"/>
  <c r="V400" s="1"/>
  <c r="R401"/>
  <c r="V401" s="1"/>
  <c r="R402"/>
  <c r="V402" s="1"/>
  <c r="R403"/>
  <c r="V403" s="1"/>
  <c r="R404"/>
  <c r="V404" s="1"/>
  <c r="R405"/>
  <c r="V405" s="1"/>
  <c r="R406"/>
  <c r="V406" s="1"/>
  <c r="R407"/>
  <c r="V407" s="1"/>
  <c r="R408"/>
  <c r="V408" s="1"/>
  <c r="R409"/>
  <c r="V409" s="1"/>
  <c r="R410"/>
  <c r="V410" s="1"/>
  <c r="R411"/>
  <c r="V411" s="1"/>
  <c r="R412"/>
  <c r="V412" s="1"/>
  <c r="R413"/>
  <c r="V413" s="1"/>
  <c r="R414"/>
  <c r="V414" s="1"/>
  <c r="R415"/>
  <c r="V415" s="1"/>
  <c r="R416"/>
  <c r="V416" s="1"/>
  <c r="R417"/>
  <c r="V417" s="1"/>
  <c r="R418"/>
  <c r="V418" s="1"/>
  <c r="R419"/>
  <c r="V419" s="1"/>
  <c r="R420"/>
  <c r="V420" s="1"/>
  <c r="R421"/>
  <c r="V421" s="1"/>
  <c r="R422"/>
  <c r="V422" s="1"/>
  <c r="R423"/>
  <c r="V423" s="1"/>
  <c r="R424"/>
  <c r="V424" s="1"/>
  <c r="R425"/>
  <c r="V425" s="1"/>
  <c r="R426"/>
  <c r="V426" s="1"/>
  <c r="R427"/>
  <c r="V427" s="1"/>
  <c r="R428"/>
  <c r="V428" s="1"/>
  <c r="R429"/>
  <c r="V429" s="1"/>
  <c r="R430"/>
  <c r="V430" s="1"/>
  <c r="R431"/>
  <c r="V431" s="1"/>
  <c r="R432"/>
  <c r="V432" s="1"/>
  <c r="R433"/>
  <c r="V433" s="1"/>
  <c r="R434"/>
  <c r="V434" s="1"/>
  <c r="R435"/>
  <c r="V435" s="1"/>
  <c r="Q436"/>
  <c r="U436" s="1"/>
  <c r="R436"/>
  <c r="V436" s="1"/>
  <c r="R437"/>
  <c r="V437" s="1"/>
  <c r="R438"/>
  <c r="V438" s="1"/>
  <c r="R439"/>
  <c r="V439" s="1"/>
  <c r="R440"/>
  <c r="V440" s="1"/>
  <c r="R441"/>
  <c r="V441" s="1"/>
  <c r="R442"/>
  <c r="V442" s="1"/>
  <c r="R443"/>
  <c r="V443" s="1"/>
  <c r="R444"/>
  <c r="V444" s="1"/>
  <c r="R445"/>
  <c r="V445" s="1"/>
  <c r="Q446"/>
  <c r="U446" s="1"/>
  <c r="R446"/>
  <c r="V446" s="1"/>
  <c r="Q447"/>
  <c r="U447" s="1"/>
  <c r="R447"/>
  <c r="V447" s="1"/>
  <c r="Q448"/>
  <c r="U448" s="1"/>
  <c r="R448"/>
  <c r="V448" s="1"/>
  <c r="Q449"/>
  <c r="U449" s="1"/>
  <c r="R449"/>
  <c r="V449" s="1"/>
  <c r="Q450"/>
  <c r="U450" s="1"/>
  <c r="R450"/>
  <c r="V450" s="1"/>
  <c r="Q451"/>
  <c r="U451" s="1"/>
  <c r="R451"/>
  <c r="V451" s="1"/>
  <c r="Q452"/>
  <c r="U452" s="1"/>
  <c r="R452"/>
  <c r="V452" s="1"/>
  <c r="Q453"/>
  <c r="U453" s="1"/>
  <c r="R453"/>
  <c r="V453" s="1"/>
  <c r="Q454"/>
  <c r="U454" s="1"/>
  <c r="R454"/>
  <c r="V454" s="1"/>
  <c r="Q455"/>
  <c r="U455" s="1"/>
  <c r="R455"/>
  <c r="V455" s="1"/>
  <c r="A34" i="5"/>
  <c r="K34" s="1"/>
  <c r="A168" i="4"/>
  <c r="A169" s="1"/>
  <c r="N3" i="6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2"/>
  <c r="R2" i="4"/>
  <c r="X3"/>
  <c r="J3" i="5"/>
  <c r="J4"/>
  <c r="J5"/>
  <c r="Q2" i="4" s="1"/>
  <c r="U2" s="1"/>
  <c r="J6" i="5"/>
  <c r="J7"/>
  <c r="J8"/>
  <c r="J9"/>
  <c r="R50" i="4" s="1"/>
  <c r="J10" i="5"/>
  <c r="J11"/>
  <c r="J12"/>
  <c r="Q340" i="4" s="1"/>
  <c r="J13" i="5"/>
  <c r="J14"/>
  <c r="J15"/>
  <c r="J16"/>
  <c r="J17"/>
  <c r="Q262" i="4" s="1"/>
  <c r="J18" i="5"/>
  <c r="J19"/>
  <c r="J20"/>
  <c r="J21"/>
  <c r="Q557" i="4" s="1"/>
  <c r="J22" i="5"/>
  <c r="Q556" i="4" s="1"/>
  <c r="J23" i="5"/>
  <c r="Q561" i="4" s="1"/>
  <c r="J24" i="5"/>
  <c r="J25"/>
  <c r="Q265" i="4" s="1"/>
  <c r="J26" i="5"/>
  <c r="J27"/>
  <c r="J28"/>
  <c r="J29"/>
  <c r="Q463" i="4" s="1"/>
  <c r="J30" i="5"/>
  <c r="J31"/>
  <c r="J32"/>
  <c r="J33"/>
  <c r="J2"/>
  <c r="L3" i="4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2"/>
  <c r="K3" i="5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2"/>
  <c r="E2" i="3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1"/>
  <c r="AA45" i="9" l="1"/>
  <c r="AC45"/>
  <c r="AE45"/>
  <c r="AN45"/>
  <c r="AA63"/>
  <c r="AC63"/>
  <c r="AE63"/>
  <c r="AN63"/>
  <c r="AA65"/>
  <c r="AC65"/>
  <c r="AE65"/>
  <c r="AN65"/>
  <c r="AA71"/>
  <c r="AC71"/>
  <c r="AE71"/>
  <c r="AN71"/>
  <c r="AA83"/>
  <c r="AC83"/>
  <c r="AE83"/>
  <c r="AN83"/>
  <c r="AA95"/>
  <c r="AC95"/>
  <c r="AE95"/>
  <c r="AA96"/>
  <c r="AC96"/>
  <c r="AE96"/>
  <c r="AN96"/>
  <c r="AA97"/>
  <c r="AC97"/>
  <c r="AE97"/>
  <c r="AN97"/>
  <c r="AA133"/>
  <c r="AC133"/>
  <c r="AE133"/>
  <c r="AA143"/>
  <c r="AC143"/>
  <c r="AE143"/>
  <c r="AN143"/>
  <c r="AE144"/>
  <c r="AA146"/>
  <c r="AC146"/>
  <c r="AE146"/>
  <c r="AN146"/>
  <c r="AA151"/>
  <c r="AC151"/>
  <c r="AE151"/>
  <c r="AN151"/>
  <c r="AA153"/>
  <c r="AC153"/>
  <c r="AE153"/>
  <c r="AN153"/>
  <c r="Y63"/>
  <c r="Y71"/>
  <c r="Y95"/>
  <c r="Y97"/>
  <c r="Y143"/>
  <c r="Y146"/>
  <c r="Y153"/>
  <c r="Z45"/>
  <c r="AB45"/>
  <c r="AD45"/>
  <c r="AM45"/>
  <c r="Z63"/>
  <c r="AB63"/>
  <c r="AD63"/>
  <c r="Z65"/>
  <c r="AB65"/>
  <c r="AD65"/>
  <c r="AM65"/>
  <c r="Z71"/>
  <c r="AB71"/>
  <c r="AD71"/>
  <c r="Z83"/>
  <c r="AB83"/>
  <c r="AD83"/>
  <c r="AM83"/>
  <c r="Z95"/>
  <c r="AB95"/>
  <c r="Z96"/>
  <c r="AB96"/>
  <c r="AD96"/>
  <c r="AM96"/>
  <c r="Z97"/>
  <c r="AB97"/>
  <c r="AD97"/>
  <c r="Z133"/>
  <c r="AB133"/>
  <c r="AD133"/>
  <c r="Z143"/>
  <c r="AB143"/>
  <c r="AD143"/>
  <c r="AB144"/>
  <c r="Z146"/>
  <c r="AB146"/>
  <c r="AD146"/>
  <c r="Z151"/>
  <c r="AB151"/>
  <c r="AD151"/>
  <c r="AM151"/>
  <c r="Z153"/>
  <c r="AB153"/>
  <c r="AD153"/>
  <c r="Y31"/>
  <c r="AA31"/>
  <c r="AC31"/>
  <c r="AE31"/>
  <c r="AN31"/>
  <c r="Z108"/>
  <c r="AB108"/>
  <c r="AD108"/>
  <c r="AM108"/>
  <c r="Y109"/>
  <c r="AA109"/>
  <c r="AC109"/>
  <c r="AE109"/>
  <c r="AN109"/>
  <c r="Z110"/>
  <c r="AB110"/>
  <c r="AD110"/>
  <c r="AM110"/>
  <c r="Y111"/>
  <c r="AA111"/>
  <c r="AC111"/>
  <c r="AE111"/>
  <c r="AN111"/>
  <c r="Z112"/>
  <c r="AB112"/>
  <c r="AD112"/>
  <c r="AM112"/>
  <c r="Y113"/>
  <c r="AA113"/>
  <c r="AC113"/>
  <c r="AE113"/>
  <c r="AN113"/>
  <c r="Z31"/>
  <c r="AB31"/>
  <c r="AD31"/>
  <c r="Y108"/>
  <c r="AA108"/>
  <c r="AC108"/>
  <c r="AE108"/>
  <c r="Z109"/>
  <c r="AB109"/>
  <c r="AD109"/>
  <c r="Y110"/>
  <c r="AA110"/>
  <c r="AC110"/>
  <c r="AE110"/>
  <c r="Z111"/>
  <c r="AB111"/>
  <c r="AD111"/>
  <c r="Y112"/>
  <c r="AA112"/>
  <c r="AC112"/>
  <c r="AE112"/>
  <c r="Z113"/>
  <c r="AB113"/>
  <c r="AD113"/>
  <c r="AD56"/>
  <c r="AD64"/>
  <c r="AD72"/>
  <c r="AD76"/>
  <c r="AD88"/>
  <c r="AD92"/>
  <c r="AD94"/>
  <c r="AD102"/>
  <c r="AD6"/>
  <c r="AD11"/>
  <c r="AD14"/>
  <c r="AD19"/>
  <c r="AD24"/>
  <c r="AD36"/>
  <c r="AD41"/>
  <c r="AD43"/>
  <c r="AD46"/>
  <c r="AD50"/>
  <c r="Z7"/>
  <c r="AB7"/>
  <c r="AD7"/>
  <c r="AM7"/>
  <c r="Z10"/>
  <c r="AB10"/>
  <c r="AD10"/>
  <c r="AM10"/>
  <c r="Y20"/>
  <c r="AA20"/>
  <c r="AC20"/>
  <c r="AE20"/>
  <c r="AN20"/>
  <c r="Z26"/>
  <c r="AB26"/>
  <c r="AD26"/>
  <c r="AM26"/>
  <c r="Y27"/>
  <c r="AA27"/>
  <c r="AC27"/>
  <c r="AE27"/>
  <c r="AN27"/>
  <c r="Z47"/>
  <c r="AB47"/>
  <c r="AD47"/>
  <c r="Y49"/>
  <c r="AA49"/>
  <c r="AC49"/>
  <c r="AE49"/>
  <c r="AN49"/>
  <c r="Z51"/>
  <c r="AB51"/>
  <c r="AD51"/>
  <c r="AM51"/>
  <c r="Y55"/>
  <c r="AA55"/>
  <c r="AC55"/>
  <c r="AE55"/>
  <c r="AN55"/>
  <c r="Z129"/>
  <c r="AB129"/>
  <c r="AD129"/>
  <c r="AM129"/>
  <c r="Y130"/>
  <c r="AA130"/>
  <c r="AC130"/>
  <c r="AE130"/>
  <c r="AN130"/>
  <c r="Y7"/>
  <c r="AA7"/>
  <c r="AC7"/>
  <c r="Y10"/>
  <c r="AA10"/>
  <c r="AC10"/>
  <c r="AE10"/>
  <c r="Z20"/>
  <c r="AB20"/>
  <c r="AD20"/>
  <c r="Y26"/>
  <c r="AA26"/>
  <c r="AC26"/>
  <c r="AE26"/>
  <c r="Z27"/>
  <c r="AB27"/>
  <c r="AD27"/>
  <c r="Y47"/>
  <c r="AA47"/>
  <c r="AC47"/>
  <c r="AE47"/>
  <c r="Z49"/>
  <c r="AB49"/>
  <c r="AD49"/>
  <c r="Y51"/>
  <c r="AA51"/>
  <c r="AC51"/>
  <c r="AE51"/>
  <c r="Z55"/>
  <c r="AB55"/>
  <c r="AD55"/>
  <c r="Y129"/>
  <c r="AA129"/>
  <c r="AC129"/>
  <c r="AE129"/>
  <c r="Z130"/>
  <c r="AB130"/>
  <c r="AD130"/>
  <c r="W86"/>
  <c r="Y86" s="1"/>
  <c r="W62"/>
  <c r="W48"/>
  <c r="AA48" s="1"/>
  <c r="W44"/>
  <c r="W42"/>
  <c r="AA42" s="1"/>
  <c r="W38"/>
  <c r="W30"/>
  <c r="AA30" s="1"/>
  <c r="AM141"/>
  <c r="AM115"/>
  <c r="AM99"/>
  <c r="AM93"/>
  <c r="AM91"/>
  <c r="AM89"/>
  <c r="AM75"/>
  <c r="AM67"/>
  <c r="AM25"/>
  <c r="AM23"/>
  <c r="AM17"/>
  <c r="AM13"/>
  <c r="AM9"/>
  <c r="Z6"/>
  <c r="Y9"/>
  <c r="AA9"/>
  <c r="AC9"/>
  <c r="AE9"/>
  <c r="AN9"/>
  <c r="Z11"/>
  <c r="AB11"/>
  <c r="AM11"/>
  <c r="Y13"/>
  <c r="AA13"/>
  <c r="AC13"/>
  <c r="AE13"/>
  <c r="AN13"/>
  <c r="Z14"/>
  <c r="AB14"/>
  <c r="AM14"/>
  <c r="Y17"/>
  <c r="AA17"/>
  <c r="AC17"/>
  <c r="AE17"/>
  <c r="AN17"/>
  <c r="Z19"/>
  <c r="AB19"/>
  <c r="AM19"/>
  <c r="Y23"/>
  <c r="AA23"/>
  <c r="AC23"/>
  <c r="AE23"/>
  <c r="AN23"/>
  <c r="Z24"/>
  <c r="AB24"/>
  <c r="AM24"/>
  <c r="Y25"/>
  <c r="AA25"/>
  <c r="AC25"/>
  <c r="AE25"/>
  <c r="AN25"/>
  <c r="Z29"/>
  <c r="AB29"/>
  <c r="Y30"/>
  <c r="Z36"/>
  <c r="AB36"/>
  <c r="AM36"/>
  <c r="Y38"/>
  <c r="AA38"/>
  <c r="AC38"/>
  <c r="AE38"/>
  <c r="AN38"/>
  <c r="Z41"/>
  <c r="AB41"/>
  <c r="AM41"/>
  <c r="AN42"/>
  <c r="Z43"/>
  <c r="AB43"/>
  <c r="AM43"/>
  <c r="Y44"/>
  <c r="AA44"/>
  <c r="AC44"/>
  <c r="AE44"/>
  <c r="AN44"/>
  <c r="Z46"/>
  <c r="AB46"/>
  <c r="AM46"/>
  <c r="Y48"/>
  <c r="Z50"/>
  <c r="AB50"/>
  <c r="AM50"/>
  <c r="Y53"/>
  <c r="AE53"/>
  <c r="Z56"/>
  <c r="AB56"/>
  <c r="AM56"/>
  <c r="Y62"/>
  <c r="AA62"/>
  <c r="AC62"/>
  <c r="AE62"/>
  <c r="AN62"/>
  <c r="Z64"/>
  <c r="AB64"/>
  <c r="AM64"/>
  <c r="Y67"/>
  <c r="AA67"/>
  <c r="AC67"/>
  <c r="AE67"/>
  <c r="AN67"/>
  <c r="Z72"/>
  <c r="AB72"/>
  <c r="AM72"/>
  <c r="Y75"/>
  <c r="AA75"/>
  <c r="AC75"/>
  <c r="AE75"/>
  <c r="AN75"/>
  <c r="Z76"/>
  <c r="AB76"/>
  <c r="AM76"/>
  <c r="AE86"/>
  <c r="Z88"/>
  <c r="AB88"/>
  <c r="AM88"/>
  <c r="Y89"/>
  <c r="AA89"/>
  <c r="AC89"/>
  <c r="AE89"/>
  <c r="AN89"/>
  <c r="Z90"/>
  <c r="AB90"/>
  <c r="Y91"/>
  <c r="AA91"/>
  <c r="AC91"/>
  <c r="AE91"/>
  <c r="AN91"/>
  <c r="Z92"/>
  <c r="AB92"/>
  <c r="AM92"/>
  <c r="Y93"/>
  <c r="AA93"/>
  <c r="AC93"/>
  <c r="AE93"/>
  <c r="AN93"/>
  <c r="Z94"/>
  <c r="AB94"/>
  <c r="AM94"/>
  <c r="Y99"/>
  <c r="AA99"/>
  <c r="AC99"/>
  <c r="AE99"/>
  <c r="AN99"/>
  <c r="Z102"/>
  <c r="AB102"/>
  <c r="AM102"/>
  <c r="Y115"/>
  <c r="AA115"/>
  <c r="AC115"/>
  <c r="AE115"/>
  <c r="AN115"/>
  <c r="Y141"/>
  <c r="AA141"/>
  <c r="AC141"/>
  <c r="AE141"/>
  <c r="AN141"/>
  <c r="AB6"/>
  <c r="AM6"/>
  <c r="Z9"/>
  <c r="AB9"/>
  <c r="Y11"/>
  <c r="AA11"/>
  <c r="AC11"/>
  <c r="AE11"/>
  <c r="Z13"/>
  <c r="AB13"/>
  <c r="Y14"/>
  <c r="AA14"/>
  <c r="AC14"/>
  <c r="AE14"/>
  <c r="Z17"/>
  <c r="AB17"/>
  <c r="Y19"/>
  <c r="AA19"/>
  <c r="AC19"/>
  <c r="AE19"/>
  <c r="Z23"/>
  <c r="AB23"/>
  <c r="Y24"/>
  <c r="AA24"/>
  <c r="AC24"/>
  <c r="AE24"/>
  <c r="Z25"/>
  <c r="AB25"/>
  <c r="Y29"/>
  <c r="AA29"/>
  <c r="AC29"/>
  <c r="AE29"/>
  <c r="Y36"/>
  <c r="AA36"/>
  <c r="AC36"/>
  <c r="AE36"/>
  <c r="Z38"/>
  <c r="AB38"/>
  <c r="Y41"/>
  <c r="AA41"/>
  <c r="AC41"/>
  <c r="AE41"/>
  <c r="Y43"/>
  <c r="AA43"/>
  <c r="AC43"/>
  <c r="AE43"/>
  <c r="Z44"/>
  <c r="AB44"/>
  <c r="Y46"/>
  <c r="AA46"/>
  <c r="AC46"/>
  <c r="AE46"/>
  <c r="Y50"/>
  <c r="AA50"/>
  <c r="AC50"/>
  <c r="AE50"/>
  <c r="Y56"/>
  <c r="AA56"/>
  <c r="AC56"/>
  <c r="AE56"/>
  <c r="Z62"/>
  <c r="AB62"/>
  <c r="Y64"/>
  <c r="AA64"/>
  <c r="AC64"/>
  <c r="AE64"/>
  <c r="Z67"/>
  <c r="AB67"/>
  <c r="Y72"/>
  <c r="AA72"/>
  <c r="AC72"/>
  <c r="AE72"/>
  <c r="Z75"/>
  <c r="AB75"/>
  <c r="Y76"/>
  <c r="AA76"/>
  <c r="AC76"/>
  <c r="AE76"/>
  <c r="Z86"/>
  <c r="Y88"/>
  <c r="AA88"/>
  <c r="AC88"/>
  <c r="AE88"/>
  <c r="Z89"/>
  <c r="AB89"/>
  <c r="Y90"/>
  <c r="AA90"/>
  <c r="AC90"/>
  <c r="AE90"/>
  <c r="Z91"/>
  <c r="AB91"/>
  <c r="Y92"/>
  <c r="AA92"/>
  <c r="AC92"/>
  <c r="AE92"/>
  <c r="Z93"/>
  <c r="AB93"/>
  <c r="Y94"/>
  <c r="AA94"/>
  <c r="AC94"/>
  <c r="AE94"/>
  <c r="Z99"/>
  <c r="AB99"/>
  <c r="Y102"/>
  <c r="AA102"/>
  <c r="AC102"/>
  <c r="AE102"/>
  <c r="Z115"/>
  <c r="AB115"/>
  <c r="Y132"/>
  <c r="AE132"/>
  <c r="Z141"/>
  <c r="AB141"/>
  <c r="Y6"/>
  <c r="AA6"/>
  <c r="AC6"/>
  <c r="AE6"/>
  <c r="Q562" i="4"/>
  <c r="Q560"/>
  <c r="Q559"/>
  <c r="Q558"/>
  <c r="Q468"/>
  <c r="Q467"/>
  <c r="Q466"/>
  <c r="Q465"/>
  <c r="Q464"/>
  <c r="Y518"/>
  <c r="Y510"/>
  <c r="Y506"/>
  <c r="Y502"/>
  <c r="Y494"/>
  <c r="Y490"/>
  <c r="Y486"/>
  <c r="Y482"/>
  <c r="Y478"/>
  <c r="Y470"/>
  <c r="Y436"/>
  <c r="Y339"/>
  <c r="Y338"/>
  <c r="Y337"/>
  <c r="Y336"/>
  <c r="Y335"/>
  <c r="Y334"/>
  <c r="Y333"/>
  <c r="Y332"/>
  <c r="Y331"/>
  <c r="Y330"/>
  <c r="Y329"/>
  <c r="Y328"/>
  <c r="Y327"/>
  <c r="Y326"/>
  <c r="Y325"/>
  <c r="Y324"/>
  <c r="Y323"/>
  <c r="Y315"/>
  <c r="Y313"/>
  <c r="Y312"/>
  <c r="Y311"/>
  <c r="Y288"/>
  <c r="Y287"/>
  <c r="Y275"/>
  <c r="Y595"/>
  <c r="Y594"/>
  <c r="Y593"/>
  <c r="Y587"/>
  <c r="Y584"/>
  <c r="Y583"/>
  <c r="Y582"/>
  <c r="Y581"/>
  <c r="Y580"/>
  <c r="Y579"/>
  <c r="Y578"/>
  <c r="Y577"/>
  <c r="Y576"/>
  <c r="Y575"/>
  <c r="Y574"/>
  <c r="Y573"/>
  <c r="Y572"/>
  <c r="Y571"/>
  <c r="Y570"/>
  <c r="Y569"/>
  <c r="Y567"/>
  <c r="Y566"/>
  <c r="Y555"/>
  <c r="Y554"/>
  <c r="Y553"/>
  <c r="Y552"/>
  <c r="Y551"/>
  <c r="Y550"/>
  <c r="Y547"/>
  <c r="Y544"/>
  <c r="Y543"/>
  <c r="Y542"/>
  <c r="Y541"/>
  <c r="Y540"/>
  <c r="Y539"/>
  <c r="Y538"/>
  <c r="Y537"/>
  <c r="Y536"/>
  <c r="Y535"/>
  <c r="Y534"/>
  <c r="Y533"/>
  <c r="Y532"/>
  <c r="Y531"/>
  <c r="Y526"/>
  <c r="Y522"/>
  <c r="Y521"/>
  <c r="Y520"/>
  <c r="Y504"/>
  <c r="Y496"/>
  <c r="Y492"/>
  <c r="Y484"/>
  <c r="Y480"/>
  <c r="Y472"/>
  <c r="Y460"/>
  <c r="Y455"/>
  <c r="Y454"/>
  <c r="Y453"/>
  <c r="Y452"/>
  <c r="Y451"/>
  <c r="Y450"/>
  <c r="Y449"/>
  <c r="Y448"/>
  <c r="Y447"/>
  <c r="Y446"/>
  <c r="Y364"/>
  <c r="Y362"/>
  <c r="Y360"/>
  <c r="Y346"/>
  <c r="Y318"/>
  <c r="Y306"/>
  <c r="Y302"/>
  <c r="Y298"/>
  <c r="Y294"/>
  <c r="Y290"/>
  <c r="Y282"/>
  <c r="Y278"/>
  <c r="Y517"/>
  <c r="Y515"/>
  <c r="Y511"/>
  <c r="Y505"/>
  <c r="Y503"/>
  <c r="Y501"/>
  <c r="Y495"/>
  <c r="Y493"/>
  <c r="Y491"/>
  <c r="Y489"/>
  <c r="Y487"/>
  <c r="Y485"/>
  <c r="Y483"/>
  <c r="Y481"/>
  <c r="Y479"/>
  <c r="Y475"/>
  <c r="Y471"/>
  <c r="Y469"/>
  <c r="Y344"/>
  <c r="Y300"/>
  <c r="Y292"/>
  <c r="Y280"/>
  <c r="Y348"/>
  <c r="Y304"/>
  <c r="Y296"/>
  <c r="Y284"/>
  <c r="Y363"/>
  <c r="Y361"/>
  <c r="Y349"/>
  <c r="Y347"/>
  <c r="Y345"/>
  <c r="Y343"/>
  <c r="Y319"/>
  <c r="Y317"/>
  <c r="Y307"/>
  <c r="Y305"/>
  <c r="Y303"/>
  <c r="Y301"/>
  <c r="Y299"/>
  <c r="Y297"/>
  <c r="Y295"/>
  <c r="Y293"/>
  <c r="Y291"/>
  <c r="Y285"/>
  <c r="Y283"/>
  <c r="Y281"/>
  <c r="Y279"/>
  <c r="A35" i="5"/>
  <c r="K35" s="1"/>
  <c r="Q341" i="4"/>
  <c r="Q215"/>
  <c r="Q216"/>
  <c r="Q191"/>
  <c r="Q192"/>
  <c r="Q193"/>
  <c r="Q194"/>
  <c r="Q195"/>
  <c r="Q196"/>
  <c r="Q181"/>
  <c r="Q182"/>
  <c r="Q183"/>
  <c r="Q184"/>
  <c r="Q190"/>
  <c r="Q179"/>
  <c r="Q180"/>
  <c r="Q200"/>
  <c r="Q201"/>
  <c r="Q186"/>
  <c r="Q188"/>
  <c r="Q189"/>
  <c r="Q202"/>
  <c r="Q203"/>
  <c r="Q204"/>
  <c r="Q205"/>
  <c r="Q209"/>
  <c r="Q210"/>
  <c r="Q211"/>
  <c r="Q212"/>
  <c r="Q213"/>
  <c r="Q21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J34" i="5"/>
  <c r="R257" i="4"/>
  <c r="R162"/>
  <c r="R156"/>
  <c r="R154"/>
  <c r="R150"/>
  <c r="R142"/>
  <c r="R106"/>
  <c r="R102"/>
  <c r="R36"/>
  <c r="R28"/>
  <c r="R20"/>
  <c r="Q168"/>
  <c r="Q169"/>
  <c r="Q170"/>
  <c r="Q171"/>
  <c r="Q172"/>
  <c r="Q173"/>
  <c r="Q185"/>
  <c r="Q197"/>
  <c r="Q187"/>
  <c r="Q198"/>
  <c r="Q199"/>
  <c r="Q3"/>
  <c r="Q177"/>
  <c r="Q178"/>
  <c r="Q206"/>
  <c r="Q207"/>
  <c r="Q208"/>
  <c r="R9"/>
  <c r="R12"/>
  <c r="R1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55"/>
  <c r="Q56"/>
  <c r="Q57"/>
  <c r="Q58"/>
  <c r="Q59"/>
  <c r="Q60"/>
  <c r="Q61"/>
  <c r="Q62"/>
  <c r="Q63"/>
  <c r="Q64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A36" i="5"/>
  <c r="J35"/>
  <c r="Q174" i="4" s="1"/>
  <c r="Q445"/>
  <c r="Q444"/>
  <c r="Q443"/>
  <c r="Q442"/>
  <c r="Q441"/>
  <c r="Q440"/>
  <c r="Q439"/>
  <c r="Q438"/>
  <c r="Q437"/>
  <c r="Q435"/>
  <c r="Q434"/>
  <c r="Q433"/>
  <c r="Q432"/>
  <c r="Q431"/>
  <c r="Q430"/>
  <c r="Q429"/>
  <c r="Q428"/>
  <c r="Q427"/>
  <c r="Q426"/>
  <c r="Q425"/>
  <c r="Q424"/>
  <c r="Q423"/>
  <c r="Q422"/>
  <c r="Q421"/>
  <c r="Q420"/>
  <c r="Q419"/>
  <c r="Q418"/>
  <c r="Q417"/>
  <c r="Q416"/>
  <c r="Q415"/>
  <c r="Q414"/>
  <c r="Q413"/>
  <c r="Q412"/>
  <c r="Q411"/>
  <c r="Q410"/>
  <c r="Q409"/>
  <c r="Q408"/>
  <c r="Q407"/>
  <c r="Q406"/>
  <c r="Q405"/>
  <c r="Q404"/>
  <c r="Q403"/>
  <c r="Q402"/>
  <c r="Q401"/>
  <c r="Q400"/>
  <c r="Q399"/>
  <c r="Q398"/>
  <c r="Q397"/>
  <c r="Q396"/>
  <c r="Q395"/>
  <c r="Q394"/>
  <c r="Q393"/>
  <c r="Q392"/>
  <c r="Q391"/>
  <c r="Q390"/>
  <c r="Q389"/>
  <c r="Q388"/>
  <c r="Q387"/>
  <c r="Q386"/>
  <c r="Q385"/>
  <c r="Q384"/>
  <c r="Q383"/>
  <c r="Q382"/>
  <c r="Q381"/>
  <c r="Q380"/>
  <c r="Q379"/>
  <c r="Q378"/>
  <c r="Q377"/>
  <c r="Q376"/>
  <c r="Q375"/>
  <c r="Q374"/>
  <c r="Q373"/>
  <c r="Q372"/>
  <c r="Q371"/>
  <c r="Q370"/>
  <c r="Q369"/>
  <c r="Q368"/>
  <c r="Q367"/>
  <c r="Q366"/>
  <c r="Q365"/>
  <c r="Q359"/>
  <c r="Q358"/>
  <c r="Q357"/>
  <c r="Q356"/>
  <c r="Q355"/>
  <c r="Q354"/>
  <c r="Q353"/>
  <c r="Q352"/>
  <c r="Q351"/>
  <c r="Q350"/>
  <c r="Q276"/>
  <c r="Q274"/>
  <c r="Q273"/>
  <c r="Q272"/>
  <c r="Q271"/>
  <c r="Q270"/>
  <c r="Q269"/>
  <c r="Q268"/>
  <c r="Q267"/>
  <c r="Q266"/>
  <c r="Q264"/>
  <c r="Q263"/>
  <c r="Q261"/>
  <c r="Q260"/>
  <c r="Q259"/>
  <c r="Q258"/>
  <c r="Q257"/>
  <c r="R167"/>
  <c r="R155"/>
  <c r="R149"/>
  <c r="R107"/>
  <c r="R105"/>
  <c r="R91"/>
  <c r="R29"/>
  <c r="A170"/>
  <c r="L169"/>
  <c r="L168"/>
  <c r="W3"/>
  <c r="V3"/>
  <c r="X2"/>
  <c r="W2"/>
  <c r="V2"/>
  <c r="Z42" i="9" l="1"/>
  <c r="AN48"/>
  <c r="Y42"/>
  <c r="AN30"/>
  <c r="Z48"/>
  <c r="Z30"/>
  <c r="AA86"/>
  <c r="AC48"/>
  <c r="AC42"/>
  <c r="AC30"/>
  <c r="AB86"/>
  <c r="AB48"/>
  <c r="AB42"/>
  <c r="AB30"/>
  <c r="AN86"/>
  <c r="AC86"/>
  <c r="AE48"/>
  <c r="AE42"/>
  <c r="AE30"/>
  <c r="AM38"/>
  <c r="AD38"/>
  <c r="AM44"/>
  <c r="AD44"/>
  <c r="AM62"/>
  <c r="AD62"/>
  <c r="AM30"/>
  <c r="AD30"/>
  <c r="AM42"/>
  <c r="AD42"/>
  <c r="AM48"/>
  <c r="AD48"/>
  <c r="AM86"/>
  <c r="AD86"/>
  <c r="V29" i="4"/>
  <c r="U4"/>
  <c r="Y4" s="1"/>
  <c r="U28"/>
  <c r="U26"/>
  <c r="Y26" s="1"/>
  <c r="U24"/>
  <c r="Y24" s="1"/>
  <c r="U22"/>
  <c r="Y22" s="1"/>
  <c r="U20"/>
  <c r="U18"/>
  <c r="Y18" s="1"/>
  <c r="U16"/>
  <c r="Y16" s="1"/>
  <c r="U14"/>
  <c r="U12"/>
  <c r="U10"/>
  <c r="Y10" s="1"/>
  <c r="U8"/>
  <c r="Y8" s="1"/>
  <c r="U6"/>
  <c r="Y6" s="1"/>
  <c r="V149"/>
  <c r="V91"/>
  <c r="V107"/>
  <c r="V155"/>
  <c r="U53"/>
  <c r="Y53" s="1"/>
  <c r="U51"/>
  <c r="Y51" s="1"/>
  <c r="U49"/>
  <c r="Y49" s="1"/>
  <c r="U47"/>
  <c r="Y47" s="1"/>
  <c r="U45"/>
  <c r="Y45" s="1"/>
  <c r="U43"/>
  <c r="Y43" s="1"/>
  <c r="U41"/>
  <c r="Y41" s="1"/>
  <c r="U39"/>
  <c r="Y39" s="1"/>
  <c r="U37"/>
  <c r="Y37" s="1"/>
  <c r="U35"/>
  <c r="Y35" s="1"/>
  <c r="U33"/>
  <c r="Y33" s="1"/>
  <c r="U31"/>
  <c r="Y31" s="1"/>
  <c r="U29"/>
  <c r="Y29" s="1"/>
  <c r="U27"/>
  <c r="Y27" s="1"/>
  <c r="U25"/>
  <c r="Y25" s="1"/>
  <c r="U23"/>
  <c r="Y23" s="1"/>
  <c r="U21"/>
  <c r="Y21" s="1"/>
  <c r="U19"/>
  <c r="Y19" s="1"/>
  <c r="U17"/>
  <c r="Y17" s="1"/>
  <c r="U15"/>
  <c r="Y15" s="1"/>
  <c r="U13"/>
  <c r="Y13" s="1"/>
  <c r="U11"/>
  <c r="Y11" s="1"/>
  <c r="U9"/>
  <c r="U7"/>
  <c r="Y7" s="1"/>
  <c r="U5"/>
  <c r="Y5" s="1"/>
  <c r="U64"/>
  <c r="Y64" s="1"/>
  <c r="U62"/>
  <c r="Y62" s="1"/>
  <c r="U60"/>
  <c r="Y60" s="1"/>
  <c r="U58"/>
  <c r="Y58" s="1"/>
  <c r="U56"/>
  <c r="Y56" s="1"/>
  <c r="U104"/>
  <c r="Y104" s="1"/>
  <c r="U102"/>
  <c r="U100"/>
  <c r="Y100" s="1"/>
  <c r="U98"/>
  <c r="Y98" s="1"/>
  <c r="U96"/>
  <c r="Y96" s="1"/>
  <c r="U94"/>
  <c r="Y94" s="1"/>
  <c r="U92"/>
  <c r="Y92" s="1"/>
  <c r="U90"/>
  <c r="Y90" s="1"/>
  <c r="U88"/>
  <c r="Y88" s="1"/>
  <c r="U86"/>
  <c r="Y86" s="1"/>
  <c r="U84"/>
  <c r="Y84" s="1"/>
  <c r="U82"/>
  <c r="Y82" s="1"/>
  <c r="U80"/>
  <c r="Y80" s="1"/>
  <c r="U78"/>
  <c r="Y78" s="1"/>
  <c r="U76"/>
  <c r="Y76" s="1"/>
  <c r="U74"/>
  <c r="Y74" s="1"/>
  <c r="U72"/>
  <c r="Y72" s="1"/>
  <c r="U70"/>
  <c r="Y70" s="1"/>
  <c r="U68"/>
  <c r="Y68" s="1"/>
  <c r="U66"/>
  <c r="Y66" s="1"/>
  <c r="V14"/>
  <c r="V9"/>
  <c r="U173"/>
  <c r="Y173" s="1"/>
  <c r="U171"/>
  <c r="Y171" s="1"/>
  <c r="U169"/>
  <c r="Y169" s="1"/>
  <c r="V20"/>
  <c r="V36"/>
  <c r="V106"/>
  <c r="V150"/>
  <c r="V156"/>
  <c r="U167"/>
  <c r="U165"/>
  <c r="Y165" s="1"/>
  <c r="U163"/>
  <c r="Y163" s="1"/>
  <c r="U161"/>
  <c r="Y161" s="1"/>
  <c r="U159"/>
  <c r="Y159" s="1"/>
  <c r="U157"/>
  <c r="Y157" s="1"/>
  <c r="U155"/>
  <c r="U153"/>
  <c r="Y153" s="1"/>
  <c r="U151"/>
  <c r="Y151" s="1"/>
  <c r="U149"/>
  <c r="U147"/>
  <c r="Y147" s="1"/>
  <c r="U145"/>
  <c r="Y145" s="1"/>
  <c r="U143"/>
  <c r="Y143" s="1"/>
  <c r="U141"/>
  <c r="Y141" s="1"/>
  <c r="U139"/>
  <c r="Y139" s="1"/>
  <c r="U137"/>
  <c r="Y137" s="1"/>
  <c r="U135"/>
  <c r="Y135" s="1"/>
  <c r="U133"/>
  <c r="Y133" s="1"/>
  <c r="U131"/>
  <c r="Y131" s="1"/>
  <c r="U129"/>
  <c r="Y129" s="1"/>
  <c r="U127"/>
  <c r="Y127" s="1"/>
  <c r="U125"/>
  <c r="Y125" s="1"/>
  <c r="U123"/>
  <c r="Y123" s="1"/>
  <c r="U121"/>
  <c r="Y121" s="1"/>
  <c r="U119"/>
  <c r="Y119" s="1"/>
  <c r="U117"/>
  <c r="Y117" s="1"/>
  <c r="U115"/>
  <c r="Y115" s="1"/>
  <c r="U113"/>
  <c r="Y113" s="1"/>
  <c r="U111"/>
  <c r="Y111" s="1"/>
  <c r="U109"/>
  <c r="Y109" s="1"/>
  <c r="U107"/>
  <c r="Y107" s="1"/>
  <c r="U105"/>
  <c r="V105"/>
  <c r="V167"/>
  <c r="U174"/>
  <c r="Y174" s="1"/>
  <c r="U54"/>
  <c r="Y54" s="1"/>
  <c r="U52"/>
  <c r="Y52" s="1"/>
  <c r="U50"/>
  <c r="U48"/>
  <c r="Y48" s="1"/>
  <c r="U46"/>
  <c r="Y46" s="1"/>
  <c r="U44"/>
  <c r="Y44" s="1"/>
  <c r="U42"/>
  <c r="Y42" s="1"/>
  <c r="U40"/>
  <c r="Y40" s="1"/>
  <c r="U38"/>
  <c r="Y38" s="1"/>
  <c r="U36"/>
  <c r="Y36" s="1"/>
  <c r="U34"/>
  <c r="Y34" s="1"/>
  <c r="U32"/>
  <c r="Y32" s="1"/>
  <c r="U30"/>
  <c r="Y30" s="1"/>
  <c r="U63"/>
  <c r="Y63" s="1"/>
  <c r="U61"/>
  <c r="Y61" s="1"/>
  <c r="U59"/>
  <c r="Y59" s="1"/>
  <c r="U57"/>
  <c r="Y57" s="1"/>
  <c r="U55"/>
  <c r="Y55" s="1"/>
  <c r="U103"/>
  <c r="Y103" s="1"/>
  <c r="U101"/>
  <c r="Y101" s="1"/>
  <c r="U99"/>
  <c r="Y99" s="1"/>
  <c r="U97"/>
  <c r="Y97" s="1"/>
  <c r="U95"/>
  <c r="Y95" s="1"/>
  <c r="U93"/>
  <c r="Y93" s="1"/>
  <c r="U91"/>
  <c r="U89"/>
  <c r="Y89" s="1"/>
  <c r="U87"/>
  <c r="Y87" s="1"/>
  <c r="U85"/>
  <c r="Y85" s="1"/>
  <c r="U83"/>
  <c r="Y83" s="1"/>
  <c r="U81"/>
  <c r="Y81" s="1"/>
  <c r="U79"/>
  <c r="Y79" s="1"/>
  <c r="U77"/>
  <c r="Y77" s="1"/>
  <c r="U75"/>
  <c r="Y75" s="1"/>
  <c r="U73"/>
  <c r="Y73" s="1"/>
  <c r="U71"/>
  <c r="Y71" s="1"/>
  <c r="U69"/>
  <c r="Y69" s="1"/>
  <c r="U67"/>
  <c r="Y67" s="1"/>
  <c r="U65"/>
  <c r="Y65" s="1"/>
  <c r="V12"/>
  <c r="U172"/>
  <c r="Y172" s="1"/>
  <c r="U170"/>
  <c r="Y170" s="1"/>
  <c r="U168"/>
  <c r="Y168" s="1"/>
  <c r="V28"/>
  <c r="V102"/>
  <c r="V142"/>
  <c r="V154"/>
  <c r="V162"/>
  <c r="U166"/>
  <c r="Y166" s="1"/>
  <c r="U164"/>
  <c r="Y164" s="1"/>
  <c r="U162"/>
  <c r="U160"/>
  <c r="Y160" s="1"/>
  <c r="U158"/>
  <c r="Y158" s="1"/>
  <c r="U156"/>
  <c r="U154"/>
  <c r="Y154" s="1"/>
  <c r="U152"/>
  <c r="Y152" s="1"/>
  <c r="U150"/>
  <c r="U148"/>
  <c r="Y148" s="1"/>
  <c r="U146"/>
  <c r="Y146" s="1"/>
  <c r="U144"/>
  <c r="Y144" s="1"/>
  <c r="U142"/>
  <c r="U140"/>
  <c r="Y140" s="1"/>
  <c r="U138"/>
  <c r="Y138" s="1"/>
  <c r="U136"/>
  <c r="Y136" s="1"/>
  <c r="U134"/>
  <c r="Y134" s="1"/>
  <c r="U132"/>
  <c r="Y132" s="1"/>
  <c r="U130"/>
  <c r="Y130" s="1"/>
  <c r="U128"/>
  <c r="Y128" s="1"/>
  <c r="U126"/>
  <c r="Y126" s="1"/>
  <c r="U124"/>
  <c r="Y124" s="1"/>
  <c r="U122"/>
  <c r="Y122" s="1"/>
  <c r="U120"/>
  <c r="Y120" s="1"/>
  <c r="U118"/>
  <c r="Y118" s="1"/>
  <c r="U116"/>
  <c r="Y116" s="1"/>
  <c r="U114"/>
  <c r="Y114" s="1"/>
  <c r="U112"/>
  <c r="Y112" s="1"/>
  <c r="U110"/>
  <c r="Y110" s="1"/>
  <c r="U108"/>
  <c r="Y108" s="1"/>
  <c r="U106"/>
  <c r="V50"/>
  <c r="U3"/>
  <c r="Y3" s="1"/>
  <c r="K36" i="5"/>
  <c r="J36"/>
  <c r="Q176" i="4" s="1"/>
  <c r="A37" i="5"/>
  <c r="A171" i="4"/>
  <c r="L170"/>
  <c r="Y2"/>
  <c r="Y106" l="1"/>
  <c r="Y20"/>
  <c r="Y91"/>
  <c r="Y155"/>
  <c r="Y14"/>
  <c r="Y156"/>
  <c r="Y150"/>
  <c r="Y28"/>
  <c r="Y12"/>
  <c r="Y149"/>
  <c r="Y142"/>
  <c r="Y162"/>
  <c r="Y167"/>
  <c r="Y102"/>
  <c r="Y50"/>
  <c r="Y105"/>
  <c r="Y9"/>
  <c r="A38" i="5"/>
  <c r="K37"/>
  <c r="J37"/>
  <c r="Q175" i="4" s="1"/>
  <c r="A172"/>
  <c r="L171"/>
  <c r="U176" l="1"/>
  <c r="Y176" s="1"/>
  <c r="U175"/>
  <c r="Y175" s="1"/>
  <c r="U207"/>
  <c r="Y207" s="1"/>
  <c r="U198"/>
  <c r="Y198" s="1"/>
  <c r="U211"/>
  <c r="Y211" s="1"/>
  <c r="U204"/>
  <c r="Y204" s="1"/>
  <c r="U188"/>
  <c r="Y188" s="1"/>
  <c r="U180"/>
  <c r="Y180" s="1"/>
  <c r="U183"/>
  <c r="Y183" s="1"/>
  <c r="U195"/>
  <c r="Y195" s="1"/>
  <c r="U191"/>
  <c r="Y191" s="1"/>
  <c r="U206"/>
  <c r="Y206" s="1"/>
  <c r="U199"/>
  <c r="Y199" s="1"/>
  <c r="U185"/>
  <c r="Y185" s="1"/>
  <c r="U214"/>
  <c r="Y214" s="1"/>
  <c r="U210"/>
  <c r="Y210" s="1"/>
  <c r="U203"/>
  <c r="Y203" s="1"/>
  <c r="U186"/>
  <c r="Y186" s="1"/>
  <c r="U179"/>
  <c r="Y179" s="1"/>
  <c r="U182"/>
  <c r="Y182" s="1"/>
  <c r="U194"/>
  <c r="Y194" s="1"/>
  <c r="U216"/>
  <c r="Y216" s="1"/>
  <c r="U178"/>
  <c r="Y178" s="1"/>
  <c r="U197"/>
  <c r="Y197" s="1"/>
  <c r="U213"/>
  <c r="Y213" s="1"/>
  <c r="U209"/>
  <c r="Y209" s="1"/>
  <c r="U202"/>
  <c r="Y202" s="1"/>
  <c r="U201"/>
  <c r="Y201" s="1"/>
  <c r="U190"/>
  <c r="Y190" s="1"/>
  <c r="U181"/>
  <c r="Y181" s="1"/>
  <c r="U193"/>
  <c r="Y193" s="1"/>
  <c r="U215"/>
  <c r="Y215" s="1"/>
  <c r="U208"/>
  <c r="Y208" s="1"/>
  <c r="U177"/>
  <c r="Y177" s="1"/>
  <c r="U187"/>
  <c r="Y187" s="1"/>
  <c r="U212"/>
  <c r="Y212" s="1"/>
  <c r="U205"/>
  <c r="Y205" s="1"/>
  <c r="U189"/>
  <c r="Y189" s="1"/>
  <c r="U200"/>
  <c r="Y200" s="1"/>
  <c r="U184"/>
  <c r="Y184" s="1"/>
  <c r="U196"/>
  <c r="Y196" s="1"/>
  <c r="U192"/>
  <c r="Y192" s="1"/>
  <c r="A39" i="5"/>
  <c r="K38"/>
  <c r="J38"/>
  <c r="A173" i="4"/>
  <c r="L172"/>
  <c r="A40" i="5" l="1"/>
  <c r="K39"/>
  <c r="J39"/>
  <c r="A174" i="4"/>
  <c r="L173"/>
  <c r="Q217" l="1"/>
  <c r="Q218"/>
  <c r="Q219"/>
  <c r="Q220"/>
  <c r="Q221"/>
  <c r="Q222"/>
  <c r="Q223"/>
  <c r="Q224"/>
  <c r="Q225"/>
  <c r="Q226"/>
  <c r="A41" i="5"/>
  <c r="J40"/>
  <c r="K40"/>
  <c r="A175" i="4"/>
  <c r="L174"/>
  <c r="U226" l="1"/>
  <c r="Y226" s="1"/>
  <c r="U224"/>
  <c r="Y224" s="1"/>
  <c r="U222"/>
  <c r="Y222" s="1"/>
  <c r="U220"/>
  <c r="Y220" s="1"/>
  <c r="U218"/>
  <c r="Y218" s="1"/>
  <c r="U219"/>
  <c r="Y219" s="1"/>
  <c r="U225"/>
  <c r="Y225" s="1"/>
  <c r="U223"/>
  <c r="Y223" s="1"/>
  <c r="U221"/>
  <c r="Y221" s="1"/>
  <c r="U217"/>
  <c r="Y217" s="1"/>
  <c r="K41" i="5"/>
  <c r="J41"/>
  <c r="A42"/>
  <c r="A176" i="4"/>
  <c r="L175"/>
  <c r="A43" i="5" l="1"/>
  <c r="A44" s="1"/>
  <c r="J42"/>
  <c r="K42"/>
  <c r="Q227" i="4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L176"/>
  <c r="A177"/>
  <c r="U245" l="1"/>
  <c r="Y245" s="1"/>
  <c r="U243"/>
  <c r="Y243" s="1"/>
  <c r="U241"/>
  <c r="Y241" s="1"/>
  <c r="U239"/>
  <c r="Y239" s="1"/>
  <c r="U237"/>
  <c r="Y237" s="1"/>
  <c r="U235"/>
  <c r="Y235" s="1"/>
  <c r="U233"/>
  <c r="Y233" s="1"/>
  <c r="U231"/>
  <c r="Y231" s="1"/>
  <c r="U229"/>
  <c r="Y229" s="1"/>
  <c r="U232"/>
  <c r="Y232" s="1"/>
  <c r="U230"/>
  <c r="Y230" s="1"/>
  <c r="U228"/>
  <c r="Y228" s="1"/>
  <c r="U244"/>
  <c r="Y244" s="1"/>
  <c r="U242"/>
  <c r="Y242" s="1"/>
  <c r="U240"/>
  <c r="Y240" s="1"/>
  <c r="U238"/>
  <c r="Y238" s="1"/>
  <c r="U236"/>
  <c r="Y236" s="1"/>
  <c r="U234"/>
  <c r="Y234" s="1"/>
  <c r="U227"/>
  <c r="Y227" s="1"/>
  <c r="A45" i="5"/>
  <c r="K44"/>
  <c r="J44"/>
  <c r="J43"/>
  <c r="K43"/>
  <c r="Q246" i="4"/>
  <c r="U246" s="1"/>
  <c r="Y246" s="1"/>
  <c r="Q247"/>
  <c r="Q248"/>
  <c r="Q249"/>
  <c r="Q250"/>
  <c r="Q251"/>
  <c r="Q252"/>
  <c r="Q253"/>
  <c r="Q254"/>
  <c r="Q255"/>
  <c r="Q256"/>
  <c r="L177"/>
  <c r="A178"/>
  <c r="U254" l="1"/>
  <c r="Y254" s="1"/>
  <c r="U252"/>
  <c r="Y252" s="1"/>
  <c r="U250"/>
  <c r="Y250" s="1"/>
  <c r="U248"/>
  <c r="Y248" s="1"/>
  <c r="U255"/>
  <c r="Y255" s="1"/>
  <c r="U253"/>
  <c r="Y253" s="1"/>
  <c r="U251"/>
  <c r="Y251" s="1"/>
  <c r="U249"/>
  <c r="Y249" s="1"/>
  <c r="U247"/>
  <c r="Y247" s="1"/>
  <c r="U256"/>
  <c r="Y256" s="1"/>
  <c r="U265"/>
  <c r="Y265" s="1"/>
  <c r="U262"/>
  <c r="Y262" s="1"/>
  <c r="U269"/>
  <c r="Y269" s="1"/>
  <c r="V257"/>
  <c r="U271"/>
  <c r="Y271" s="1"/>
  <c r="U273"/>
  <c r="Y273" s="1"/>
  <c r="U276"/>
  <c r="Y276" s="1"/>
  <c r="U258"/>
  <c r="Y258" s="1"/>
  <c r="U261"/>
  <c r="Y261" s="1"/>
  <c r="U264"/>
  <c r="Y264" s="1"/>
  <c r="U267"/>
  <c r="Y267" s="1"/>
  <c r="U274"/>
  <c r="Y274" s="1"/>
  <c r="U272"/>
  <c r="Y272" s="1"/>
  <c r="U259"/>
  <c r="Y259" s="1"/>
  <c r="U266"/>
  <c r="Y266" s="1"/>
  <c r="U268"/>
  <c r="Y268" s="1"/>
  <c r="U270"/>
  <c r="Y270" s="1"/>
  <c r="U257"/>
  <c r="U260"/>
  <c r="Y260" s="1"/>
  <c r="U263"/>
  <c r="Y263" s="1"/>
  <c r="A46" i="5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K45"/>
  <c r="J45"/>
  <c r="Q316" i="4" s="1"/>
  <c r="A179"/>
  <c r="L178"/>
  <c r="Y257" l="1"/>
  <c r="A64" i="5"/>
  <c r="K63"/>
  <c r="J63"/>
  <c r="K46"/>
  <c r="J46"/>
  <c r="A180" i="4"/>
  <c r="L179"/>
  <c r="Q473" l="1"/>
  <c r="Q474"/>
  <c r="Q514"/>
  <c r="Q516"/>
  <c r="Q523"/>
  <c r="Q590"/>
  <c r="R289"/>
  <c r="J64" i="5"/>
  <c r="A65"/>
  <c r="K64"/>
  <c r="J47"/>
  <c r="R527" i="4" s="1"/>
  <c r="K47" i="5"/>
  <c r="A181" i="4"/>
  <c r="L180"/>
  <c r="A66" i="5" l="1"/>
  <c r="K65"/>
  <c r="J65"/>
  <c r="Q585" i="4" s="1"/>
  <c r="Q591"/>
  <c r="Q592"/>
  <c r="K48" i="5"/>
  <c r="J48"/>
  <c r="A182" i="4"/>
  <c r="L181"/>
  <c r="J66" i="5" l="1"/>
  <c r="A67"/>
  <c r="K66"/>
  <c r="K49"/>
  <c r="J49"/>
  <c r="A183" i="4"/>
  <c r="L182"/>
  <c r="A68" i="5" l="1"/>
  <c r="K67"/>
  <c r="J67"/>
  <c r="R528" i="4"/>
  <c r="R530"/>
  <c r="R529"/>
  <c r="Q629"/>
  <c r="Q628"/>
  <c r="Q627"/>
  <c r="Q626"/>
  <c r="Q625"/>
  <c r="Q624"/>
  <c r="Q623"/>
  <c r="Q622"/>
  <c r="Q621"/>
  <c r="Q620"/>
  <c r="Q619"/>
  <c r="Q618"/>
  <c r="Q617"/>
  <c r="Q616"/>
  <c r="Q615"/>
  <c r="Q614"/>
  <c r="Q613"/>
  <c r="Q612"/>
  <c r="Q611"/>
  <c r="Q610"/>
  <c r="Q609"/>
  <c r="Q608"/>
  <c r="Q607"/>
  <c r="Q606"/>
  <c r="Q605"/>
  <c r="Q604"/>
  <c r="Q603"/>
  <c r="Q602"/>
  <c r="Q601"/>
  <c r="Q600"/>
  <c r="Q599"/>
  <c r="Q598"/>
  <c r="Q277"/>
  <c r="U277" s="1"/>
  <c r="Y277" s="1"/>
  <c r="Q568"/>
  <c r="Q512"/>
  <c r="Q513"/>
  <c r="Q519"/>
  <c r="Q527"/>
  <c r="Q528"/>
  <c r="Q529"/>
  <c r="Q530"/>
  <c r="J50" i="5"/>
  <c r="K50"/>
  <c r="A184" i="4"/>
  <c r="L183"/>
  <c r="J68" i="5" l="1"/>
  <c r="A69"/>
  <c r="K68"/>
  <c r="Q286" i="4"/>
  <c r="Q309"/>
  <c r="Q308"/>
  <c r="Q310"/>
  <c r="K51" i="5"/>
  <c r="J51"/>
  <c r="Q500" i="4" s="1"/>
  <c r="A185"/>
  <c r="L184"/>
  <c r="Q507" l="1"/>
  <c r="Q508"/>
  <c r="Q509"/>
  <c r="Q524"/>
  <c r="Q563"/>
  <c r="Q564"/>
  <c r="Q565"/>
  <c r="Q586"/>
  <c r="Q588"/>
  <c r="Q589"/>
  <c r="A70" i="5"/>
  <c r="K69"/>
  <c r="J69"/>
  <c r="U286" i="4"/>
  <c r="Y286" s="1"/>
  <c r="Q289"/>
  <c r="Q320"/>
  <c r="Q322"/>
  <c r="Q321"/>
  <c r="K52" i="5"/>
  <c r="J52"/>
  <c r="A186" i="4"/>
  <c r="L185"/>
  <c r="Q461" l="1"/>
  <c r="Q462"/>
  <c r="K70" i="5"/>
  <c r="J70"/>
  <c r="A71"/>
  <c r="U308" i="4"/>
  <c r="Y308" s="1"/>
  <c r="U289"/>
  <c r="U309"/>
  <c r="Y309" s="1"/>
  <c r="U310"/>
  <c r="Y310" s="1"/>
  <c r="V289"/>
  <c r="K53" i="5"/>
  <c r="J53"/>
  <c r="A187" i="4"/>
  <c r="L186"/>
  <c r="K71" i="5" l="1"/>
  <c r="J71"/>
  <c r="Y289" i="4"/>
  <c r="Q457"/>
  <c r="Q459"/>
  <c r="Q314"/>
  <c r="Q458"/>
  <c r="Q498"/>
  <c r="Q456"/>
  <c r="J54" i="5"/>
  <c r="K54"/>
  <c r="A188" i="4"/>
  <c r="L187"/>
  <c r="Q545" l="1"/>
  <c r="Q546"/>
  <c r="U314"/>
  <c r="J55" i="5"/>
  <c r="K55"/>
  <c r="Q342" i="4"/>
  <c r="Q488"/>
  <c r="Q499"/>
  <c r="Q597"/>
  <c r="Q497"/>
  <c r="Q596"/>
  <c r="R488"/>
  <c r="A189"/>
  <c r="L188"/>
  <c r="K56" i="5" l="1"/>
  <c r="J56"/>
  <c r="Q548" i="4" s="1"/>
  <c r="R457"/>
  <c r="R498"/>
  <c r="R456"/>
  <c r="R458"/>
  <c r="R314"/>
  <c r="A190"/>
  <c r="L189"/>
  <c r="V458" l="1"/>
  <c r="U435"/>
  <c r="Y435" s="1"/>
  <c r="U371"/>
  <c r="Y371" s="1"/>
  <c r="U382"/>
  <c r="Y382" s="1"/>
  <c r="U356"/>
  <c r="Y356" s="1"/>
  <c r="U372"/>
  <c r="Y372" s="1"/>
  <c r="U397"/>
  <c r="Y397" s="1"/>
  <c r="U416"/>
  <c r="Y416" s="1"/>
  <c r="U431"/>
  <c r="Y431" s="1"/>
  <c r="U367"/>
  <c r="Y367" s="1"/>
  <c r="U386"/>
  <c r="Y386" s="1"/>
  <c r="U401"/>
  <c r="Y401" s="1"/>
  <c r="U427"/>
  <c r="Y427" s="1"/>
  <c r="U358"/>
  <c r="Y358" s="1"/>
  <c r="U406"/>
  <c r="Y406" s="1"/>
  <c r="U409"/>
  <c r="Y409" s="1"/>
  <c r="U351"/>
  <c r="Y351" s="1"/>
  <c r="U405"/>
  <c r="Y405" s="1"/>
  <c r="U441"/>
  <c r="Y441" s="1"/>
  <c r="U376"/>
  <c r="Y376" s="1"/>
  <c r="U391"/>
  <c r="Y391" s="1"/>
  <c r="U443"/>
  <c r="Y443" s="1"/>
  <c r="U378"/>
  <c r="Y378" s="1"/>
  <c r="U419"/>
  <c r="Y419" s="1"/>
  <c r="U350"/>
  <c r="Y350" s="1"/>
  <c r="U398"/>
  <c r="Y398" s="1"/>
  <c r="U393"/>
  <c r="Y393" s="1"/>
  <c r="U413"/>
  <c r="Y413" s="1"/>
  <c r="U432"/>
  <c r="Y432" s="1"/>
  <c r="U368"/>
  <c r="Y368" s="1"/>
  <c r="U383"/>
  <c r="Y383" s="1"/>
  <c r="U402"/>
  <c r="Y402" s="1"/>
  <c r="U385"/>
  <c r="Y385" s="1"/>
  <c r="U433"/>
  <c r="Y433" s="1"/>
  <c r="U428"/>
  <c r="Y428" s="1"/>
  <c r="U444"/>
  <c r="Y444" s="1"/>
  <c r="U379"/>
  <c r="Y379" s="1"/>
  <c r="U390"/>
  <c r="Y390" s="1"/>
  <c r="U442"/>
  <c r="Y442" s="1"/>
  <c r="U388"/>
  <c r="Y388" s="1"/>
  <c r="U389"/>
  <c r="Y389" s="1"/>
  <c r="U424"/>
  <c r="Y424" s="1"/>
  <c r="U355"/>
  <c r="Y355" s="1"/>
  <c r="U407"/>
  <c r="Y407" s="1"/>
  <c r="U426"/>
  <c r="Y426" s="1"/>
  <c r="U357"/>
  <c r="Y357" s="1"/>
  <c r="V314"/>
  <c r="Y314" s="1"/>
  <c r="U316"/>
  <c r="Y316" s="1"/>
  <c r="U463"/>
  <c r="Y463" s="1"/>
  <c r="U465"/>
  <c r="Y465" s="1"/>
  <c r="U467"/>
  <c r="Y467" s="1"/>
  <c r="U464"/>
  <c r="Y464" s="1"/>
  <c r="U462"/>
  <c r="Y462" s="1"/>
  <c r="U456"/>
  <c r="U321"/>
  <c r="Y321" s="1"/>
  <c r="U320"/>
  <c r="Y320" s="1"/>
  <c r="U341"/>
  <c r="Y341" s="1"/>
  <c r="U459"/>
  <c r="Y459" s="1"/>
  <c r="U473"/>
  <c r="Y473" s="1"/>
  <c r="U461"/>
  <c r="Y461" s="1"/>
  <c r="U466"/>
  <c r="Y466" s="1"/>
  <c r="U474"/>
  <c r="Y474" s="1"/>
  <c r="U468"/>
  <c r="Y468" s="1"/>
  <c r="U458"/>
  <c r="U340"/>
  <c r="Y340" s="1"/>
  <c r="U322"/>
  <c r="Y322" s="1"/>
  <c r="U457"/>
  <c r="V456"/>
  <c r="V457"/>
  <c r="U417"/>
  <c r="Y417" s="1"/>
  <c r="U403"/>
  <c r="Y403" s="1"/>
  <c r="U414"/>
  <c r="Y414" s="1"/>
  <c r="U425"/>
  <c r="Y425" s="1"/>
  <c r="U437"/>
  <c r="Y437" s="1"/>
  <c r="U429"/>
  <c r="Y429" s="1"/>
  <c r="U365"/>
  <c r="Y365" s="1"/>
  <c r="U384"/>
  <c r="Y384" s="1"/>
  <c r="U399"/>
  <c r="Y399" s="1"/>
  <c r="U418"/>
  <c r="Y418" s="1"/>
  <c r="U445"/>
  <c r="Y445" s="1"/>
  <c r="U396"/>
  <c r="Y396" s="1"/>
  <c r="U395"/>
  <c r="Y395" s="1"/>
  <c r="U439"/>
  <c r="Y439" s="1"/>
  <c r="U374"/>
  <c r="Y374" s="1"/>
  <c r="U420"/>
  <c r="Y420" s="1"/>
  <c r="U438"/>
  <c r="Y438" s="1"/>
  <c r="U373"/>
  <c r="Y373" s="1"/>
  <c r="U408"/>
  <c r="Y408" s="1"/>
  <c r="U423"/>
  <c r="Y423" s="1"/>
  <c r="U354"/>
  <c r="Y354" s="1"/>
  <c r="U410"/>
  <c r="Y410" s="1"/>
  <c r="U412"/>
  <c r="Y412" s="1"/>
  <c r="U387"/>
  <c r="Y387" s="1"/>
  <c r="U430"/>
  <c r="Y430" s="1"/>
  <c r="U366"/>
  <c r="Y366" s="1"/>
  <c r="U404"/>
  <c r="Y404" s="1"/>
  <c r="U381"/>
  <c r="Y381" s="1"/>
  <c r="U400"/>
  <c r="Y400" s="1"/>
  <c r="U415"/>
  <c r="Y415" s="1"/>
  <c r="U434"/>
  <c r="Y434" s="1"/>
  <c r="U370"/>
  <c r="Y370" s="1"/>
  <c r="U380"/>
  <c r="Y380" s="1"/>
  <c r="U369"/>
  <c r="Y369" s="1"/>
  <c r="U359"/>
  <c r="Y359" s="1"/>
  <c r="U411"/>
  <c r="Y411" s="1"/>
  <c r="U422"/>
  <c r="Y422" s="1"/>
  <c r="U353"/>
  <c r="Y353" s="1"/>
  <c r="U377"/>
  <c r="Y377" s="1"/>
  <c r="U421"/>
  <c r="Y421" s="1"/>
  <c r="U352"/>
  <c r="Y352" s="1"/>
  <c r="U392"/>
  <c r="Y392" s="1"/>
  <c r="U440"/>
  <c r="Y440" s="1"/>
  <c r="U375"/>
  <c r="Y375" s="1"/>
  <c r="U394"/>
  <c r="Y394" s="1"/>
  <c r="U342"/>
  <c r="Y342" s="1"/>
  <c r="J57" i="5"/>
  <c r="K57"/>
  <c r="A191" i="4"/>
  <c r="L190"/>
  <c r="Y458" l="1"/>
  <c r="Y457"/>
  <c r="Y456"/>
  <c r="J58" i="5"/>
  <c r="K58"/>
  <c r="A192" i="4"/>
  <c r="L191"/>
  <c r="Q525" l="1"/>
  <c r="Q549"/>
  <c r="J59" i="5"/>
  <c r="K59"/>
  <c r="A193" i="4"/>
  <c r="L192"/>
  <c r="J60" i="5" l="1"/>
  <c r="K60"/>
  <c r="A194" i="4"/>
  <c r="L193"/>
  <c r="J61" i="5" l="1"/>
  <c r="K61"/>
  <c r="A195" i="4"/>
  <c r="L194"/>
  <c r="K62" i="5" l="1"/>
  <c r="J62"/>
  <c r="A196" i="4"/>
  <c r="L195"/>
  <c r="Q476" l="1"/>
  <c r="Q477"/>
  <c r="A197"/>
  <c r="L196"/>
  <c r="U545" l="1"/>
  <c r="Y545" s="1"/>
  <c r="U546"/>
  <c r="Y546" s="1"/>
  <c r="U476"/>
  <c r="Y476" s="1"/>
  <c r="V498"/>
  <c r="U596"/>
  <c r="Y596" s="1"/>
  <c r="U508"/>
  <c r="Y508" s="1"/>
  <c r="U499"/>
  <c r="Y499" s="1"/>
  <c r="U628"/>
  <c r="Y628" s="1"/>
  <c r="U606"/>
  <c r="Y606" s="1"/>
  <c r="U612"/>
  <c r="Y612" s="1"/>
  <c r="U626"/>
  <c r="Y626" s="1"/>
  <c r="U607"/>
  <c r="Y607" s="1"/>
  <c r="U625"/>
  <c r="Y625" s="1"/>
  <c r="U603"/>
  <c r="Y603" s="1"/>
  <c r="U615"/>
  <c r="Y615" s="1"/>
  <c r="U559"/>
  <c r="Y559" s="1"/>
  <c r="U498"/>
  <c r="U565"/>
  <c r="Y565" s="1"/>
  <c r="U530"/>
  <c r="U514"/>
  <c r="Y514" s="1"/>
  <c r="U512"/>
  <c r="Y512" s="1"/>
  <c r="U500"/>
  <c r="Y500" s="1"/>
  <c r="U488"/>
  <c r="U602"/>
  <c r="Y602" s="1"/>
  <c r="U624"/>
  <c r="Y624" s="1"/>
  <c r="U618"/>
  <c r="Y618" s="1"/>
  <c r="U608"/>
  <c r="Y608" s="1"/>
  <c r="U611"/>
  <c r="Y611" s="1"/>
  <c r="U605"/>
  <c r="Y605" s="1"/>
  <c r="U597"/>
  <c r="Y597" s="1"/>
  <c r="U497"/>
  <c r="Y497" s="1"/>
  <c r="U507"/>
  <c r="Y507" s="1"/>
  <c r="U620"/>
  <c r="Y620" s="1"/>
  <c r="U614"/>
  <c r="Y614" s="1"/>
  <c r="U600"/>
  <c r="Y600" s="1"/>
  <c r="U616"/>
  <c r="Y616" s="1"/>
  <c r="U619"/>
  <c r="Y619" s="1"/>
  <c r="U629"/>
  <c r="Y629" s="1"/>
  <c r="U623"/>
  <c r="Y623" s="1"/>
  <c r="U627"/>
  <c r="Y627" s="1"/>
  <c r="U548"/>
  <c r="Y548" s="1"/>
  <c r="U589"/>
  <c r="Y589" s="1"/>
  <c r="V488"/>
  <c r="U509"/>
  <c r="Y509" s="1"/>
  <c r="U604"/>
  <c r="Y604" s="1"/>
  <c r="U610"/>
  <c r="Y610" s="1"/>
  <c r="U622"/>
  <c r="Y622" s="1"/>
  <c r="U598"/>
  <c r="Y598" s="1"/>
  <c r="U617"/>
  <c r="Y617" s="1"/>
  <c r="U599"/>
  <c r="Y599" s="1"/>
  <c r="U601"/>
  <c r="Y601" s="1"/>
  <c r="U613"/>
  <c r="Y613" s="1"/>
  <c r="U621"/>
  <c r="Y621" s="1"/>
  <c r="U609"/>
  <c r="Y609" s="1"/>
  <c r="U477"/>
  <c r="Y477" s="1"/>
  <c r="U513"/>
  <c r="Y513" s="1"/>
  <c r="U523"/>
  <c r="Y523" s="1"/>
  <c r="U588"/>
  <c r="Y588" s="1"/>
  <c r="U590"/>
  <c r="Y590" s="1"/>
  <c r="U549"/>
  <c r="Y549" s="1"/>
  <c r="V528"/>
  <c r="U557"/>
  <c r="Y557" s="1"/>
  <c r="U560"/>
  <c r="Y560" s="1"/>
  <c r="U568"/>
  <c r="Y568" s="1"/>
  <c r="V529"/>
  <c r="U558"/>
  <c r="Y558" s="1"/>
  <c r="U529"/>
  <c r="U519"/>
  <c r="Y519" s="1"/>
  <c r="U524"/>
  <c r="Y524" s="1"/>
  <c r="V530"/>
  <c r="U563"/>
  <c r="Y563" s="1"/>
  <c r="U527"/>
  <c r="V527"/>
  <c r="U585"/>
  <c r="Y585" s="1"/>
  <c r="U591"/>
  <c r="Y591" s="1"/>
  <c r="U528"/>
  <c r="U525"/>
  <c r="Y525" s="1"/>
  <c r="U564"/>
  <c r="Y564" s="1"/>
  <c r="U592"/>
  <c r="Y592" s="1"/>
  <c r="U586"/>
  <c r="Y586" s="1"/>
  <c r="U516"/>
  <c r="Y516" s="1"/>
  <c r="U556"/>
  <c r="Y556" s="1"/>
  <c r="U561"/>
  <c r="Y561" s="1"/>
  <c r="U562"/>
  <c r="Y562" s="1"/>
  <c r="A198"/>
  <c r="L197"/>
  <c r="Y529" l="1"/>
  <c r="Y498"/>
  <c r="Y528"/>
  <c r="Y488"/>
  <c r="Y530"/>
  <c r="Y527"/>
  <c r="A199"/>
  <c r="L198"/>
  <c r="A200" l="1"/>
  <c r="L199"/>
  <c r="A201" l="1"/>
  <c r="L200"/>
  <c r="A202" l="1"/>
  <c r="L201"/>
  <c r="A203" l="1"/>
  <c r="L202"/>
  <c r="A204" l="1"/>
  <c r="L203"/>
  <c r="A205" l="1"/>
  <c r="L204"/>
  <c r="A206" l="1"/>
  <c r="L205"/>
  <c r="A207" l="1"/>
  <c r="L206"/>
  <c r="A208" l="1"/>
  <c r="L207"/>
  <c r="A209" l="1"/>
  <c r="L208"/>
  <c r="A210" l="1"/>
  <c r="L209"/>
  <c r="A211" l="1"/>
  <c r="L210"/>
  <c r="A212" l="1"/>
  <c r="L211"/>
  <c r="A213" l="1"/>
  <c r="L212"/>
  <c r="A214" l="1"/>
  <c r="L213"/>
  <c r="A215" l="1"/>
  <c r="L214"/>
  <c r="A216" l="1"/>
  <c r="L215"/>
  <c r="A217" l="1"/>
  <c r="L216"/>
  <c r="L217" l="1"/>
  <c r="A218"/>
  <c r="A219" l="1"/>
  <c r="L218"/>
  <c r="A220" l="1"/>
  <c r="L219"/>
  <c r="A221" l="1"/>
  <c r="L220"/>
  <c r="A222" l="1"/>
  <c r="L221"/>
  <c r="A223" l="1"/>
  <c r="L222"/>
  <c r="A224" l="1"/>
  <c r="L223"/>
  <c r="A225" l="1"/>
  <c r="L224"/>
  <c r="A226" l="1"/>
  <c r="L225"/>
  <c r="A227" l="1"/>
  <c r="L226"/>
  <c r="L227" l="1"/>
  <c r="A228"/>
  <c r="A229" l="1"/>
  <c r="L228"/>
  <c r="A230" l="1"/>
  <c r="L229"/>
  <c r="A231" l="1"/>
  <c r="L230"/>
  <c r="A232" l="1"/>
  <c r="L231"/>
  <c r="A233" l="1"/>
  <c r="L232"/>
  <c r="A234" l="1"/>
  <c r="L233"/>
  <c r="A235" l="1"/>
  <c r="L234"/>
  <c r="A236" l="1"/>
  <c r="L235"/>
  <c r="A237" l="1"/>
  <c r="L236"/>
  <c r="A238" l="1"/>
  <c r="L237"/>
  <c r="A239" l="1"/>
  <c r="L238"/>
  <c r="A240" l="1"/>
  <c r="L239"/>
  <c r="A241" l="1"/>
  <c r="L240"/>
  <c r="A242" l="1"/>
  <c r="L241"/>
  <c r="A243" l="1"/>
  <c r="L242"/>
  <c r="A244" l="1"/>
  <c r="L243"/>
  <c r="A245" l="1"/>
  <c r="L244"/>
  <c r="A246" l="1"/>
  <c r="L245"/>
  <c r="A247" l="1"/>
  <c r="L246"/>
  <c r="A248" l="1"/>
  <c r="L247"/>
  <c r="A249" l="1"/>
  <c r="L248"/>
  <c r="A250" l="1"/>
  <c r="L249"/>
  <c r="A251" l="1"/>
  <c r="L250"/>
  <c r="A252" l="1"/>
  <c r="L251"/>
  <c r="A253" l="1"/>
  <c r="L252"/>
  <c r="A254" l="1"/>
  <c r="L253"/>
  <c r="A255" l="1"/>
  <c r="L254"/>
  <c r="A256" l="1"/>
  <c r="L255"/>
  <c r="A257" l="1"/>
  <c r="L256"/>
  <c r="L257" l="1"/>
  <c r="A258"/>
  <c r="A259" l="1"/>
  <c r="L258"/>
  <c r="A260" l="1"/>
  <c r="L259"/>
  <c r="A261" l="1"/>
  <c r="L260"/>
  <c r="A262" l="1"/>
  <c r="L261"/>
  <c r="A263" l="1"/>
  <c r="L262"/>
  <c r="A264" l="1"/>
  <c r="L263"/>
  <c r="A265" l="1"/>
  <c r="L264"/>
  <c r="A266" l="1"/>
  <c r="L265"/>
  <c r="A267" l="1"/>
  <c r="L266"/>
  <c r="A268" l="1"/>
  <c r="L267"/>
  <c r="A269" l="1"/>
  <c r="L268"/>
  <c r="A270" l="1"/>
  <c r="L269"/>
  <c r="A271" l="1"/>
  <c r="L270"/>
  <c r="A272" l="1"/>
  <c r="L271"/>
  <c r="A273" l="1"/>
  <c r="L272"/>
  <c r="A274" l="1"/>
  <c r="L273"/>
  <c r="L274" l="1"/>
  <c r="A275"/>
  <c r="L275" l="1"/>
  <c r="A276"/>
  <c r="A277" l="1"/>
  <c r="L276"/>
  <c r="A278" l="1"/>
  <c r="L277"/>
  <c r="A279" l="1"/>
  <c r="L278"/>
  <c r="A280" l="1"/>
  <c r="L279"/>
  <c r="A281" l="1"/>
  <c r="L280"/>
  <c r="A282" l="1"/>
  <c r="L281"/>
  <c r="A283" l="1"/>
  <c r="L282"/>
  <c r="A284" l="1"/>
  <c r="L283"/>
  <c r="A285" l="1"/>
  <c r="L284"/>
  <c r="A286" l="1"/>
  <c r="L285"/>
  <c r="A287" l="1"/>
  <c r="L286"/>
  <c r="A288" l="1"/>
  <c r="L287"/>
  <c r="A289" l="1"/>
  <c r="L288"/>
  <c r="A290" l="1"/>
  <c r="L289"/>
  <c r="A291" l="1"/>
  <c r="L290"/>
  <c r="A292" l="1"/>
  <c r="L291"/>
  <c r="A293" l="1"/>
  <c r="L292"/>
  <c r="A294" l="1"/>
  <c r="L293"/>
  <c r="A295" l="1"/>
  <c r="L294"/>
  <c r="A296" l="1"/>
  <c r="L295"/>
  <c r="A297" l="1"/>
  <c r="L296"/>
  <c r="A298" l="1"/>
  <c r="L297"/>
  <c r="A299" l="1"/>
  <c r="L298"/>
  <c r="A300" l="1"/>
  <c r="L299"/>
  <c r="A301" l="1"/>
  <c r="L300"/>
  <c r="A302" l="1"/>
  <c r="L301"/>
  <c r="A303" l="1"/>
  <c r="L302"/>
  <c r="A304" l="1"/>
  <c r="L303"/>
  <c r="A305" l="1"/>
  <c r="L304"/>
  <c r="A306" l="1"/>
  <c r="L305"/>
  <c r="A307" l="1"/>
  <c r="L306"/>
  <c r="A308" l="1"/>
  <c r="L307"/>
  <c r="A309" l="1"/>
  <c r="L308"/>
  <c r="A310" l="1"/>
  <c r="L309"/>
  <c r="A311" l="1"/>
  <c r="L310"/>
  <c r="A312" l="1"/>
  <c r="L311"/>
  <c r="A313" l="1"/>
  <c r="L312"/>
  <c r="A314" l="1"/>
  <c r="L313"/>
  <c r="A315" l="1"/>
  <c r="L314"/>
  <c r="A316" l="1"/>
  <c r="L315"/>
  <c r="A317" l="1"/>
  <c r="L316"/>
  <c r="A318" l="1"/>
  <c r="L317"/>
  <c r="A319" l="1"/>
  <c r="L318"/>
  <c r="A320" l="1"/>
  <c r="L319"/>
  <c r="A321" l="1"/>
  <c r="L320"/>
  <c r="A322" l="1"/>
  <c r="L321"/>
  <c r="A323" l="1"/>
  <c r="L322"/>
  <c r="A324" l="1"/>
  <c r="L323"/>
  <c r="A325" l="1"/>
  <c r="L324"/>
  <c r="A326" l="1"/>
  <c r="L325"/>
  <c r="A327" l="1"/>
  <c r="L326"/>
  <c r="A328" l="1"/>
  <c r="L327"/>
  <c r="A329" l="1"/>
  <c r="L328"/>
  <c r="A330" l="1"/>
  <c r="L329"/>
  <c r="A331" l="1"/>
  <c r="L330"/>
  <c r="A332" l="1"/>
  <c r="L331"/>
  <c r="A333" l="1"/>
  <c r="L332"/>
  <c r="A334" l="1"/>
  <c r="L333"/>
  <c r="A335" l="1"/>
  <c r="L334"/>
  <c r="A336" l="1"/>
  <c r="L335"/>
  <c r="A337" l="1"/>
  <c r="L336"/>
  <c r="A338" l="1"/>
  <c r="L337"/>
  <c r="A339" l="1"/>
  <c r="L338"/>
  <c r="A340" l="1"/>
  <c r="L339"/>
  <c r="A341" l="1"/>
  <c r="L340"/>
  <c r="A342" l="1"/>
  <c r="L341"/>
  <c r="A343" l="1"/>
  <c r="L342"/>
  <c r="A344" l="1"/>
  <c r="L343"/>
  <c r="A345" l="1"/>
  <c r="L344"/>
  <c r="A346" l="1"/>
  <c r="L345"/>
  <c r="A347" l="1"/>
  <c r="L346"/>
  <c r="A348" l="1"/>
  <c r="L347"/>
  <c r="A349" l="1"/>
  <c r="L348"/>
  <c r="A350" l="1"/>
  <c r="L349"/>
  <c r="A351" l="1"/>
  <c r="L350"/>
  <c r="A352" l="1"/>
  <c r="L351"/>
  <c r="A353" l="1"/>
  <c r="L352"/>
  <c r="A354" l="1"/>
  <c r="L353"/>
  <c r="A355" l="1"/>
  <c r="L354"/>
  <c r="A356" l="1"/>
  <c r="L355"/>
  <c r="A357" l="1"/>
  <c r="L356"/>
  <c r="A358" l="1"/>
  <c r="L357"/>
  <c r="A359" l="1"/>
  <c r="L358"/>
  <c r="A360" l="1"/>
  <c r="L359"/>
  <c r="A361" l="1"/>
  <c r="L360"/>
  <c r="A362" l="1"/>
  <c r="L361"/>
  <c r="A363" l="1"/>
  <c r="L362"/>
  <c r="A364" l="1"/>
  <c r="L363"/>
  <c r="A365" l="1"/>
  <c r="L364"/>
  <c r="A366" l="1"/>
  <c r="L365"/>
  <c r="A367" l="1"/>
  <c r="L366"/>
  <c r="A368" l="1"/>
  <c r="L367"/>
  <c r="A369" l="1"/>
  <c r="L368"/>
  <c r="A370" l="1"/>
  <c r="L369"/>
  <c r="A371" l="1"/>
  <c r="L370"/>
  <c r="A372" l="1"/>
  <c r="L371"/>
  <c r="A373" l="1"/>
  <c r="L372"/>
  <c r="A374" l="1"/>
  <c r="L373"/>
  <c r="A375" l="1"/>
  <c r="L374"/>
  <c r="A376" l="1"/>
  <c r="L375"/>
  <c r="A377" l="1"/>
  <c r="L376"/>
  <c r="A378" l="1"/>
  <c r="L377"/>
  <c r="A379" l="1"/>
  <c r="L378"/>
  <c r="A380" l="1"/>
  <c r="L379"/>
  <c r="A381" l="1"/>
  <c r="L380"/>
  <c r="A382" l="1"/>
  <c r="L381"/>
  <c r="A383" l="1"/>
  <c r="L382"/>
  <c r="A384" l="1"/>
  <c r="L383"/>
  <c r="A385" l="1"/>
  <c r="L384"/>
  <c r="A386" l="1"/>
  <c r="L385"/>
  <c r="A387" l="1"/>
  <c r="L386"/>
  <c r="A388" l="1"/>
  <c r="L387"/>
  <c r="A389" l="1"/>
  <c r="L388"/>
  <c r="A390" l="1"/>
  <c r="L389"/>
  <c r="A391" l="1"/>
  <c r="L390"/>
  <c r="A392" l="1"/>
  <c r="L391"/>
  <c r="A393" l="1"/>
  <c r="L392"/>
  <c r="A394" l="1"/>
  <c r="L393"/>
  <c r="A395" l="1"/>
  <c r="L394"/>
  <c r="A396" l="1"/>
  <c r="L395"/>
  <c r="A397" l="1"/>
  <c r="L396"/>
  <c r="A398" l="1"/>
  <c r="L397"/>
  <c r="A399" l="1"/>
  <c r="L398"/>
  <c r="A400" l="1"/>
  <c r="L399"/>
  <c r="A401" l="1"/>
  <c r="L400"/>
  <c r="A402" l="1"/>
  <c r="L401"/>
  <c r="A403" l="1"/>
  <c r="L402"/>
  <c r="A404" l="1"/>
  <c r="L403"/>
  <c r="A405" l="1"/>
  <c r="L404"/>
  <c r="A406" l="1"/>
  <c r="L405"/>
  <c r="A407" l="1"/>
  <c r="L406"/>
  <c r="A408" l="1"/>
  <c r="L407"/>
  <c r="A409" l="1"/>
  <c r="L408"/>
  <c r="A410" l="1"/>
  <c r="L409"/>
  <c r="A411" l="1"/>
  <c r="L410"/>
  <c r="A412" l="1"/>
  <c r="L411"/>
  <c r="A413" l="1"/>
  <c r="L412"/>
  <c r="A414" l="1"/>
  <c r="L413"/>
  <c r="A415" l="1"/>
  <c r="L414"/>
  <c r="A416" l="1"/>
  <c r="L415"/>
  <c r="A417" l="1"/>
  <c r="L416"/>
  <c r="A418" l="1"/>
  <c r="L417"/>
  <c r="A419" l="1"/>
  <c r="L418"/>
  <c r="A420" l="1"/>
  <c r="L419"/>
  <c r="A421" l="1"/>
  <c r="L420"/>
  <c r="A422" l="1"/>
  <c r="L421"/>
  <c r="A423" l="1"/>
  <c r="L422"/>
  <c r="A424" l="1"/>
  <c r="L423"/>
  <c r="A425" l="1"/>
  <c r="L424"/>
  <c r="A426" l="1"/>
  <c r="L425"/>
  <c r="A427" l="1"/>
  <c r="L426"/>
  <c r="A428" l="1"/>
  <c r="L427"/>
  <c r="A429" l="1"/>
  <c r="L428"/>
  <c r="A430" l="1"/>
  <c r="L429"/>
  <c r="A431" l="1"/>
  <c r="L430"/>
  <c r="A432" l="1"/>
  <c r="L431"/>
  <c r="A433" l="1"/>
  <c r="L432"/>
  <c r="A434" l="1"/>
  <c r="L433"/>
  <c r="A435" l="1"/>
  <c r="L434"/>
  <c r="A436" l="1"/>
  <c r="L435"/>
  <c r="A437" l="1"/>
  <c r="L436"/>
  <c r="A438" l="1"/>
  <c r="L437"/>
  <c r="A439" l="1"/>
  <c r="L438"/>
  <c r="A440" l="1"/>
  <c r="L439"/>
  <c r="A441" l="1"/>
  <c r="L440"/>
  <c r="A442" l="1"/>
  <c r="L441"/>
  <c r="A443" l="1"/>
  <c r="L442"/>
  <c r="A444" l="1"/>
  <c r="L443"/>
  <c r="A445" l="1"/>
  <c r="L444"/>
  <c r="A446" l="1"/>
  <c r="L445"/>
  <c r="A447" l="1"/>
  <c r="L446"/>
  <c r="A448" l="1"/>
  <c r="L447"/>
  <c r="A449" l="1"/>
  <c r="L448"/>
  <c r="A450" l="1"/>
  <c r="L449"/>
  <c r="A451" l="1"/>
  <c r="L450"/>
  <c r="A452" l="1"/>
  <c r="L451"/>
  <c r="A453" l="1"/>
  <c r="L452"/>
  <c r="A454" l="1"/>
  <c r="L453"/>
  <c r="A455" l="1"/>
  <c r="L454"/>
  <c r="A456" l="1"/>
  <c r="L455"/>
  <c r="A457" l="1"/>
  <c r="L456"/>
  <c r="A458" l="1"/>
  <c r="L457"/>
  <c r="A459" l="1"/>
  <c r="L458"/>
  <c r="A460" l="1"/>
  <c r="L459"/>
  <c r="A461" l="1"/>
  <c r="L460"/>
  <c r="A462" l="1"/>
  <c r="L461"/>
  <c r="A463" l="1"/>
  <c r="L462"/>
  <c r="A464" l="1"/>
  <c r="L463"/>
  <c r="A465" l="1"/>
  <c r="L464"/>
  <c r="A466" l="1"/>
  <c r="L465"/>
  <c r="A467" l="1"/>
  <c r="L466"/>
  <c r="A468" l="1"/>
  <c r="L467"/>
  <c r="A469" l="1"/>
  <c r="L468"/>
  <c r="A470" l="1"/>
  <c r="L469"/>
  <c r="A471" l="1"/>
  <c r="L470"/>
  <c r="A472" l="1"/>
  <c r="L471"/>
  <c r="A473" l="1"/>
  <c r="L472"/>
  <c r="A474" l="1"/>
  <c r="L473"/>
  <c r="A475" l="1"/>
  <c r="L474"/>
  <c r="A476" l="1"/>
  <c r="L475"/>
  <c r="A477" l="1"/>
  <c r="L476"/>
  <c r="A478" l="1"/>
  <c r="L477"/>
  <c r="A479" l="1"/>
  <c r="L478"/>
  <c r="A480" l="1"/>
  <c r="L479"/>
  <c r="A481" l="1"/>
  <c r="L480"/>
  <c r="A482" l="1"/>
  <c r="L481"/>
  <c r="A483" l="1"/>
  <c r="L482"/>
  <c r="A484" l="1"/>
  <c r="L483"/>
  <c r="A485" l="1"/>
  <c r="L484"/>
  <c r="A486" l="1"/>
  <c r="L485"/>
  <c r="A487" l="1"/>
  <c r="L486"/>
  <c r="A488" l="1"/>
  <c r="L487"/>
  <c r="A489" l="1"/>
  <c r="L488"/>
  <c r="A490" l="1"/>
  <c r="L489"/>
  <c r="A491" l="1"/>
  <c r="L490"/>
  <c r="A492" l="1"/>
  <c r="L491"/>
  <c r="A493" l="1"/>
  <c r="L492"/>
  <c r="A494" l="1"/>
  <c r="L493"/>
  <c r="A495" l="1"/>
  <c r="L494"/>
  <c r="A496" l="1"/>
  <c r="L495"/>
  <c r="A497" l="1"/>
  <c r="L496"/>
  <c r="A498" l="1"/>
  <c r="L497"/>
  <c r="A499" l="1"/>
  <c r="L498"/>
  <c r="A500" l="1"/>
  <c r="L499"/>
  <c r="A501" l="1"/>
  <c r="L500"/>
  <c r="A502" l="1"/>
  <c r="L501"/>
  <c r="A503" l="1"/>
  <c r="L502"/>
  <c r="A504" l="1"/>
  <c r="L503"/>
  <c r="A505" l="1"/>
  <c r="L504"/>
  <c r="A506" l="1"/>
  <c r="L505"/>
  <c r="A507" l="1"/>
  <c r="L506"/>
  <c r="A508" l="1"/>
  <c r="L507"/>
  <c r="A509" l="1"/>
  <c r="L508"/>
  <c r="A510" l="1"/>
  <c r="L509"/>
  <c r="A511" l="1"/>
  <c r="L510"/>
  <c r="A512" l="1"/>
  <c r="L511"/>
  <c r="A513" l="1"/>
  <c r="L512"/>
  <c r="A514" l="1"/>
  <c r="L513"/>
  <c r="A515" l="1"/>
  <c r="L514"/>
  <c r="A516" l="1"/>
  <c r="L515"/>
  <c r="A517" l="1"/>
  <c r="L516"/>
  <c r="A518" l="1"/>
  <c r="L517"/>
  <c r="A519" l="1"/>
  <c r="L518"/>
  <c r="A520" l="1"/>
  <c r="L519"/>
  <c r="A521" l="1"/>
  <c r="L520"/>
  <c r="A522" l="1"/>
  <c r="L521"/>
  <c r="A523" l="1"/>
  <c r="L522"/>
  <c r="A524" l="1"/>
  <c r="L523"/>
  <c r="A525" l="1"/>
  <c r="L524"/>
  <c r="A526" l="1"/>
  <c r="L525"/>
  <c r="A527" l="1"/>
  <c r="L526"/>
  <c r="A528" l="1"/>
  <c r="L527"/>
  <c r="A529" l="1"/>
  <c r="L528"/>
  <c r="A530" l="1"/>
  <c r="L529"/>
  <c r="A531" l="1"/>
  <c r="L530"/>
  <c r="A532" l="1"/>
  <c r="L531"/>
  <c r="A533" l="1"/>
  <c r="L532"/>
  <c r="A534" l="1"/>
  <c r="L533"/>
  <c r="A535" l="1"/>
  <c r="L534"/>
  <c r="A536" l="1"/>
  <c r="L535"/>
  <c r="A537" l="1"/>
  <c r="L536"/>
  <c r="A538" l="1"/>
  <c r="L537"/>
  <c r="A539" l="1"/>
  <c r="L538"/>
  <c r="A540" l="1"/>
  <c r="L539"/>
  <c r="A541" l="1"/>
  <c r="L540"/>
  <c r="A542" l="1"/>
  <c r="L541"/>
  <c r="A543" l="1"/>
  <c r="L542"/>
  <c r="A544" l="1"/>
  <c r="L543"/>
  <c r="A545" l="1"/>
  <c r="L544"/>
  <c r="A546" l="1"/>
  <c r="L545"/>
  <c r="A547" l="1"/>
  <c r="L546"/>
  <c r="A548" l="1"/>
  <c r="L547"/>
  <c r="A549" l="1"/>
  <c r="L548"/>
  <c r="A550" l="1"/>
  <c r="L549"/>
  <c r="A551" l="1"/>
  <c r="L550"/>
  <c r="A552" l="1"/>
  <c r="L551"/>
  <c r="A553" l="1"/>
  <c r="L552"/>
  <c r="A554" l="1"/>
  <c r="L553"/>
  <c r="A555" l="1"/>
  <c r="L554"/>
  <c r="A556" l="1"/>
  <c r="L555"/>
  <c r="A557" l="1"/>
  <c r="L556"/>
  <c r="A558" l="1"/>
  <c r="L557"/>
  <c r="A559" l="1"/>
  <c r="L558"/>
  <c r="A560" l="1"/>
  <c r="L559"/>
  <c r="A561" l="1"/>
  <c r="L560"/>
  <c r="A562" l="1"/>
  <c r="L561"/>
  <c r="A563" l="1"/>
  <c r="L562"/>
  <c r="A564" l="1"/>
  <c r="L563"/>
  <c r="A565" l="1"/>
  <c r="L564"/>
  <c r="A566" l="1"/>
  <c r="L565"/>
  <c r="A567" l="1"/>
  <c r="L566"/>
  <c r="A568" l="1"/>
  <c r="L567"/>
  <c r="A569" l="1"/>
  <c r="L568"/>
  <c r="A570" l="1"/>
  <c r="L569"/>
  <c r="A571" l="1"/>
  <c r="L570"/>
  <c r="A572" l="1"/>
  <c r="L571"/>
  <c r="A573" l="1"/>
  <c r="L572"/>
  <c r="A574" l="1"/>
  <c r="L573"/>
  <c r="A575" l="1"/>
  <c r="L574"/>
  <c r="A576" l="1"/>
  <c r="L575"/>
  <c r="A577" l="1"/>
  <c r="L576"/>
  <c r="A578" l="1"/>
  <c r="L577"/>
  <c r="A579" l="1"/>
  <c r="L578"/>
  <c r="A580" l="1"/>
  <c r="L579"/>
  <c r="A581" l="1"/>
  <c r="L580"/>
  <c r="A582" l="1"/>
  <c r="L581"/>
  <c r="A583" l="1"/>
  <c r="L582"/>
  <c r="A584" l="1"/>
  <c r="L583"/>
  <c r="A585" l="1"/>
  <c r="L584"/>
  <c r="A586" l="1"/>
  <c r="L585"/>
  <c r="A587" l="1"/>
  <c r="L586"/>
  <c r="A588" l="1"/>
  <c r="L587"/>
  <c r="A589" l="1"/>
  <c r="L588"/>
  <c r="A590" l="1"/>
  <c r="L589"/>
  <c r="A591" l="1"/>
  <c r="L590"/>
  <c r="A592" l="1"/>
  <c r="L591"/>
  <c r="A593" l="1"/>
  <c r="L592"/>
  <c r="A594" l="1"/>
  <c r="L593"/>
  <c r="A595" l="1"/>
  <c r="L594"/>
  <c r="A596" l="1"/>
  <c r="L595"/>
  <c r="A597" l="1"/>
  <c r="L596"/>
  <c r="L597" l="1"/>
  <c r="A598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</calcChain>
</file>

<file path=xl/sharedStrings.xml><?xml version="1.0" encoding="utf-8"?>
<sst xmlns="http://schemas.openxmlformats.org/spreadsheetml/2006/main" count="5161" uniqueCount="2760">
  <si>
    <t>Id</t>
  </si>
  <si>
    <t>LanguageId</t>
  </si>
  <si>
    <t>WordtypeId</t>
  </si>
  <si>
    <t>Name</t>
  </si>
  <si>
    <t>Params</t>
  </si>
  <si>
    <t>Group</t>
  </si>
  <si>
    <t>Header</t>
  </si>
  <si>
    <t>InactiveRules</t>
  </si>
  <si>
    <t>Index</t>
  </si>
  <si>
    <t>To jest ...</t>
  </si>
  <si>
    <t>(0)Header</t>
  </si>
  <si>
    <t>NULL</t>
  </si>
  <si>
    <t>Nie ma ...</t>
  </si>
  <si>
    <t>Daj to ...</t>
  </si>
  <si>
    <t>Widzę ...</t>
  </si>
  <si>
    <t>Porozmawiaj z ...</t>
  </si>
  <si>
    <t>Porozmawiaj o ...</t>
  </si>
  <si>
    <t>!</t>
  </si>
  <si>
    <t>Mianownik pojedynczy</t>
  </si>
  <si>
    <t>9:13|2:1</t>
  </si>
  <si>
    <t>(1)Liczba pojedyncza</t>
  </si>
  <si>
    <t>Dopełniacz pojedynczy</t>
  </si>
  <si>
    <t>9:14|2:1</t>
  </si>
  <si>
    <t>Celownik pojedynczy</t>
  </si>
  <si>
    <t>9:15|2:1</t>
  </si>
  <si>
    <t>Biernik pojedynczy</t>
  </si>
  <si>
    <t>9:16|2:1</t>
  </si>
  <si>
    <t>Narzędnik pojedynczy</t>
  </si>
  <si>
    <t>9:17|2:1</t>
  </si>
  <si>
    <t>Miejscownik pojedynczy</t>
  </si>
  <si>
    <t>9:18|2:1</t>
  </si>
  <si>
    <t>Wołacz pojedynczy</t>
  </si>
  <si>
    <t>9:19|2:1</t>
  </si>
  <si>
    <t>Mianownik mnogi</t>
  </si>
  <si>
    <t>9:13|2:2</t>
  </si>
  <si>
    <t>(2)Liczba mnoga</t>
  </si>
  <si>
    <t>Dopełniacz mnogi</t>
  </si>
  <si>
    <t>9:14|2:2</t>
  </si>
  <si>
    <t>Celownik mnogi</t>
  </si>
  <si>
    <t>9:15|2:2</t>
  </si>
  <si>
    <t>Biernik mnogi</t>
  </si>
  <si>
    <t>9:16|2:2</t>
  </si>
  <si>
    <t>Narzędnik mnogi</t>
  </si>
  <si>
    <t>9:17|2:2</t>
  </si>
  <si>
    <t>Miejscownik mnogi</t>
  </si>
  <si>
    <t>9:18|2:2</t>
  </si>
  <si>
    <t>Wołacz nogi</t>
  </si>
  <si>
    <t>9:19|2:2</t>
  </si>
  <si>
    <t>Do</t>
  </si>
  <si>
    <t>W</t>
  </si>
  <si>
    <t>Jadę ...</t>
  </si>
  <si>
    <t>9:22|2:1</t>
  </si>
  <si>
    <t>Jestem ...</t>
  </si>
  <si>
    <t>9:23|2:1</t>
  </si>
  <si>
    <t>article</t>
  </si>
  <si>
    <t>singular</t>
  </si>
  <si>
    <t>plural</t>
  </si>
  <si>
    <t>(1)Forms</t>
  </si>
  <si>
    <t>to ...</t>
  </si>
  <si>
    <t>in ...</t>
  </si>
  <si>
    <t>GrammarFormsGroups</t>
  </si>
  <si>
    <t>GrammarFormsGroupsItems</t>
  </si>
  <si>
    <t>[UsersLanguages]</t>
  </si>
  <si>
    <t>[Categories]</t>
  </si>
  <si>
    <t>Countries</t>
  </si>
  <si>
    <t>Languages</t>
  </si>
  <si>
    <t>Users</t>
  </si>
  <si>
    <t>UsersLanguages</t>
  </si>
  <si>
    <t>Categories</t>
  </si>
  <si>
    <t>WordTypes</t>
  </si>
  <si>
    <t>Table</t>
  </si>
  <si>
    <t>Ready</t>
  </si>
  <si>
    <t>ValueTypes</t>
  </si>
  <si>
    <t>GrammarPropertyDefinitions</t>
  </si>
  <si>
    <t>Comment</t>
  </si>
  <si>
    <t>dodana tylko Polska</t>
  </si>
  <si>
    <t>dodane języki POL, ENG, ESP, ITA</t>
  </si>
  <si>
    <t>dodany 1 user</t>
  </si>
  <si>
    <t>dodane języki dla usera (Id=1)</t>
  </si>
  <si>
    <t>dodane ok. 40 kategorii</t>
  </si>
  <si>
    <t>dodane N/V/A/O/P</t>
  </si>
  <si>
    <t>dodane boolean/radio/multiselect</t>
  </si>
  <si>
    <t>[GrammarPropertyDefinitions]</t>
  </si>
  <si>
    <t>dodane: [POL] Rodzaj/Liczba/CzyOsobowy/CzyMiejsce/Przypadek | [ENG] Gender/Number/IsPerson/IsPlace</t>
  </si>
  <si>
    <t>GrammarPropertyOptions</t>
  </si>
  <si>
    <t>[GrammarPropertyOptions]</t>
  </si>
  <si>
    <t>[checkGrammarOptionProperty]</t>
  </si>
  <si>
    <t>FN</t>
  </si>
  <si>
    <t>[GrammarFormsGroups]</t>
  </si>
  <si>
    <t>dodane tylko dla rzeczowników POL i ENG</t>
  </si>
  <si>
    <t>[checkGrammarDefinitionWordtype]</t>
  </si>
  <si>
    <t>[checkLanguageForGrammarPropertyDefinition]</t>
  </si>
  <si>
    <t>[GrammarFormsDefinitionsProperties]</t>
  </si>
  <si>
    <t>GrammarFormsDefinitionsProperties</t>
  </si>
  <si>
    <t>[GrammarFormsInactiveRules]</t>
  </si>
  <si>
    <t>GrammarFormsInactiveRules</t>
  </si>
  <si>
    <t>[WordRequiredProperties]</t>
  </si>
  <si>
    <t>WordRequiredProperties</t>
  </si>
  <si>
    <t>[Metawords]</t>
  </si>
  <si>
    <t>Metawords</t>
  </si>
  <si>
    <t>MatchWordCategory</t>
  </si>
  <si>
    <t>[MatchWordCategory]</t>
  </si>
  <si>
    <t>[Words]</t>
  </si>
  <si>
    <t>FK_Words_Metaword</t>
  </si>
  <si>
    <t>[WordsProperties]</t>
  </si>
  <si>
    <t>Words</t>
  </si>
  <si>
    <t>WordsProperties</t>
  </si>
  <si>
    <t>[GrammarForms]</t>
  </si>
  <si>
    <t>GrammarForms</t>
  </si>
  <si>
    <t>[VariantDependenciesDefinitions]</t>
  </si>
  <si>
    <t>VariantDependenciesDefinitions</t>
  </si>
  <si>
    <t>tylko dla POL</t>
  </si>
  <si>
    <t>[VariantSetRequiredProperties]</t>
  </si>
  <si>
    <t>VariantSetRequiredProperties</t>
  </si>
  <si>
    <t>tylko dla rzeczownika POL</t>
  </si>
  <si>
    <t>[checkQuestionForVariantSet]</t>
  </si>
  <si>
    <t>[Questions]</t>
  </si>
  <si>
    <t>Questions</t>
  </si>
  <si>
    <t>[MatchQuestionCategory]</t>
  </si>
  <si>
    <t>MatchQuestionCategory</t>
  </si>
  <si>
    <t>[QuestionsOptions]</t>
  </si>
  <si>
    <t>QuestionsOptions</t>
  </si>
  <si>
    <t>[VariantSets]</t>
  </si>
  <si>
    <t>VariantSets</t>
  </si>
  <si>
    <t>[checkSetForVariant]</t>
  </si>
  <si>
    <t>[VariantSetProperties]</t>
  </si>
  <si>
    <t>VariantSetProperties</t>
  </si>
  <si>
    <t>[Variants]</t>
  </si>
  <si>
    <t>Variants</t>
  </si>
  <si>
    <t>[VariantConnections]</t>
  </si>
  <si>
    <t>VariantConnections</t>
  </si>
  <si>
    <t>[VariantDependencies]</t>
  </si>
  <si>
    <t>VariantDependencies</t>
  </si>
  <si>
    <t>[VariantLimits]</t>
  </si>
  <si>
    <t>VariantLimits</t>
  </si>
  <si>
    <t>F</t>
  </si>
  <si>
    <t>C</t>
  </si>
  <si>
    <t>FK_Language</t>
  </si>
  <si>
    <t>FK_ExistingCategoryCanBeParent</t>
  </si>
  <si>
    <t>FK_CategoryUser</t>
  </si>
  <si>
    <t>FK_GrammarPropertyDefinitions_Language</t>
  </si>
  <si>
    <t>FK_GrammarPropertyDefinitions_ValueTypes</t>
  </si>
  <si>
    <t>FK_GrammarPropertyOptions_Property</t>
  </si>
  <si>
    <t>FK_GrammarFormsGroups_Language</t>
  </si>
  <si>
    <t>FK_GrammarFormsGroups_Wordtype</t>
  </si>
  <si>
    <t>FK_GrammarFormsDefinitionsProperties_Definition</t>
  </si>
  <si>
    <t>FK_GrammarFormsDefinitionsProperties_Property</t>
  </si>
  <si>
    <t>FK_GrammarFormsDefinitionsProperties_Value</t>
  </si>
  <si>
    <t>CH_GrammarFormsDefinitionsProperties_MatchedValueProperty</t>
  </si>
  <si>
    <t>FK_GrammarFormsInactiveRules_Definition</t>
  </si>
  <si>
    <t>FK_GrammarFormsInactiveRules_Property</t>
  </si>
  <si>
    <t>FK_GrammarFormsInactiveRules_Value</t>
  </si>
  <si>
    <t>CH_GrammarFormsInactiveRules_MatchedValueProperty</t>
  </si>
  <si>
    <t>FK_WordtypeRequired_Language</t>
  </si>
  <si>
    <t>FK_WordtypeRequired_Wordtype</t>
  </si>
  <si>
    <t>FK_WordtypeRequired_Property</t>
  </si>
  <si>
    <t>CH_WordtypeRequired_LanguageMatched</t>
  </si>
  <si>
    <t>FK_Metawords_WordType</t>
  </si>
  <si>
    <t>FK_Metawords_User</t>
  </si>
  <si>
    <t>FK_MetawordUser</t>
  </si>
  <si>
    <t>FK_WordType</t>
  </si>
  <si>
    <t>FK_MatchWordCategory_MetawordId</t>
  </si>
  <si>
    <t>FK_MatchWordCategory_CategoryId</t>
  </si>
  <si>
    <t>FK_MatchWordCategory_User</t>
  </si>
  <si>
    <t>FK_WordMetaword</t>
  </si>
  <si>
    <t>FK_WordLanguage</t>
  </si>
  <si>
    <t>FK_WordCreator</t>
  </si>
  <si>
    <t>FK_Words_Language</t>
  </si>
  <si>
    <t>FK_Words_User</t>
  </si>
  <si>
    <t>FK_WordsProperties_Word</t>
  </si>
  <si>
    <t>FK_WordsProperties_Property</t>
  </si>
  <si>
    <t>FK_GrammarForms_Form</t>
  </si>
  <si>
    <t>FK_GrammarForms_Word</t>
  </si>
  <si>
    <t>FK_VariantDependenciesDefinitions_Languages</t>
  </si>
  <si>
    <t>FK_VariantDependenciesDefinitions_MasterWordtype</t>
  </si>
  <si>
    <t>FK_VariantDependenciesDefinitions_SlaveWordtype</t>
  </si>
  <si>
    <t>FK_VariantSetRequiredProperties_Language</t>
  </si>
  <si>
    <t>FK_VariantSetRequiredProperties_Wordtype</t>
  </si>
  <si>
    <t>FK_VariantSetRequiredProperties_Property</t>
  </si>
  <si>
    <t>FK_QuestionCreator</t>
  </si>
  <si>
    <t>FK_Questions_Creator</t>
  </si>
  <si>
    <t>FK_MatchQuestionCategory_Question</t>
  </si>
  <si>
    <t>FK_MatchQuestionCategory_Category</t>
  </si>
  <si>
    <t>FK_MatchQuestionCategory_Creator</t>
  </si>
  <si>
    <t>FK_QuestionsOptions_Question</t>
  </si>
  <si>
    <t>FK_QuestionsOptions_Creator</t>
  </si>
  <si>
    <t>FK_QuestionsOptions_Language</t>
  </si>
  <si>
    <t>FK_VariantSets_Question</t>
  </si>
  <si>
    <t>FK_VariantSets_Language</t>
  </si>
  <si>
    <t>FK_VariantSets_Wordtype</t>
  </si>
  <si>
    <t>FK_VariantSets_Creator</t>
  </si>
  <si>
    <t>FK_VariantSetProperties_VariantSet</t>
  </si>
  <si>
    <t>FK_VariantSetProperties_Property</t>
  </si>
  <si>
    <t>FK_Variants_Words</t>
  </si>
  <si>
    <t>FK_Variants_Set</t>
  </si>
  <si>
    <t>FK_Variants_Creator</t>
  </si>
  <si>
    <t>FK_VariantConnections_VariantSet</t>
  </si>
  <si>
    <t>FK_VariantConnections_ConnectedSet</t>
  </si>
  <si>
    <t>FK_VariantConnections_Creator</t>
  </si>
  <si>
    <t>CH_VariantConnections_VariantsOfTheSameQuestion</t>
  </si>
  <si>
    <t>FK_VariantDependencies_MainSet</t>
  </si>
  <si>
    <t>FK_VariantDependencies_DependantSet</t>
  </si>
  <si>
    <t>CH_VariantDependencies_VariantsOfTheSameQuestion</t>
  </si>
  <si>
    <t>FK_VariantLimits_Variant</t>
  </si>
  <si>
    <t>FK_VariantLimits_ConnectedVariant</t>
  </si>
  <si>
    <t>CH_VariantLimits_VariantsOfDifferentSets</t>
  </si>
  <si>
    <t>powyższe opisane</t>
  </si>
  <si>
    <t>Type</t>
  </si>
  <si>
    <t>Weight</t>
  </si>
  <si>
    <t>IsActive</t>
  </si>
  <si>
    <t>CreatorId</t>
  </si>
  <si>
    <t>CreateDate</t>
  </si>
  <si>
    <t>IsApproved</t>
  </si>
  <si>
    <t>Positive</t>
  </si>
  <si>
    <t>Negative</t>
  </si>
  <si>
    <t>Polska</t>
  </si>
  <si>
    <t>2013-12-14 21:50:12.000</t>
  </si>
  <si>
    <t>pies</t>
  </si>
  <si>
    <t>2013-12-14 21:50:22.000</t>
  </si>
  <si>
    <t>Włochy</t>
  </si>
  <si>
    <t>2013-12-26 01:29:46.000</t>
  </si>
  <si>
    <t>Hiszpania</t>
  </si>
  <si>
    <t>2013-12-26 01:31:44.000</t>
  </si>
  <si>
    <t>Francja</t>
  </si>
  <si>
    <t>2013-12-26 01:33:33.000</t>
  </si>
  <si>
    <t>Niemcy</t>
  </si>
  <si>
    <t>2013-12-26 01:38:19.000</t>
  </si>
  <si>
    <t>Anglia</t>
  </si>
  <si>
    <t>2013-12-26 01:40:13.000</t>
  </si>
  <si>
    <t>Rosja</t>
  </si>
  <si>
    <t>2013-12-26 01:41:29.000</t>
  </si>
  <si>
    <t>Albania</t>
  </si>
  <si>
    <t>2013-12-26 01:43:26.000</t>
  </si>
  <si>
    <t>Andora</t>
  </si>
  <si>
    <t>2013-12-26 02:00:17.000</t>
  </si>
  <si>
    <t>Armenia</t>
  </si>
  <si>
    <t>Austria</t>
  </si>
  <si>
    <t>2013-12-26 02:03:07.000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</si>
  <si>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</si>
  <si>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</si>
  <si>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</si>
  <si>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</si>
  <si>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</si>
  <si>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</si>
  <si>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</si>
  <si>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</si>
  <si>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</si>
  <si>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</si>
  <si>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</si>
  <si>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</si>
  <si>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</si>
  <si>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</si>
  <si>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</si>
  <si>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</si>
  <si>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</si>
  <si>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</si>
  <si>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</si>
  <si>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</si>
  <si>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</si>
  <si>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</si>
  <si>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</si>
  <si>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</si>
  <si>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</si>
  <si>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</si>
  <si>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</si>
  <si>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</si>
  <si>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</si>
  <si>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</si>
  <si>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</si>
  <si>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</si>
  <si>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</si>
  <si>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</si>
  <si>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</si>
  <si>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</si>
  <si>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</si>
  <si>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</si>
  <si>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</si>
  <si>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</si>
  <si>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</si>
  <si>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</si>
  <si>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2013-12-29 23:18:48.947</t>
  </si>
  <si>
    <t>Argentyna</t>
  </si>
  <si>
    <t>2013-12-30 17:11:35.177</t>
  </si>
  <si>
    <t>Peru</t>
  </si>
  <si>
    <t>2013-12-30 17:22:44.220</t>
  </si>
  <si>
    <t>Boliwia</t>
  </si>
  <si>
    <t>2013-12-30 17:23:31.907</t>
  </si>
  <si>
    <t>Chile</t>
  </si>
  <si>
    <t>2013-12-30 17:23:40.270</t>
  </si>
  <si>
    <t>Kolumbia</t>
  </si>
  <si>
    <t>2013-12-30 17:23:48.973</t>
  </si>
  <si>
    <t>Wenezuela</t>
  </si>
  <si>
    <t>2013-12-30 17:23:57.770</t>
  </si>
  <si>
    <t>Urugwaj</t>
  </si>
  <si>
    <t>2013-12-30 17:24:06.867</t>
  </si>
  <si>
    <t>Paragwaj</t>
  </si>
  <si>
    <t>2013-12-30 17:24:28.720</t>
  </si>
  <si>
    <t>Ekwador</t>
  </si>
  <si>
    <t>2013-12-30 17:49:06.970</t>
  </si>
  <si>
    <t>Chiny</t>
  </si>
  <si>
    <t>2013-12-30 22:01:56.543</t>
  </si>
  <si>
    <t>Japonia</t>
  </si>
  <si>
    <t>2013-12-31 00:10:33.193</t>
  </si>
  <si>
    <t>Indie</t>
  </si>
  <si>
    <t>2013-12-31 01:14:23.563</t>
  </si>
  <si>
    <t>Tajlandia</t>
  </si>
  <si>
    <t>2013-12-31 00:20:48.567</t>
  </si>
  <si>
    <t>Izrael</t>
  </si>
  <si>
    <t>2013-12-31 00:20:57.413</t>
  </si>
  <si>
    <t>Liban</t>
  </si>
  <si>
    <t>2013-12-31 00:21:04.307</t>
  </si>
  <si>
    <t>Jordania</t>
  </si>
  <si>
    <t>2013-12-31 00:21:11.280</t>
  </si>
  <si>
    <t>Syria</t>
  </si>
  <si>
    <t>2013-12-31 00:21:17.067</t>
  </si>
  <si>
    <t>Arabia Saudyjska</t>
  </si>
  <si>
    <t>2013-12-31 00:21:27.677</t>
  </si>
  <si>
    <t>Jemen</t>
  </si>
  <si>
    <t>2013-12-31 00:21:34.617</t>
  </si>
  <si>
    <t>Oman</t>
  </si>
  <si>
    <t>2013-12-31 00:21:40.280</t>
  </si>
  <si>
    <t>Zjednoczone Emiraty Arabskie</t>
  </si>
  <si>
    <t>2013-12-31 00:21:51.760</t>
  </si>
  <si>
    <t>Kuwejt</t>
  </si>
  <si>
    <t>2013-12-31 00:21:59.577</t>
  </si>
  <si>
    <t>Bahrajn</t>
  </si>
  <si>
    <t>2013-12-31 00:22:06.737</t>
  </si>
  <si>
    <t>Katar</t>
  </si>
  <si>
    <t>2013-12-31 00:22:15.613</t>
  </si>
  <si>
    <t>Irak</t>
  </si>
  <si>
    <t>2013-12-31 00:22:22.103</t>
  </si>
  <si>
    <t>Iran</t>
  </si>
  <si>
    <t>2013-12-31 00:22:27.377</t>
  </si>
  <si>
    <t>Afganistan</t>
  </si>
  <si>
    <t>2013-12-31 00:22:34.410</t>
  </si>
  <si>
    <t>Pakistan</t>
  </si>
  <si>
    <t>2013-12-31 00:22:43.787</t>
  </si>
  <si>
    <t>Uzbekistan</t>
  </si>
  <si>
    <t>2013-12-31 00:22:51.320</t>
  </si>
  <si>
    <t>Turkmenistan</t>
  </si>
  <si>
    <t>2013-12-31 00:22:58.327</t>
  </si>
  <si>
    <t>Tadżykistan</t>
  </si>
  <si>
    <t>2013-12-31 00:23:05.860</t>
  </si>
  <si>
    <t>Kirgistan</t>
  </si>
  <si>
    <t>2013-12-31 00:23:14.910</t>
  </si>
  <si>
    <t>Nepal</t>
  </si>
  <si>
    <t>2013-12-31 00:23:28.183</t>
  </si>
  <si>
    <t>Bhutan</t>
  </si>
  <si>
    <t>2013-12-31 00:23:34.410</t>
  </si>
  <si>
    <t>Bangladesz</t>
  </si>
  <si>
    <t>2013-12-31 00:23:42.740</t>
  </si>
  <si>
    <t>Sri Lanka</t>
  </si>
  <si>
    <t>2013-12-31 00:23:48.213</t>
  </si>
  <si>
    <t>Mongolia</t>
  </si>
  <si>
    <t>2013-12-31 00:23:56.357</t>
  </si>
  <si>
    <t>Laos</t>
  </si>
  <si>
    <t>2013-12-31 00:24:02.910</t>
  </si>
  <si>
    <t>Kambodża</t>
  </si>
  <si>
    <t>2013-12-31 00:24:08.917</t>
  </si>
  <si>
    <t>Wietnam</t>
  </si>
  <si>
    <t>2013-12-31 00:24:15.700</t>
  </si>
  <si>
    <t>Myanmar</t>
  </si>
  <si>
    <t>2013-12-31 00:24:23.250</t>
  </si>
  <si>
    <t>Korea Południowa</t>
  </si>
  <si>
    <t>2013-12-31 00:24:30.710</t>
  </si>
  <si>
    <t>Korea Północna</t>
  </si>
  <si>
    <t>2013-12-31 00:24:37.917</t>
  </si>
  <si>
    <t>Malezja</t>
  </si>
  <si>
    <t>2013-12-31 00:24:46.680</t>
  </si>
  <si>
    <t>Indonezja</t>
  </si>
  <si>
    <t>2013-12-31 00:24:54.780</t>
  </si>
  <si>
    <t>Filipiny</t>
  </si>
  <si>
    <t>2013-12-31 00:25:05.743</t>
  </si>
  <si>
    <t>Tajwan</t>
  </si>
  <si>
    <t>2013-12-31 00:25:10.940</t>
  </si>
  <si>
    <t>Hongkong</t>
  </si>
  <si>
    <t>2013-12-31 00:25:25.853</t>
  </si>
  <si>
    <t>Singapur</t>
  </si>
  <si>
    <t>2013-12-31 00:25:32.967</t>
  </si>
  <si>
    <t>Australia</t>
  </si>
  <si>
    <t>2013-12-31 00:25:44.213</t>
  </si>
  <si>
    <t>Nowa Zelandia</t>
  </si>
  <si>
    <t>2013-12-31 00:25:50.907</t>
  </si>
  <si>
    <t>Fidżi</t>
  </si>
  <si>
    <t>2013-12-31 00:26:01.590</t>
  </si>
  <si>
    <t>Egipt</t>
  </si>
  <si>
    <t>2013-12-31 00:26:39.047</t>
  </si>
  <si>
    <t>Libia</t>
  </si>
  <si>
    <t>2013-12-31 00:26:45.380</t>
  </si>
  <si>
    <t>Tunezja</t>
  </si>
  <si>
    <t>2013-12-31 00:26:50.793</t>
  </si>
  <si>
    <t>Maroko</t>
  </si>
  <si>
    <t>2013-12-31 00:27:00.793</t>
  </si>
  <si>
    <t>Algieria</t>
  </si>
  <si>
    <t>2013-12-31 00:27:08.017</t>
  </si>
  <si>
    <t>Sudan</t>
  </si>
  <si>
    <t>2013-12-31 00:27:14.553</t>
  </si>
  <si>
    <t>Etiopia</t>
  </si>
  <si>
    <t>2013-12-31 00:27:23.087</t>
  </si>
  <si>
    <t>Erytrea</t>
  </si>
  <si>
    <t>2013-12-31 00:27:29.467</t>
  </si>
  <si>
    <t>Dżibuti</t>
  </si>
  <si>
    <t>2013-12-31 00:27:37.187</t>
  </si>
  <si>
    <t>Czad</t>
  </si>
  <si>
    <t>2013-12-31 00:27:42.803</t>
  </si>
  <si>
    <t>Mauretania</t>
  </si>
  <si>
    <t>2013-12-31 00:27:49.730</t>
  </si>
  <si>
    <t>Burkina Faso</t>
  </si>
  <si>
    <t>2013-12-31 00:27:55.237</t>
  </si>
  <si>
    <t>Mali</t>
  </si>
  <si>
    <t>2013-12-31 00:28:00.133</t>
  </si>
  <si>
    <t>Senegal</t>
  </si>
  <si>
    <t>2013-12-31 00:28:06.077</t>
  </si>
  <si>
    <t>Gambia</t>
  </si>
  <si>
    <t>2013-12-31 00:28:11.490</t>
  </si>
  <si>
    <t>Gwinea</t>
  </si>
  <si>
    <t>2013-12-31 00:28:17.090</t>
  </si>
  <si>
    <t>Ghana</t>
  </si>
  <si>
    <t>2013-12-31 00:28:22.037</t>
  </si>
  <si>
    <t>Somalia</t>
  </si>
  <si>
    <t>2013-12-31 00:28:27.527</t>
  </si>
  <si>
    <t>Wybrzeże Kości Słoniowej</t>
  </si>
  <si>
    <t>2013-12-31 00:28:36.280</t>
  </si>
  <si>
    <t>Togo</t>
  </si>
  <si>
    <t>2013-12-31 00:28:41.130</t>
  </si>
  <si>
    <t>Liberia</t>
  </si>
  <si>
    <t>2013-12-31 00:28:45.577</t>
  </si>
  <si>
    <t>Sierra Leone</t>
  </si>
  <si>
    <t>2013-12-31 00:29:49.737</t>
  </si>
  <si>
    <t>Niger</t>
  </si>
  <si>
    <t>2013-12-31 00:29:57.770</t>
  </si>
  <si>
    <t>Nigeria</t>
  </si>
  <si>
    <t>2013-12-31 00:30:05.120</t>
  </si>
  <si>
    <t>Kamerun</t>
  </si>
  <si>
    <t>2013-12-31 00:30:17.817</t>
  </si>
  <si>
    <t>Gabon</t>
  </si>
  <si>
    <t>2013-12-31 00:30:22.060</t>
  </si>
  <si>
    <t>Kongo</t>
  </si>
  <si>
    <t>2013-12-31 00:30:29.703</t>
  </si>
  <si>
    <t>Demokratyczna Republika Konga</t>
  </si>
  <si>
    <t>2013-12-31 00:30:41.933</t>
  </si>
  <si>
    <t>Uganda</t>
  </si>
  <si>
    <t>2013-12-31 00:30:46.723</t>
  </si>
  <si>
    <t>Burundi</t>
  </si>
  <si>
    <t>2013-12-31 00:30:52.840</t>
  </si>
  <si>
    <t>Kenia</t>
  </si>
  <si>
    <t>2013-12-31 00:30:57.673</t>
  </si>
  <si>
    <t>Tanzania</t>
  </si>
  <si>
    <t>2013-12-31 00:31:05.787</t>
  </si>
  <si>
    <t>Mozambik</t>
  </si>
  <si>
    <t>2013-12-31 00:31:12.383</t>
  </si>
  <si>
    <t>Ruanda</t>
  </si>
  <si>
    <t>2013-12-31 00:31:27.190</t>
  </si>
  <si>
    <t>Madagaskar</t>
  </si>
  <si>
    <t>2013-12-31 00:31:35.287</t>
  </si>
  <si>
    <t>Angola</t>
  </si>
  <si>
    <t>2013-12-31 00:31:40.807</t>
  </si>
  <si>
    <t>Namibia</t>
  </si>
  <si>
    <t>2013-12-31 00:31:45.487</t>
  </si>
  <si>
    <t>RPA</t>
  </si>
  <si>
    <t>2013-12-31 00:31:53.023</t>
  </si>
  <si>
    <t>Zambia</t>
  </si>
  <si>
    <t>2013-12-31 00:31:58.793</t>
  </si>
  <si>
    <t>Zimbabwe</t>
  </si>
  <si>
    <t>2013-12-31 00:32:03.317</t>
  </si>
  <si>
    <t>Botswana</t>
  </si>
  <si>
    <t>2013-12-31 00:32:10.370</t>
  </si>
  <si>
    <t>Seszele</t>
  </si>
  <si>
    <t>2013-12-31 00:32:27.483</t>
  </si>
  <si>
    <t>Mauritius</t>
  </si>
  <si>
    <t>2013-12-31 00:32:34.127</t>
  </si>
  <si>
    <t>USA</t>
  </si>
  <si>
    <t>2013-12-31 00:33:00.460</t>
  </si>
  <si>
    <t>Kanada</t>
  </si>
  <si>
    <t>2013-12-31 00:33:08.587</t>
  </si>
  <si>
    <t>Meksyk</t>
  </si>
  <si>
    <t>2013-12-31 00:33:12.800</t>
  </si>
  <si>
    <t>Grenlandia</t>
  </si>
  <si>
    <t>2013-12-31 00:33:18.320</t>
  </si>
  <si>
    <t>Jamajka</t>
  </si>
  <si>
    <t>2013-12-31 00:33:24.077</t>
  </si>
  <si>
    <t>Kuba</t>
  </si>
  <si>
    <t>2013-12-31 00:33:28.990</t>
  </si>
  <si>
    <t>Honduras</t>
  </si>
  <si>
    <t>2013-12-31 00:33:34.340</t>
  </si>
  <si>
    <t>Salwador</t>
  </si>
  <si>
    <t>2013-12-31 00:33:39.537</t>
  </si>
  <si>
    <t>Gwatemala</t>
  </si>
  <si>
    <t>2013-12-31 00:33:45.573</t>
  </si>
  <si>
    <t>Nikaragua</t>
  </si>
  <si>
    <t>2013-12-31 00:33:51.177</t>
  </si>
  <si>
    <t>Panama</t>
  </si>
  <si>
    <t>2013-12-31 00:33:56.727</t>
  </si>
  <si>
    <t>Dominikana</t>
  </si>
  <si>
    <t>2013-12-31 00:34:04.370</t>
  </si>
  <si>
    <t>Haiti</t>
  </si>
  <si>
    <t>2013-12-31 00:34:09.317</t>
  </si>
  <si>
    <t>Portoryko</t>
  </si>
  <si>
    <t>2013-12-31 00:34:16.820</t>
  </si>
  <si>
    <t>Kostaryka</t>
  </si>
  <si>
    <t>2013-12-31 00:34:22.670</t>
  </si>
  <si>
    <t>Belize</t>
  </si>
  <si>
    <t>2013-12-31 00:34:28.223</t>
  </si>
  <si>
    <t>Bahamy</t>
  </si>
  <si>
    <t>2013-12-31 00:34:35.353</t>
  </si>
  <si>
    <t>ParentId</t>
  </si>
  <si>
    <t>root</t>
  </si>
  <si>
    <t>2013-12-03 00:17:43.000</t>
  </si>
  <si>
    <t>Geografia</t>
  </si>
  <si>
    <t>2013-12-03 00:17:56.000</t>
  </si>
  <si>
    <t>Państwa</t>
  </si>
  <si>
    <t>2013-12-03 00:18:09.000</t>
  </si>
  <si>
    <t>2013-12-03 00:18:21.000</t>
  </si>
  <si>
    <t>2013-12-03 00:18:32.000</t>
  </si>
  <si>
    <t>2013-12-03 00:18:38.000</t>
  </si>
  <si>
    <t>2013-12-03 00:18:45.000</t>
  </si>
  <si>
    <t>2013-12-03 00:18:51.000</t>
  </si>
  <si>
    <t>2013-12-03 00:18:56.000</t>
  </si>
  <si>
    <t>Miasta</t>
  </si>
  <si>
    <t>2013-12-04 22:25:23.000</t>
  </si>
  <si>
    <t>Rzeki</t>
  </si>
  <si>
    <t>2013-12-04 22:32:33.000</t>
  </si>
  <si>
    <t>Góry</t>
  </si>
  <si>
    <t>2013-12-04 22:34:25.000</t>
  </si>
  <si>
    <t>Morza</t>
  </si>
  <si>
    <t>2013-12-04 22:34:32.000</t>
  </si>
  <si>
    <t>Przyroda</t>
  </si>
  <si>
    <t>2013-12-04 22:38:35.000</t>
  </si>
  <si>
    <t>Rośliny</t>
  </si>
  <si>
    <t>2013-12-04 22:38:44.000</t>
  </si>
  <si>
    <t>Zwierzęta</t>
  </si>
  <si>
    <t>2013-12-04 22:38:50.000</t>
  </si>
  <si>
    <t>2013-12-04 22:38:59.000</t>
  </si>
  <si>
    <t>2013-12-04 22:39:04.000</t>
  </si>
  <si>
    <t>2013-12-04 22:39:10.000</t>
  </si>
  <si>
    <t>2013-12-04 22:39:16.000</t>
  </si>
  <si>
    <t>2013-12-04 22:39:21.000</t>
  </si>
  <si>
    <t>2013-12-04 22:39:29.000</t>
  </si>
  <si>
    <t>2013-12-04 22:39:34.000</t>
  </si>
  <si>
    <t>2013-12-04 22:39:41.000</t>
  </si>
  <si>
    <t>2013-12-04 22:39:45.000</t>
  </si>
  <si>
    <t>2013-12-04 22:39:47.000</t>
  </si>
  <si>
    <t>Osoby</t>
  </si>
  <si>
    <t>2013-12-04 22:40:07.000</t>
  </si>
  <si>
    <t>Profesje</t>
  </si>
  <si>
    <t>2013-12-04 22:40:12.000</t>
  </si>
  <si>
    <t>Narodowości</t>
  </si>
  <si>
    <t>2013-12-04 22:40:17.000</t>
  </si>
  <si>
    <t>Rodzina</t>
  </si>
  <si>
    <t>2013-12-04 22:40:20.000</t>
  </si>
  <si>
    <t>Przedmioty</t>
  </si>
  <si>
    <t>Kontynenty</t>
  </si>
  <si>
    <t>2013-12-14 14:51:43.000</t>
  </si>
  <si>
    <t>Wyspy</t>
  </si>
  <si>
    <t>2014-01-04 12:45:28.683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</si>
  <si>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</si>
  <si>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</si>
  <si>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</si>
  <si>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</si>
  <si>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</si>
  <si>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</si>
  <si>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</si>
  <si>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</si>
  <si>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</si>
  <si>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</si>
  <si>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</si>
  <si>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</si>
  <si>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Zwierzęta - Ptaki</t>
  </si>
  <si>
    <t>Rośliny - Owoce</t>
  </si>
  <si>
    <t>Rośliny - Warzywa</t>
  </si>
  <si>
    <t>Rośliny - Drzewa</t>
  </si>
  <si>
    <t>Kategorie</t>
  </si>
  <si>
    <t>MetawordId</t>
  </si>
  <si>
    <t>GrammarCompleted</t>
  </si>
  <si>
    <t>2013-12-15 15:10:22.000</t>
  </si>
  <si>
    <t>Poland</t>
  </si>
  <si>
    <t>2013-12-15 15:10:29.000</t>
  </si>
  <si>
    <t>2013-12-15 15:10:38.000</t>
  </si>
  <si>
    <t>Polonia</t>
  </si>
  <si>
    <t>2013-12-25 01:27:34.000</t>
  </si>
  <si>
    <t>2013-12-25 01:27:48.000</t>
  </si>
  <si>
    <t>dog</t>
  </si>
  <si>
    <t>2013-12-25 03:16:52.000</t>
  </si>
  <si>
    <t>perro</t>
  </si>
  <si>
    <t>2013-12-25 03:16:59.000</t>
  </si>
  <si>
    <t>cane</t>
  </si>
  <si>
    <t>2013-12-25 03:17:09.000</t>
  </si>
  <si>
    <t>2013-12-26 01:29:55.000</t>
  </si>
  <si>
    <t>Italy</t>
  </si>
  <si>
    <t>Italia</t>
  </si>
  <si>
    <t>2013-12-26 01:30:36.000</t>
  </si>
  <si>
    <t>Spain</t>
  </si>
  <si>
    <t>España</t>
  </si>
  <si>
    <t>Spagna</t>
  </si>
  <si>
    <t>France</t>
  </si>
  <si>
    <t>Francia</t>
  </si>
  <si>
    <t>Germany</t>
  </si>
  <si>
    <t>Alemania</t>
  </si>
  <si>
    <t>Germania</t>
  </si>
  <si>
    <t>England</t>
  </si>
  <si>
    <t>Inglaterra</t>
  </si>
  <si>
    <t>Inghilterra</t>
  </si>
  <si>
    <t>Russia</t>
  </si>
  <si>
    <t>Rusia</t>
  </si>
  <si>
    <t>2013-12-26 01:43:27.000</t>
  </si>
  <si>
    <t>2013-12-26 02:54:16.000</t>
  </si>
  <si>
    <t>Andorra</t>
  </si>
  <si>
    <t>Azerbaijan</t>
  </si>
  <si>
    <t>Belarus</t>
  </si>
  <si>
    <t>Belgium</t>
  </si>
  <si>
    <t>Bosnia and Herzegovina</t>
  </si>
  <si>
    <t>Bulgaria</t>
  </si>
  <si>
    <t>Croatia</t>
  </si>
  <si>
    <t>Cyprus</t>
  </si>
  <si>
    <t>Czech Republic</t>
  </si>
  <si>
    <t>Denmark</t>
  </si>
  <si>
    <t>Finland</t>
  </si>
  <si>
    <t>Georgia</t>
  </si>
  <si>
    <t>Greece</t>
  </si>
  <si>
    <t>Hungary</t>
  </si>
  <si>
    <t>Iceland</t>
  </si>
  <si>
    <t>Republic of 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</si>
  <si>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</si>
  <si>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</si>
  <si>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</si>
  <si>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</si>
  <si>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</si>
  <si>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</si>
  <si>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</si>
  <si>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</si>
  <si>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</si>
  <si>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</si>
  <si>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</si>
  <si>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</si>
  <si>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</si>
  <si>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</si>
  <si>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</si>
  <si>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</si>
  <si>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</si>
  <si>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United Kingdom</t>
  </si>
  <si>
    <t>Vatican City</t>
  </si>
  <si>
    <t>Scotland</t>
  </si>
  <si>
    <t>Azerbaiyán</t>
  </si>
  <si>
    <t>Bielorrusia</t>
  </si>
  <si>
    <t>Bélgica</t>
  </si>
  <si>
    <t>Bosnia-Herzegovina</t>
  </si>
  <si>
    <t>Croacia</t>
  </si>
  <si>
    <t>Chipre</t>
  </si>
  <si>
    <t>República Checa</t>
  </si>
  <si>
    <t>Dinamarca</t>
  </si>
  <si>
    <t>Grecia</t>
  </si>
  <si>
    <t>Hungría</t>
  </si>
  <si>
    <t>Irlanda</t>
  </si>
  <si>
    <t>Kazajistán</t>
  </si>
  <si>
    <t>Letonia</t>
  </si>
  <si>
    <t>Lituania</t>
  </si>
  <si>
    <t>Luxemburgo</t>
  </si>
  <si>
    <t>Moldavia</t>
  </si>
  <si>
    <t>Mónaco</t>
  </si>
  <si>
    <t>Países Bajos</t>
  </si>
  <si>
    <t>Noruega</t>
  </si>
  <si>
    <t>Rumania</t>
  </si>
  <si>
    <t>Eslovaquia</t>
  </si>
  <si>
    <t>Eslovenia</t>
  </si>
  <si>
    <t>Suecia</t>
  </si>
  <si>
    <t>Suiza</t>
  </si>
  <si>
    <t>Turquía</t>
  </si>
  <si>
    <t>Ucrania</t>
  </si>
  <si>
    <t>Reino Unido</t>
  </si>
  <si>
    <t>Ciudad del Vaticano</t>
  </si>
  <si>
    <t>Escocia</t>
  </si>
  <si>
    <t>Azerbaigian</t>
  </si>
  <si>
    <t>Bielorussia</t>
  </si>
  <si>
    <t>Belgio</t>
  </si>
  <si>
    <t>Bosnia ed Erzegovina</t>
  </si>
  <si>
    <t>Croazia</t>
  </si>
  <si>
    <t>Cipro</t>
  </si>
  <si>
    <t>Repubblica Ceca</t>
  </si>
  <si>
    <t>Danimarca</t>
  </si>
  <si>
    <t>Ungheria</t>
  </si>
  <si>
    <t>Islanda</t>
  </si>
  <si>
    <t>Kazakistan</t>
  </si>
  <si>
    <t>Lettonia</t>
  </si>
  <si>
    <t>Lussemburgo</t>
  </si>
  <si>
    <t>Paesi Bassi</t>
  </si>
  <si>
    <t>Norvegia</t>
  </si>
  <si>
    <t>Portogallo</t>
  </si>
  <si>
    <t>Slovacchia</t>
  </si>
  <si>
    <t>Svezia</t>
  </si>
  <si>
    <t>Svizzera</t>
  </si>
  <si>
    <t>Turchia</t>
  </si>
  <si>
    <t>Ucraina</t>
  </si>
  <si>
    <t>Regno Unito</t>
  </si>
  <si>
    <t>Città del Vaticano</t>
  </si>
  <si>
    <t>Scozia</t>
  </si>
  <si>
    <t>2013-12-29 23:18:49.180</t>
  </si>
  <si>
    <t>Brazil</t>
  </si>
  <si>
    <t>Brasil</t>
  </si>
  <si>
    <t>2013-12-30 17:10:20.830</t>
  </si>
  <si>
    <t>Brasile</t>
  </si>
  <si>
    <t>2013-12-30 17:11:35.253</t>
  </si>
  <si>
    <t>Argentina</t>
  </si>
  <si>
    <t>2013-12-30 18:58:46.187</t>
  </si>
  <si>
    <t>2013-12-30 18:59:08.233</t>
  </si>
  <si>
    <t>Paraguay</t>
  </si>
  <si>
    <t>2013-12-30 18:59:08.237</t>
  </si>
  <si>
    <t>Ecuador</t>
  </si>
  <si>
    <t>2013-12-30 19:00:33.800</t>
  </si>
  <si>
    <t>2013-12-30 19:00:33.803</t>
  </si>
  <si>
    <t>2013-12-30 19:00:58.740</t>
  </si>
  <si>
    <t>2013-12-30 19:01:40.810</t>
  </si>
  <si>
    <t>Uruguay</t>
  </si>
  <si>
    <t>2013-12-30 19:01:40.813</t>
  </si>
  <si>
    <t>2013-12-30 19:01:40.817</t>
  </si>
  <si>
    <t>2013-12-30 19:03:33.847</t>
  </si>
  <si>
    <t>Venezuela</t>
  </si>
  <si>
    <t>2013-12-30 19:03:33.850</t>
  </si>
  <si>
    <t>2013-12-30 19:04:11.040</t>
  </si>
  <si>
    <t>Colombia</t>
  </si>
  <si>
    <t>2013-12-30 19:04:11.043</t>
  </si>
  <si>
    <t>2013-12-30 19:04:11.047</t>
  </si>
  <si>
    <t>2013-12-30 19:05:01.170</t>
  </si>
  <si>
    <t>2013-12-30 19:05:01.173</t>
  </si>
  <si>
    <t>2013-12-30 19:05:01.177</t>
  </si>
  <si>
    <t>Cile</t>
  </si>
  <si>
    <t>2013-12-30 19:05:47.573</t>
  </si>
  <si>
    <t>Bolivia</t>
  </si>
  <si>
    <t>2013-12-30 19:05:47.577</t>
  </si>
  <si>
    <t>2013-12-30 19:05:47.580</t>
  </si>
  <si>
    <t>2013-12-30 19:06:45.917</t>
  </si>
  <si>
    <t>2013-12-30 19:06:45.920</t>
  </si>
  <si>
    <t>Perú</t>
  </si>
  <si>
    <t>2013-12-30 19:06:45.923</t>
  </si>
  <si>
    <t>Perù</t>
  </si>
  <si>
    <t>2013-12-30 19:06:45.927</t>
  </si>
  <si>
    <t>2013-12-30 22:02:18.273</t>
  </si>
  <si>
    <t>China</t>
  </si>
  <si>
    <t>2013-12-31 00:10:33.393</t>
  </si>
  <si>
    <t>Japan</t>
  </si>
  <si>
    <t>2013-12-31 01:14:24.077</t>
  </si>
  <si>
    <t>India</t>
  </si>
  <si>
    <t>2013-12-31 01:14:24.080</t>
  </si>
  <si>
    <t>2013-12-31 07:38:00.677</t>
  </si>
  <si>
    <t>Canada</t>
  </si>
  <si>
    <t>2014-01-04 19:01:14.963</t>
  </si>
  <si>
    <t>2014-01-04 19:58:51.400</t>
  </si>
  <si>
    <t>2014-01-04 20:05:44.467</t>
  </si>
  <si>
    <t>Thailand</t>
  </si>
  <si>
    <t>2014-01-04 20:05:45.750</t>
  </si>
  <si>
    <t>2014-01-04 20:06:35.337</t>
  </si>
  <si>
    <t>Israel</t>
  </si>
  <si>
    <t>2014-01-04 20:06:36.667</t>
  </si>
  <si>
    <t>2014-01-04 20:07:15.787</t>
  </si>
  <si>
    <t>Lebanon</t>
  </si>
  <si>
    <t>2014-01-04 20:07:17.110</t>
  </si>
  <si>
    <t>2014-01-04 20:07:46.117</t>
  </si>
  <si>
    <t>Jordan</t>
  </si>
  <si>
    <t>2014-01-04 20:07:47.390</t>
  </si>
  <si>
    <t>2014-01-04 20:08:27.987</t>
  </si>
  <si>
    <t>2014-01-04 20:08:29.247</t>
  </si>
  <si>
    <t>2014-01-04 20:10:16.917</t>
  </si>
  <si>
    <t>Saudi Arabia</t>
  </si>
  <si>
    <t>2014-01-04 20:10:18.540</t>
  </si>
  <si>
    <t>2014-01-04 20:11:15.520</t>
  </si>
  <si>
    <t>Yemen</t>
  </si>
  <si>
    <t>2014-01-04 20:11:18.177</t>
  </si>
  <si>
    <t>2014-01-04 20:11:50.913</t>
  </si>
  <si>
    <t>2014-01-04 20:11:52.210</t>
  </si>
  <si>
    <t>2014-01-04 20:15:38.783</t>
  </si>
  <si>
    <t>United Arab Emirates</t>
  </si>
  <si>
    <t>2014-01-04 20:15:40.050</t>
  </si>
  <si>
    <t>UAE</t>
  </si>
  <si>
    <t>2014-01-04 20:15:41.910</t>
  </si>
  <si>
    <t>2014-01-04 20:16:37.603</t>
  </si>
  <si>
    <t>Kuwait</t>
  </si>
  <si>
    <t>2014-01-04 20:16:39.277</t>
  </si>
  <si>
    <t>2014-01-04 19:26:18.833</t>
  </si>
  <si>
    <t>Dominican Republic</t>
  </si>
  <si>
    <t>2014-01-04 19:26:19.287</t>
  </si>
  <si>
    <t>2014-01-07 21:32:23.323</t>
  </si>
  <si>
    <t>Republika Południowej Afryki</t>
  </si>
  <si>
    <t>2014-01-07 21:32:23.727</t>
  </si>
  <si>
    <t>Południowa Afryka</t>
  </si>
  <si>
    <t>2014-01-07 21:32:23.977</t>
  </si>
  <si>
    <t>2014-01-07 23:54:23.030</t>
  </si>
  <si>
    <t>2014-01-07 23:55:17.863</t>
  </si>
  <si>
    <t>Cameroon</t>
  </si>
  <si>
    <t>2014-01-07 23:55:18.037</t>
  </si>
  <si>
    <t>2014-01-07 23:56:01.653</t>
  </si>
  <si>
    <t>2014-01-07 23:56:01.763</t>
  </si>
  <si>
    <t>2014-01-07 23:57:06.207</t>
  </si>
  <si>
    <t>Algeria</t>
  </si>
  <si>
    <t>2014-01-07 23:57:06.267</t>
  </si>
  <si>
    <t>2014-01-08 18:49:46.283</t>
  </si>
  <si>
    <t>2014-01-09 01:18:11.610</t>
  </si>
  <si>
    <t>2014-01-09 01:18:50.490</t>
  </si>
  <si>
    <t>2014-01-09 01:19:16.033</t>
  </si>
  <si>
    <t>2014-01-09 19:36:58.510</t>
  </si>
  <si>
    <t>2014-01-09 20:09:31.633</t>
  </si>
  <si>
    <t>2014-01-09 20:10:38.243</t>
  </si>
  <si>
    <t>Puerto Rico</t>
  </si>
  <si>
    <t>2014-01-09 20:10:38.603</t>
  </si>
  <si>
    <t>2014-01-09 20:11:02.173</t>
  </si>
  <si>
    <t>2014-01-10 00:54:21.060</t>
  </si>
  <si>
    <t>2014-01-10 00:43:44.063</t>
  </si>
  <si>
    <t>2014-01-10 00:44:23.577</t>
  </si>
  <si>
    <t>2014-01-10 00:46:35.737</t>
  </si>
  <si>
    <t>2014-01-10 00:48:10.127</t>
  </si>
  <si>
    <t>2014-01-10 01:09:46.897</t>
  </si>
  <si>
    <t>2014-01-10 01:10:12.213</t>
  </si>
  <si>
    <t>2014-01-10 01:10:38.250</t>
  </si>
  <si>
    <t>2014-01-10 01:11:06.000</t>
  </si>
  <si>
    <t>2014-01-10 01:11:34.720</t>
  </si>
  <si>
    <t>2014-01-10 01:11:49.553</t>
  </si>
  <si>
    <t>2014-01-10 01:12:04.700</t>
  </si>
  <si>
    <t>2014-01-10 01:12:24.403</t>
  </si>
  <si>
    <t>2014-01-10 01:12:39.190</t>
  </si>
  <si>
    <t>2014-01-10 01:12:54.963</t>
  </si>
  <si>
    <t>2014-01-10 01:13:23.180</t>
  </si>
  <si>
    <t>2014-01-10 01:13:42.510</t>
  </si>
  <si>
    <t>2014-01-10 01:14:14.737</t>
  </si>
  <si>
    <t>2014-01-10 01:14:45.670</t>
  </si>
  <si>
    <t>2014-01-10 01:15:17.947</t>
  </si>
  <si>
    <t>2014-01-10 01:15:41.157</t>
  </si>
  <si>
    <t>2014-01-10 01:16:07.803</t>
  </si>
  <si>
    <t>2014-01-10 01:16:30.110</t>
  </si>
  <si>
    <t>2014-01-10 01:17:24.130</t>
  </si>
  <si>
    <t>Birma</t>
  </si>
  <si>
    <t>2014-01-10 01:17:24.273</t>
  </si>
  <si>
    <t>2014-01-10 01:18:08.090</t>
  </si>
  <si>
    <t>2014-01-10 01:18:40.773</t>
  </si>
  <si>
    <t>2014-01-10 01:19:06.167</t>
  </si>
  <si>
    <t>2014-01-10 01:19:28.897</t>
  </si>
  <si>
    <t>2014-01-10 01:19:53.483</t>
  </si>
  <si>
    <t>2014-01-10 01:20:22.623</t>
  </si>
  <si>
    <t>2014-01-10 01:20:39.563</t>
  </si>
  <si>
    <t>2014-01-10 01:21:21.057</t>
  </si>
  <si>
    <t>Bosnia</t>
  </si>
  <si>
    <t>2014-01-10 18:06:46.247</t>
  </si>
  <si>
    <t>Ireland</t>
  </si>
  <si>
    <t>2014-01-10 18:12:01.377</t>
  </si>
  <si>
    <t>UK</t>
  </si>
  <si>
    <t>2014-01-10 19:37:03.917</t>
  </si>
  <si>
    <t>Vatican</t>
  </si>
  <si>
    <t>2014-01-10 19:37:44.363</t>
  </si>
  <si>
    <t>Bahrain</t>
  </si>
  <si>
    <t>2014-01-10 19:52:45.860</t>
  </si>
  <si>
    <t>Qatar</t>
  </si>
  <si>
    <t>2014-01-10 19:53:07.840</t>
  </si>
  <si>
    <t>Iraq</t>
  </si>
  <si>
    <t>2014-01-10 19:53:33.860</t>
  </si>
  <si>
    <t>2014-01-10 19:53:53.763</t>
  </si>
  <si>
    <t>Afghanistan</t>
  </si>
  <si>
    <t>2014-01-10 19:54:25.727</t>
  </si>
  <si>
    <t>2014-01-10 19:54:43.837</t>
  </si>
  <si>
    <t>2014-01-10 19:55:10.263</t>
  </si>
  <si>
    <t>2014-01-10 19:55:29.390</t>
  </si>
  <si>
    <t>Tajikistan</t>
  </si>
  <si>
    <t>2014-01-10 19:55:53.413</t>
  </si>
  <si>
    <t>Kyrgyzstan</t>
  </si>
  <si>
    <t>2014-01-10 19:56:14.673</t>
  </si>
  <si>
    <t>2014-01-10 19:56:47.777</t>
  </si>
  <si>
    <t>2014-01-10 19:57:09.850</t>
  </si>
  <si>
    <t>Bangladesh</t>
  </si>
  <si>
    <t>2014-01-10 19:57:29.443</t>
  </si>
  <si>
    <t>2014-01-10 19:57:50.877</t>
  </si>
  <si>
    <t>2014-01-10 20:49:34.730</t>
  </si>
  <si>
    <t>2014-01-10 20:50:07.240</t>
  </si>
  <si>
    <t>Cambodia</t>
  </si>
  <si>
    <t>2014-01-10 20:50:48.177</t>
  </si>
  <si>
    <t>Vietnam</t>
  </si>
  <si>
    <t>2014-01-10 20:51:08.127</t>
  </si>
  <si>
    <t>2014-01-10 20:51:46.643</t>
  </si>
  <si>
    <t>Burma</t>
  </si>
  <si>
    <t>2014-01-10 20:51:46.707</t>
  </si>
  <si>
    <t>South Korea</t>
  </si>
  <si>
    <t>2014-01-10 20:52:11.150</t>
  </si>
  <si>
    <t>North Korea</t>
  </si>
  <si>
    <t>2014-01-10 20:52:28.343</t>
  </si>
  <si>
    <t>Malaysia</t>
  </si>
  <si>
    <t>2014-01-10 20:52:50.293</t>
  </si>
  <si>
    <t>Indonesia</t>
  </si>
  <si>
    <t>2014-01-10 20:53:08.700</t>
  </si>
  <si>
    <t>the Philippines</t>
  </si>
  <si>
    <t>2014-01-10 20:53:49.137</t>
  </si>
  <si>
    <t>Taiwan</t>
  </si>
  <si>
    <t>2014-01-10 20:54:45.700</t>
  </si>
  <si>
    <t>Hong Kong</t>
  </si>
  <si>
    <t>2014-01-10 20:55:07.760</t>
  </si>
  <si>
    <t>Singapore</t>
  </si>
  <si>
    <t>2014-01-10 20:55:35.823</t>
  </si>
  <si>
    <t>2014-01-10 20:55:55.213</t>
  </si>
  <si>
    <t>New Zealand</t>
  </si>
  <si>
    <t>2014-01-10 20:56:51.640</t>
  </si>
  <si>
    <t>2014-01-10 20:56:51.717</t>
  </si>
  <si>
    <t>2014-01-10 20:57:34.273</t>
  </si>
  <si>
    <t>Fiji</t>
  </si>
  <si>
    <t>2014-01-10 20:57:34.617</t>
  </si>
  <si>
    <t>the Bahamas</t>
  </si>
  <si>
    <t>2014-01-11 10:38:24.167</t>
  </si>
  <si>
    <t>2014-01-11 10:39:01.107</t>
  </si>
  <si>
    <t>Costa Rica</t>
  </si>
  <si>
    <t>2014-01-11 10:39:27.483</t>
  </si>
  <si>
    <t>2014-01-11 10:39:53.020</t>
  </si>
  <si>
    <t>2014-01-11 10:40:20.007</t>
  </si>
  <si>
    <t>2014-01-11 17:40:44.260</t>
  </si>
  <si>
    <t>Mexico</t>
  </si>
  <si>
    <t>2014-01-11 17:40:46.023</t>
  </si>
  <si>
    <t>Greenland</t>
  </si>
  <si>
    <t>2014-01-11 17:41:20.220</t>
  </si>
  <si>
    <t>2014-01-11 17:41:55.890</t>
  </si>
  <si>
    <t>Jamaica</t>
  </si>
  <si>
    <t>2014-01-11 17:41:57.177</t>
  </si>
  <si>
    <t>2014-01-11 17:42:44.283</t>
  </si>
  <si>
    <t>Cuba</t>
  </si>
  <si>
    <t>2014-01-11 17:42:45.527</t>
  </si>
  <si>
    <t>2014-01-17 20:23:01.613</t>
  </si>
  <si>
    <t>2014-01-17 20:23:02.127</t>
  </si>
  <si>
    <t>2014-01-17 20:24:51.497</t>
  </si>
  <si>
    <t>El Salvador</t>
  </si>
  <si>
    <t>2014-01-17 20:24:51.557</t>
  </si>
  <si>
    <t>2014-01-17 20:25:19.060</t>
  </si>
  <si>
    <t>Guatemala</t>
  </si>
  <si>
    <t>2014-01-17 20:25:19.137</t>
  </si>
  <si>
    <t>2014-01-17 21:42:06.563</t>
  </si>
  <si>
    <t>2014-01-17 21:42:07.970</t>
  </si>
  <si>
    <t>2014-01-29 01:46:03.783</t>
  </si>
  <si>
    <t>Nicaragua</t>
  </si>
  <si>
    <t>2014-01-29 07:06:48.330</t>
  </si>
  <si>
    <t>2014-01-29 07:07:34.677</t>
  </si>
  <si>
    <t>2014-01-29 07:08:51.723</t>
  </si>
  <si>
    <t>Madagascar</t>
  </si>
  <si>
    <t>2014-01-29 07:08:52.067</t>
  </si>
  <si>
    <t>2014-01-29 07:09:25.590</t>
  </si>
  <si>
    <t>South Africa</t>
  </si>
  <si>
    <t>2014-01-29 07:10:13.807</t>
  </si>
  <si>
    <t>2014-02-02 04:19:56.493</t>
  </si>
  <si>
    <t>2014-02-02 04:19:56.947</t>
  </si>
  <si>
    <t>2014-02-02 04:21:34.037</t>
  </si>
  <si>
    <t>Seychelles</t>
  </si>
  <si>
    <t>2014-02-02 04:21:34.113</t>
  </si>
  <si>
    <t>2014-02-02 04:22:23.547</t>
  </si>
  <si>
    <t>2014-02-02 04:22:23.860</t>
  </si>
  <si>
    <t>2014-02-02 04:24:50.007</t>
  </si>
  <si>
    <t>Stany Zjednoczone</t>
  </si>
  <si>
    <t>2014-02-02 04:24:50.117</t>
  </si>
  <si>
    <t>the USA</t>
  </si>
  <si>
    <t>2014-02-02 04:24:50.567</t>
  </si>
  <si>
    <t>the United States</t>
  </si>
  <si>
    <t>2014-02-02 04:24:50.850</t>
  </si>
  <si>
    <t>2014-02-02 04:25:18.427</t>
  </si>
  <si>
    <t>2014-02-02 04:25:43.167</t>
  </si>
  <si>
    <t>Kenya</t>
  </si>
  <si>
    <t>2014-02-08 15:17:16.013</t>
  </si>
  <si>
    <t>2014-02-08 15:17:37.527</t>
  </si>
  <si>
    <t>2014-02-08 15:18:23.063</t>
  </si>
  <si>
    <t>Mozambique</t>
  </si>
  <si>
    <t>2014-02-08 15:18:23.110</t>
  </si>
  <si>
    <t>2014-02-08 15:19:19.630</t>
  </si>
  <si>
    <t>Rwanda</t>
  </si>
  <si>
    <t>2014-02-08 15:19:19.880</t>
  </si>
  <si>
    <t>2014-02-08 15:19:20.597</t>
  </si>
  <si>
    <t>2014-02-08 15:20:06.087</t>
  </si>
  <si>
    <t>2014-02-08 15:20:07.053</t>
  </si>
  <si>
    <t>2014-02-08 15:21:00.547</t>
  </si>
  <si>
    <t>2014-02-08 15:21:00.610</t>
  </si>
  <si>
    <t>2014-02-08 15:23:49.530</t>
  </si>
  <si>
    <t>Congo</t>
  </si>
  <si>
    <t>2014-02-08 15:23:49.607</t>
  </si>
  <si>
    <t>2014-02-08 15:24:36.750</t>
  </si>
  <si>
    <t>2014-02-08 15:24:36.890</t>
  </si>
  <si>
    <t>2014-02-08 15:25:37.450</t>
  </si>
  <si>
    <t>[dbo].[Words]</t>
  </si>
  <si>
    <t>WordId</t>
  </si>
  <si>
    <t>PropertyId</t>
  </si>
  <si>
    <t>Value</t>
  </si>
  <si>
    <t>Rodzaj</t>
  </si>
  <si>
    <t>Liczby</t>
  </si>
  <si>
    <t>Czy osobowy</t>
  </si>
  <si>
    <t>Czy miejsce</t>
  </si>
  <si>
    <t>p</t>
  </si>
  <si>
    <t>o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</si>
  <si>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</si>
  <si>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</si>
  <si>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</si>
  <si>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</si>
  <si>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</si>
  <si>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</si>
  <si>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</si>
  <si>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</si>
  <si>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</si>
  <si>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Krainy</t>
  </si>
  <si>
    <t>Krainy - Europa</t>
  </si>
  <si>
    <t>Krainy - Ameryka</t>
  </si>
  <si>
    <t>Krainy - Azja</t>
  </si>
  <si>
    <t>Krainy - Afryka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</si>
  <si>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</si>
  <si>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</si>
  <si>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</si>
  <si>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</si>
  <si>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</si>
  <si>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</si>
  <si>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</si>
  <si>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</si>
  <si>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</si>
  <si>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</si>
  <si>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</si>
  <si>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</si>
  <si>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</si>
  <si>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</si>
  <si>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</si>
  <si>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</si>
  <si>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</si>
  <si>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</si>
  <si>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</si>
  <si>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</si>
  <si>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</si>
  <si>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</si>
  <si>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</si>
  <si>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</si>
  <si>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</si>
  <si>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</si>
  <si>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</si>
  <si>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</si>
  <si>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</si>
  <si>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</si>
  <si>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</si>
  <si>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</si>
  <si>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</si>
  <si>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</si>
  <si>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</si>
  <si>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</si>
  <si>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</si>
  <si>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</si>
  <si>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</si>
  <si>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</si>
  <si>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Kolory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</si>
  <si>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</si>
  <si>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</si>
  <si>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</si>
  <si>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</si>
  <si>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</si>
  <si>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</si>
  <si>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</si>
  <si>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</si>
  <si>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</si>
  <si>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</si>
  <si>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Czas</t>
  </si>
  <si>
    <t>Dni tygodnia i miesiące</t>
  </si>
  <si>
    <t>Jednostki czasu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</si>
  <si>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</si>
  <si>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</si>
  <si>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</si>
  <si>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</si>
  <si>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</si>
  <si>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</si>
  <si>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</si>
  <si>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</si>
  <si>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</si>
  <si>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</si>
  <si>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</si>
  <si>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</si>
  <si>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</si>
  <si>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</si>
  <si>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</si>
  <si>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</si>
  <si>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</si>
  <si>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</si>
  <si>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</si>
  <si>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</si>
  <si>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</si>
  <si>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</si>
  <si>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</si>
  <si>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</si>
  <si>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</si>
  <si>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</si>
  <si>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</si>
  <si>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</si>
  <si>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</si>
  <si>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</si>
  <si>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</si>
  <si>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</si>
  <si>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</si>
  <si>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</si>
  <si>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</si>
  <si>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</si>
  <si>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</si>
  <si>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</si>
  <si>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</si>
  <si>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</si>
  <si>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</si>
  <si>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</si>
  <si>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</si>
  <si>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</si>
  <si>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</si>
  <si>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</si>
  <si>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</si>
  <si>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</si>
  <si>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</si>
  <si>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polski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</si>
  <si>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</si>
  <si>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</si>
  <si>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</si>
  <si>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</si>
  <si>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</si>
  <si>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</si>
  <si>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</si>
  <si>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</si>
  <si>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</si>
  <si>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</si>
  <si>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</si>
  <si>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</si>
  <si>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</si>
  <si>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</si>
  <si>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</si>
  <si>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</si>
  <si>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</si>
  <si>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</si>
  <si>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</si>
  <si>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</si>
  <si>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</si>
  <si>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</si>
  <si>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</si>
  <si>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</si>
  <si>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</si>
  <si>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</si>
  <si>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</si>
  <si>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</si>
  <si>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</si>
  <si>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</si>
  <si>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</si>
  <si>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</si>
  <si>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</si>
  <si>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</si>
  <si>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</si>
  <si>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</si>
  <si>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</si>
  <si>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</si>
  <si>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</si>
  <si>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</si>
  <si>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</si>
  <si>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</si>
  <si>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</si>
  <si>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</si>
  <si>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</si>
  <si>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</si>
  <si>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</si>
  <si>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</si>
  <si>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</si>
  <si>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</si>
  <si>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</si>
  <si>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</si>
  <si>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</si>
  <si>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</si>
  <si>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</si>
  <si>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</si>
  <si>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</si>
  <si>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</si>
  <si>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</si>
  <si>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</si>
  <si>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</si>
  <si>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</si>
  <si>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</si>
  <si>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</si>
  <si>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</si>
  <si>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</si>
  <si>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</si>
  <si>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</si>
  <si>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</si>
  <si>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</si>
  <si>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</si>
  <si>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</si>
  <si>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</si>
  <si>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angielski</t>
  </si>
  <si>
    <t>hiszpański</t>
  </si>
  <si>
    <t>francuski</t>
  </si>
  <si>
    <t>rosyjski</t>
  </si>
  <si>
    <t>włoski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</si>
  <si>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</si>
  <si>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</si>
  <si>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</si>
  <si>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</si>
  <si>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</si>
  <si>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</si>
  <si>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</si>
  <si>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</si>
  <si>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</si>
  <si>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</si>
  <si>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</si>
  <si>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</si>
  <si>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</si>
  <si>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</si>
  <si>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</si>
  <si>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</si>
  <si>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</si>
  <si>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</si>
  <si>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</si>
  <si>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</si>
  <si>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</si>
  <si>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</si>
  <si>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</si>
  <si>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</si>
  <si>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</si>
  <si>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</si>
  <si>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</si>
  <si>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</si>
  <si>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</si>
  <si>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</si>
  <si>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</si>
  <si>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</si>
  <si>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</si>
  <si>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</si>
  <si>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</si>
  <si>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</si>
  <si>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</si>
  <si>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</si>
  <si>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</si>
  <si>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</si>
  <si>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</si>
  <si>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</si>
  <si>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</si>
  <si>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</si>
  <si>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</si>
  <si>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</si>
  <si>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</si>
  <si>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</si>
  <si>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</si>
  <si>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</si>
  <si>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</si>
  <si>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</si>
  <si>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</si>
  <si>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</si>
  <si>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</si>
  <si>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</si>
  <si>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</si>
  <si>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</si>
  <si>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</si>
  <si>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</si>
  <si>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</si>
  <si>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</si>
  <si>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</si>
  <si>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</si>
  <si>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</si>
  <si>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</si>
  <si>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</si>
  <si>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</si>
  <si>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</si>
  <si>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</si>
  <si>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</si>
  <si>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</si>
  <si>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</si>
  <si>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</si>
  <si>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</si>
  <si>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</si>
  <si>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</si>
  <si>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</si>
  <si>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</si>
  <si>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</si>
  <si>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</si>
  <si>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</si>
  <si>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</si>
  <si>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</si>
  <si>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</si>
  <si>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</si>
  <si>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</si>
  <si>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</si>
  <si>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</si>
  <si>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</si>
  <si>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</si>
  <si>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</si>
  <si>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</si>
  <si>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</si>
  <si>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</si>
  <si>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</si>
  <si>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</si>
  <si>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</si>
  <si>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</si>
  <si>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</si>
  <si>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</si>
  <si>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</si>
  <si>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</si>
  <si>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</si>
  <si>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</si>
  <si>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</si>
  <si>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</si>
  <si>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</si>
  <si>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</si>
  <si>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</si>
  <si>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</si>
  <si>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</si>
  <si>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</si>
  <si>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</si>
  <si>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</si>
  <si>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</si>
  <si>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</si>
  <si>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</si>
  <si>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</si>
  <si>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</si>
  <si>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</si>
  <si>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</si>
  <si>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</si>
  <si>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</si>
  <si>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</si>
  <si>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</si>
  <si>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</si>
  <si>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</si>
  <si>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</si>
  <si>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</si>
  <si>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</si>
  <si>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</si>
  <si>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</si>
  <si>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</si>
  <si>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</si>
  <si>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</si>
  <si>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</si>
  <si>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</si>
  <si>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</si>
  <si>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</si>
  <si>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</si>
  <si>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</si>
  <si>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</si>
  <si>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</si>
  <si>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</si>
  <si>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</si>
  <si>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</si>
  <si>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</si>
  <si>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</si>
  <si>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</si>
  <si>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</si>
  <si>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</si>
  <si>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</si>
  <si>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</si>
  <si>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</si>
  <si>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</si>
  <si>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</si>
  <si>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</si>
  <si>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</si>
  <si>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</si>
  <si>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</si>
  <si>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</si>
  <si>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</si>
  <si>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</si>
  <si>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</si>
  <si>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</si>
  <si>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</si>
  <si>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</si>
  <si>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</si>
  <si>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</si>
  <si>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</si>
  <si>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</si>
  <si>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</si>
  <si>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</si>
  <si>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</si>
  <si>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</si>
  <si>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</si>
  <si>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</si>
  <si>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</si>
  <si>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</si>
  <si>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</si>
  <si>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</si>
  <si>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</si>
  <si>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</si>
  <si>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</si>
  <si>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</si>
  <si>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</si>
  <si>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</si>
  <si>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</si>
  <si>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</si>
  <si>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</si>
  <si>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</si>
  <si>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</si>
  <si>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</si>
  <si>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</si>
  <si>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</si>
  <si>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</si>
  <si>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</si>
  <si>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</si>
  <si>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</si>
  <si>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</si>
  <si>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</si>
  <si>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</si>
  <si>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</si>
  <si>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</si>
  <si>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</si>
  <si>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</si>
  <si>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</si>
  <si>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</si>
  <si>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</si>
  <si>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</si>
  <si>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</si>
  <si>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</si>
  <si>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</si>
  <si>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miejsce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</si>
  <si>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</si>
  <si>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</si>
  <si>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</si>
  <si>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</si>
  <si>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</si>
  <si>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</si>
  <si>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</si>
  <si>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</si>
  <si>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</si>
  <si>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</si>
  <si>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</si>
  <si>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</si>
  <si>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</si>
  <si>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</si>
  <si>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</si>
  <si>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</si>
  <si>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</si>
  <si>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</si>
  <si>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</si>
  <si>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</si>
  <si>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</si>
  <si>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</si>
  <si>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</si>
  <si>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</si>
  <si>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</si>
  <si>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</si>
  <si>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</si>
  <si>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</si>
  <si>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Instytucje</t>
  </si>
  <si>
    <t>Budynki</t>
  </si>
  <si>
    <t>Obiekty topograficzne</t>
  </si>
  <si>
    <t>Przedmioty domowe - łazienka</t>
  </si>
  <si>
    <t>Przedmioty domowe - pokój</t>
  </si>
  <si>
    <t>Komunikacja</t>
  </si>
  <si>
    <t>Komunikacja - Media</t>
  </si>
  <si>
    <t>Komunikacja - Transport</t>
  </si>
  <si>
    <t>Człowiek</t>
  </si>
  <si>
    <t>Społeczeństwo</t>
  </si>
  <si>
    <t>Środowisko</t>
  </si>
  <si>
    <t>Rozrywka</t>
  </si>
  <si>
    <t>Sport</t>
  </si>
  <si>
    <t>Zabawa</t>
  </si>
  <si>
    <t>Sztuka</t>
  </si>
  <si>
    <t>Akweny</t>
  </si>
  <si>
    <t>Jeziora</t>
  </si>
  <si>
    <t>Budynek</t>
  </si>
  <si>
    <t>Jedzenie</t>
  </si>
  <si>
    <t>Dom</t>
  </si>
  <si>
    <t>Dom - kuchnia</t>
  </si>
  <si>
    <t>Dom - łazienka</t>
  </si>
  <si>
    <t>Dom - pokój</t>
  </si>
  <si>
    <t>Przedmioty - warsztat</t>
  </si>
  <si>
    <t>Przedmioty - szkoła</t>
  </si>
  <si>
    <t>Człowiek - części ciała</t>
  </si>
  <si>
    <t>Człowiek - uczucia</t>
  </si>
  <si>
    <t>głowa</t>
  </si>
  <si>
    <t>noga</t>
  </si>
  <si>
    <t>brzuch</t>
  </si>
  <si>
    <t>oko</t>
  </si>
  <si>
    <t>ucho</t>
  </si>
  <si>
    <t>nos</t>
  </si>
  <si>
    <t>włos</t>
  </si>
  <si>
    <t>paznokieć</t>
  </si>
  <si>
    <t>palec</t>
  </si>
  <si>
    <t>ramiona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</si>
  <si>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</si>
  <si>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</si>
  <si>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</si>
  <si>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</si>
  <si>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</si>
  <si>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</si>
  <si>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</si>
  <si>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</si>
  <si>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</si>
  <si>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</si>
  <si>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</si>
  <si>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</si>
  <si>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</si>
  <si>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</si>
  <si>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</si>
  <si>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</si>
  <si>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</si>
  <si>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</si>
  <si>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</si>
  <si>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</si>
  <si>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</si>
  <si>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</si>
  <si>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Komunikacja - Informacje</t>
  </si>
  <si>
    <t>Nagrody</t>
  </si>
  <si>
    <t>Prawo</t>
  </si>
  <si>
    <t>Prawo - przestępstwa</t>
  </si>
  <si>
    <t>SELECT 1, 1, 4 UNION ALL</t>
  </si>
  <si>
    <t>SELECT 2, 2, 18 UNION ALL</t>
  </si>
  <si>
    <t>SELECT 3, 4, 4 UNION ALL</t>
  </si>
  <si>
    <t>SELECT 4, 5, 4 UNION ALL</t>
  </si>
  <si>
    <t>SELECT 5, 6, 4 UNION ALL</t>
  </si>
  <si>
    <t>SELECT 6, 9, 4 UNION ALL</t>
  </si>
  <si>
    <t>SELECT 7, 10, 4 UNION ALL</t>
  </si>
  <si>
    <t>SELECT 10, 12, 4 UNION ALL</t>
  </si>
  <si>
    <t>SELECT 11, 13, 4 UNION ALL</t>
  </si>
  <si>
    <t>SELECT 14, 15, 4 UNION ALL</t>
  </si>
  <si>
    <t>SELECT 17, 17, 4 UNION ALL</t>
  </si>
  <si>
    <t>SELECT 18, 18, 4 UNION ALL</t>
  </si>
  <si>
    <t>SELECT 19, 19, 4 UNION ALL</t>
  </si>
  <si>
    <t>SELECT 20, 20, 4 UNION ALL</t>
  </si>
  <si>
    <t>SELECT 21, 21, 4 UNION ALL</t>
  </si>
  <si>
    <t>SELECT 24, 23, 4 UNION ALL</t>
  </si>
  <si>
    <t>SELECT 25, 24, 4 UNION ALL</t>
  </si>
  <si>
    <t>SELECT 26, 25, 4 UNION ALL</t>
  </si>
  <si>
    <t>SELECT 27, 26, 4 UNION ALL</t>
  </si>
  <si>
    <t>SELECT 28, 27, 4 UNION ALL</t>
  </si>
  <si>
    <t>SELECT 29, 28, 4 UNION ALL</t>
  </si>
  <si>
    <t>SELECT 30, 29, 4 UNION ALL</t>
  </si>
  <si>
    <t>SELECT 35, 32, 4 UNION ALL</t>
  </si>
  <si>
    <t>SELECT 36, 33, 4 UNION ALL</t>
  </si>
  <si>
    <t>SELECT 37, 34, 4 UNION ALL</t>
  </si>
  <si>
    <t>SELECT 38, 35, 4 UNION ALL</t>
  </si>
  <si>
    <t>SELECT 39, 36, 4 UNION ALL</t>
  </si>
  <si>
    <t>SELECT 40, 37, 4 UNION ALL</t>
  </si>
  <si>
    <t>SELECT 43, 39, 4 UNION ALL</t>
  </si>
  <si>
    <t>SELECT 44, 40, 4 UNION ALL</t>
  </si>
  <si>
    <t>SELECT 45, 41, 4 UNION ALL</t>
  </si>
  <si>
    <t>SELECT 46, 42, 4 UNION ALL</t>
  </si>
  <si>
    <t>SELECT 47, 43, 4 UNION ALL</t>
  </si>
  <si>
    <t>SELECT 48, 44, 4 UNION ALL</t>
  </si>
  <si>
    <t>SELECT 49, 45, 4 UNION ALL</t>
  </si>
  <si>
    <t>SELECT 50, 46, 4 UNION ALL</t>
  </si>
  <si>
    <t>SELECT 51, 47, 4 UNION ALL</t>
  </si>
  <si>
    <t>SELECT 52, 48, 4 UNION ALL</t>
  </si>
  <si>
    <t>SELECT 53, 49, 4 UNION ALL</t>
  </si>
  <si>
    <t>SELECT 54, 50, 4 UNION ALL</t>
  </si>
  <si>
    <t>SELECT 55, 51, 4 UNION ALL</t>
  </si>
  <si>
    <t>SELECT 58, 53, 4 UNION ALL</t>
  </si>
  <si>
    <t>SELECT 59, 54, 4 UNION ALL</t>
  </si>
  <si>
    <t>SELECT 60, 55, 4 UNION ALL</t>
  </si>
  <si>
    <t>SELECT 61, 56, 4 UNION ALL</t>
  </si>
  <si>
    <t>SELECT 62, 57, 6 UNION ALL</t>
  </si>
  <si>
    <t>SELECT 63, 58, 6 UNION ALL</t>
  </si>
  <si>
    <t>SELECT 64, 63, 6 UNION ALL</t>
  </si>
  <si>
    <t>SELECT 65, 64, 6 UNION ALL</t>
  </si>
  <si>
    <t>SELECT 66, 65, 6 UNION ALL</t>
  </si>
  <si>
    <t>SELECT 67, 66, 6 UNION ALL</t>
  </si>
  <si>
    <t>SELECT 68, 67, 6 UNION ALL</t>
  </si>
  <si>
    <t>SELECT 69, 68, 6 UNION ALL</t>
  </si>
  <si>
    <t>SELECT 70, 70, 6 UNION ALL</t>
  </si>
  <si>
    <t>SELECT 71, 80, 6 UNION ALL</t>
  </si>
  <si>
    <t>SELECT 72, 85, 8 UNION ALL</t>
  </si>
  <si>
    <t>SELECT 73, 86, 8 UNION ALL</t>
  </si>
  <si>
    <t>SELECT 74, 89, 8 UNION ALL</t>
  </si>
  <si>
    <t>SELECT 75, 93, 8 UNION ALL</t>
  </si>
  <si>
    <t>SELECT 76, 94, 8 UNION ALL</t>
  </si>
  <si>
    <t>SELECT 77, 95, 8 UNION ALL</t>
  </si>
  <si>
    <t>SELECT 78, 96, 8 UNION ALL</t>
  </si>
  <si>
    <t>SELECT 79, 97, 8 UNION ALL</t>
  </si>
  <si>
    <t>SELECT 80, 98, 8 UNION ALL</t>
  </si>
  <si>
    <t>SELECT 81, 99, 8 UNION ALL</t>
  </si>
  <si>
    <t>SELECT 82, 100, 8 UNION ALL</t>
  </si>
  <si>
    <t>SELECT 83, 101, 8 UNION ALL</t>
  </si>
  <si>
    <t>SELECT 84, 102, 8 UNION ALL</t>
  </si>
  <si>
    <t>SELECT 85, 103, 8 UNION ALL</t>
  </si>
  <si>
    <t>SELECT 86, 104, 8 UNION ALL</t>
  </si>
  <si>
    <t>SELECT 87, 105, 8 UNION ALL</t>
  </si>
  <si>
    <t>SELECT 88, 106, 8 UNION ALL</t>
  </si>
  <si>
    <t>SELECT 89, 107, 8 UNION ALL</t>
  </si>
  <si>
    <t>SELECT 90, 109, 8 UNION ALL</t>
  </si>
  <si>
    <t>SELECT 91, 110, 8 UNION ALL</t>
  </si>
  <si>
    <t>SELECT 92, 111, 8 UNION ALL</t>
  </si>
  <si>
    <t>SELECT 93, 112, 8 UNION ALL</t>
  </si>
  <si>
    <t>SELECT 94, 113, 8 UNION ALL</t>
  </si>
  <si>
    <t>SELECT 95, 114, 8 UNION ALL</t>
  </si>
  <si>
    <t>SELECT 96, 115, 8 UNION ALL</t>
  </si>
  <si>
    <t>SELECT 97, 116, 8 UNION ALL</t>
  </si>
  <si>
    <t>SELECT 100, 118, 8 UNION ALL</t>
  </si>
  <si>
    <t>SELECT 101, 119, 8 UNION ALL</t>
  </si>
  <si>
    <t>SELECT 102, 120, 8 UNION ALL</t>
  </si>
  <si>
    <t>SELECT 103, 121, 8 UNION ALL</t>
  </si>
  <si>
    <t>SELECT 104, 122, 8 UNION ALL</t>
  </si>
  <si>
    <t>SELECT 105, 123, 8 UNION ALL</t>
  </si>
  <si>
    <t>SELECT 106, 124, 8 UNION ALL</t>
  </si>
  <si>
    <t>SELECT 107, 125, 8 UNION ALL</t>
  </si>
  <si>
    <t>SELECT 108, 126, 8 UNION ALL</t>
  </si>
  <si>
    <t>SELECT 109, 128, 8 UNION ALL</t>
  </si>
  <si>
    <t>SELECT 112, 130, 8 UNION ALL</t>
  </si>
  <si>
    <t>SELECT 113, 131, 8 UNION ALL</t>
  </si>
  <si>
    <t>SELECT 120, 135, 7 UNION ALL</t>
  </si>
  <si>
    <t>SELECT 121, 136, 7 UNION ALL</t>
  </si>
  <si>
    <t>SELECT 122, 137, 7 UNION ALL</t>
  </si>
  <si>
    <t>SELECT 123, 138, 7 UNION ALL</t>
  </si>
  <si>
    <t>SELECT 124, 139, 7 UNION ALL</t>
  </si>
  <si>
    <t>SELECT 125, 140, 7 UNION ALL</t>
  </si>
  <si>
    <t>SELECT 126, 141, 7 UNION ALL</t>
  </si>
  <si>
    <t>SELECT 127, 142, 7 UNION ALL</t>
  </si>
  <si>
    <t>SELECT 128, 143, 7 UNION ALL</t>
  </si>
  <si>
    <t>SELECT 129, 144, 7 UNION ALL</t>
  </si>
  <si>
    <t>SELECT 130, 145, 7 UNION ALL</t>
  </si>
  <si>
    <t>SELECT 131, 146, 7 UNION ALL</t>
  </si>
  <si>
    <t>SELECT 132, 147, 7 UNION ALL</t>
  </si>
  <si>
    <t>SELECT 133, 148, 7 UNION ALL</t>
  </si>
  <si>
    <t>SELECT 134, 149, 7 UNION ALL</t>
  </si>
  <si>
    <t>SELECT 135, 150, 7 UNION ALL</t>
  </si>
  <si>
    <t>SELECT 136, 151, 7 UNION ALL</t>
  </si>
  <si>
    <t>SELECT 137, 152, 7 UNION ALL</t>
  </si>
  <si>
    <t>SELECT 138, 153, 7 UNION ALL</t>
  </si>
  <si>
    <t>SELECT 139, 154, 7 UNION ALL</t>
  </si>
  <si>
    <t>SELECT 140, 155, 7 UNION ALL</t>
  </si>
  <si>
    <t>SELECT 141, 156, 7 UNION ALL</t>
  </si>
  <si>
    <t>SELECT 142, 157, 7 UNION ALL</t>
  </si>
  <si>
    <t>SELECT 143, 158, 7 UNION ALL</t>
  </si>
  <si>
    <t>SELECT 144, 159, 7 UNION ALL</t>
  </si>
  <si>
    <t>SELECT 145, 160, 7 UNION ALL</t>
  </si>
  <si>
    <t>SELECT 146, 162, 7 UNION ALL</t>
  </si>
  <si>
    <t>SELECT 147, 163, 7 UNION ALL</t>
  </si>
  <si>
    <t>SELECT 148, 164, 7 UNION ALL</t>
  </si>
  <si>
    <t>SELECT 149, 165, 7 UNION ALL</t>
  </si>
  <si>
    <t>SELECT 150, 166, 7 UNION ALL</t>
  </si>
  <si>
    <t>SELECT 151, 167, 7 UNION ALL</t>
  </si>
  <si>
    <t>SELECT 152, 168, 7 UNION ALL</t>
  </si>
  <si>
    <t>SELECT 153, 169, 7 UNION ALL</t>
  </si>
  <si>
    <t>SELECT 156, 171, 7 UNION ALL</t>
  </si>
  <si>
    <t>SELECT 157, 172, 7 UNION ALL</t>
  </si>
  <si>
    <t>SELECT 158, 174, 7 UNION ALL</t>
  </si>
  <si>
    <t>SELECT 159, 175, 7 UNION ALL</t>
  </si>
  <si>
    <t>SELECT 160, 176, 7 UNION ALL</t>
  </si>
  <si>
    <t>SELECT 161, 177, 7 UNION ALL</t>
  </si>
  <si>
    <t>SELECT 166, 181, 5 UNION ALL</t>
  </si>
  <si>
    <t>SELECT 167, 182, 5 UNION ALL</t>
  </si>
  <si>
    <t>SELECT 168, 183, 5 UNION ALL</t>
  </si>
  <si>
    <t>SELECT 175, 187, 5 UNION ALL</t>
  </si>
  <si>
    <t>SELECT 176, 188, 5 UNION ALL</t>
  </si>
  <si>
    <t>SELECT 177, 189, 5 UNION ALL</t>
  </si>
  <si>
    <t>SELECT 178, 190, 5 UNION ALL</t>
  </si>
  <si>
    <t>SELECT 179, 191, 5 UNION ALL</t>
  </si>
  <si>
    <t>SELECT 182, 194, 5 UNION ALL</t>
  </si>
  <si>
    <t>SELECT 183, 195, 5 UNION ALL</t>
  </si>
  <si>
    <t>SELECT 184, 196, 5 UNION ALL</t>
  </si>
  <si>
    <t>SELECT 185, 197, 5 UNION ALL</t>
  </si>
  <si>
    <t>SELECT 188, 199, 41 UNION ALL</t>
  </si>
  <si>
    <t>SELECT 189, 200, 41 UNION ALL</t>
  </si>
  <si>
    <t>SELECT 190, 201, 41 UNION ALL</t>
  </si>
  <si>
    <t>SELECT 191, 202, 41 UNION ALL</t>
  </si>
  <si>
    <t>SELECT 192, 203, 41 UNION ALL</t>
  </si>
  <si>
    <t>SELECT 193, 204, 41 UNION ALL</t>
  </si>
  <si>
    <t>SELECT 194, 205, 44 UNION ALL</t>
  </si>
  <si>
    <t>SELECT 195, 206, 46 UNION ALL</t>
  </si>
  <si>
    <t>SELECT 196, 207, 45 UNION ALL</t>
  </si>
  <si>
    <t>SELECT 197, 208, 18 UNION ALL</t>
  </si>
  <si>
    <t>SELECT 198, 209, 18 UNION ALL</t>
  </si>
  <si>
    <t>SELECT 199, 210, 19 UNION ALL</t>
  </si>
  <si>
    <t>SELECT 200, 211, 19 UNION ALL</t>
  </si>
  <si>
    <t>SELECT 201, 212, 21 UNION ALL</t>
  </si>
  <si>
    <t>SELECT 202, 213, 21 UNION ALL</t>
  </si>
  <si>
    <t>SELECT 203, 214, 21 UNION ALL</t>
  </si>
  <si>
    <t>SELECT 204, 215, 21 UNION ALL</t>
  </si>
  <si>
    <t>SELECT 205, 216, 22 UNION ALL</t>
  </si>
  <si>
    <t>SELECT 206, 217, 17 UNION ALL</t>
  </si>
  <si>
    <t>SELECT 207, 218, 20 UNION ALL</t>
  </si>
  <si>
    <t>SELECT 208, 219, 17 UNION ALL</t>
  </si>
  <si>
    <t>SELECT 209, 220, 17 UNION ALL</t>
  </si>
  <si>
    <t>SELECT 210, 221, 21 UNION ALL</t>
  </si>
  <si>
    <t>SELECT 211, 222, 23 UNION ALL</t>
  </si>
  <si>
    <t>SELECT 212, 223, 23 UNION ALL</t>
  </si>
  <si>
    <t>SELECT 213, 224, 23 UNION ALL</t>
  </si>
  <si>
    <t>SELECT 214, 225, 23 UNION ALL</t>
  </si>
  <si>
    <t>SELECT 215, 226, 23 UNION ALL</t>
  </si>
  <si>
    <t>SELECT 216, 227, 23 UNION ALL</t>
  </si>
  <si>
    <t>SELECT 217, 228, 22 UNION ALL</t>
  </si>
  <si>
    <t>SELECT 218, 229, 20 UNION ALL</t>
  </si>
  <si>
    <t>SELECT 219, 230, 20 UNION ALL</t>
  </si>
  <si>
    <t>SELECT 220, 231, 19 UNION ALL</t>
  </si>
  <si>
    <t>SELECT 221, 232, 19 UNION ALL</t>
  </si>
  <si>
    <t>SELECT 222, 233, 17 UNION ALL</t>
  </si>
  <si>
    <t>SELECT 223, 234, 17 UNION ALL</t>
  </si>
  <si>
    <t>SELECT 224, 235, 17 UNION ALL</t>
  </si>
  <si>
    <t>SELECT 225, 236, 17 UNION ALL</t>
  </si>
  <si>
    <t>SELECT 226, 237, 12 UNION ALL</t>
  </si>
  <si>
    <t>SELECT 227, 238, 12 UNION ALL</t>
  </si>
  <si>
    <t>SELECT 228, 239, 12 UNION ALL</t>
  </si>
  <si>
    <t>SELECT 229, 240, 13 UNION ALL</t>
  </si>
  <si>
    <t>SELECT 230, 241, 13 UNION ALL</t>
  </si>
  <si>
    <t>SELECT 231, 242, 13 UNION ALL</t>
  </si>
  <si>
    <t>SELECT 232, 243, 13 UNION ALL</t>
  </si>
  <si>
    <t>SELECT 233, 244, 13 UNION ALL</t>
  </si>
  <si>
    <t>SELECT 234, 245, 13 UNION ALL</t>
  </si>
  <si>
    <t>SELECT 235, 246, 42 UNION ALL</t>
  </si>
  <si>
    <t>SELECT 236, 247, 42 UNION ALL</t>
  </si>
  <si>
    <t>SELECT 237, 248, 48 UNION ALL</t>
  </si>
  <si>
    <t>SELECT 238, 249, 48 UNION ALL</t>
  </si>
  <si>
    <t>SELECT 239, 250, 48 UNION ALL</t>
  </si>
  <si>
    <t>SELECT 240, 251, 48 UNION ALL</t>
  </si>
  <si>
    <t>SELECT 241, 252, 48 UNION ALL</t>
  </si>
  <si>
    <t>SELECT 242, 253, 48 UNION ALL</t>
  </si>
  <si>
    <t>SELECT 243, 254, 48 UNION ALL</t>
  </si>
  <si>
    <t>SELECT 244, 255, 48 UNION ALL</t>
  </si>
  <si>
    <t>SELECT 245, 256, 48 UNION ALL</t>
  </si>
  <si>
    <t>SELECT 246, 257, 48 UNION ALL</t>
  </si>
  <si>
    <t>SELECT 247, 258, 50 UNION ALL</t>
  </si>
  <si>
    <t>SELECT 248, 259, 50 UNION ALL</t>
  </si>
  <si>
    <t>SELECT 249, 260, 50 UNION ALL</t>
  </si>
  <si>
    <t>SELECT 250, 261, 50 UNION ALL</t>
  </si>
  <si>
    <t>SELECT 251, 262, 50 UNION ALL</t>
  </si>
  <si>
    <t>SELECT 252, 263, 50 UNION ALL</t>
  </si>
  <si>
    <t>SELECT 253, 264, 50 UNION ALL</t>
  </si>
  <si>
    <t>SELECT 254, 265, 50 UNION ALL</t>
  </si>
  <si>
    <t>SELECT 255, 266, 50 UNION ALL</t>
  </si>
  <si>
    <t>SELECT 256, 267, 50 UNION ALL</t>
  </si>
  <si>
    <t>SELECT 257, 268, 50 UNION ALL</t>
  </si>
  <si>
    <t>SELECT 258, 269, 50 UNION ALL</t>
  </si>
  <si>
    <t>SELECT 259, 270, 50 UNION ALL</t>
  </si>
  <si>
    <t>SELECT 260, 271, 50 UNION ALL</t>
  </si>
  <si>
    <t>SELECT 261, 272, 50 UNION ALL</t>
  </si>
  <si>
    <t>SELECT 262, 273, 50 UNION ALL</t>
  </si>
  <si>
    <t>SELECT 263, 274, 50 UNION ALL</t>
  </si>
  <si>
    <t>SELECT 264, 275, 50 UNION ALL</t>
  </si>
  <si>
    <t>SELECT 265, 276, 50 UNION ALL</t>
  </si>
  <si>
    <t>SELECT 266, 277, 51 UNION ALL</t>
  </si>
  <si>
    <t>SELECT 267, 278, 51 UNION ALL</t>
  </si>
  <si>
    <t>SELECT 268, 279, 51 UNION ALL</t>
  </si>
  <si>
    <t>SELECT 269, 280, 51 UNION ALL</t>
  </si>
  <si>
    <t>SELECT 270, 281, 51 UNION ALL</t>
  </si>
  <si>
    <t>SELECT 271, 282, 51 UNION ALL</t>
  </si>
  <si>
    <t>SELECT 272, 283, 51 UNION ALL</t>
  </si>
  <si>
    <t>SELECT 273, 284, 51 UNION ALL</t>
  </si>
  <si>
    <t>SELECT 274, 285, 51 UNION ALL</t>
  </si>
  <si>
    <t>SELECT 275, 286, 51 UNION ALL</t>
  </si>
  <si>
    <t>SELECT 276, 287, 51 UNION ALL</t>
  </si>
  <si>
    <t>SELECT 279, 289, 23 UNION ALL</t>
  </si>
  <si>
    <t>SELECT 280, 290, 23 UNION ALL</t>
  </si>
  <si>
    <t>SELECT 281, 291, 22 UNION ALL</t>
  </si>
  <si>
    <t>SELECT 282, 292, 22 UNION ALL</t>
  </si>
  <si>
    <t>SELECT 283, 293, 16 UNION ALL</t>
  </si>
  <si>
    <t>SELECT 284, 294, 21 UNION ALL</t>
  </si>
  <si>
    <t>SELECT 285, 295, 21 UNION ALL</t>
  </si>
  <si>
    <t>SELECT 286, 296, 24 UNION ALL</t>
  </si>
  <si>
    <t>SELECT 287, 297, 24 UNION ALL</t>
  </si>
  <si>
    <t>SELECT 288, 298, 24 UNION ALL</t>
  </si>
  <si>
    <t>SELECT 289, 299, 24 UNION ALL</t>
  </si>
  <si>
    <t>SELECT 290, 300, 24 UNION ALL</t>
  </si>
  <si>
    <t>SELECT 291, 301, 24 UNION ALL</t>
  </si>
  <si>
    <t>SELECT 292, 302, 24 UNION ALL</t>
  </si>
  <si>
    <t>SELECT 293, 303, 24 UNION ALL</t>
  </si>
  <si>
    <t>SELECT 294, 304, 24 UNION ALL</t>
  </si>
  <si>
    <t>SELECT 295, 305, 24 UNION ALL</t>
  </si>
  <si>
    <t>SELECT 296, 307, 4 UNION ALL</t>
  </si>
  <si>
    <t>SELECT 297, 308, 75 UNION ALL</t>
  </si>
  <si>
    <t>SELECT 298, 317, 59 UNION ALL</t>
  </si>
  <si>
    <t>SELECT 301, 339, 59 UNION ALL</t>
  </si>
  <si>
    <t>SELECT 302, 340, 59 UNION ALL</t>
  </si>
  <si>
    <t>SELECT 303, 341, 59 UNION ALL</t>
  </si>
  <si>
    <t>SELECT 306, 347, 54 UNION ALL</t>
  </si>
  <si>
    <t>SELECT 307, 351, 60 UNION ALL</t>
  </si>
  <si>
    <t>SELECT 308, 352, 60 UNION ALL</t>
  </si>
  <si>
    <t>SELECT 309, 353, 60 UNION ALL</t>
  </si>
  <si>
    <t>SELECT 310, 371, 11 UNION ALL</t>
  </si>
  <si>
    <t>SELECT 311, 372, 11 UNION ALL</t>
  </si>
  <si>
    <t>SELECT 312, 373, 63 UNION ALL</t>
  </si>
  <si>
    <t>SELECT 313, 381, 4 UNION ALL</t>
  </si>
  <si>
    <t>SELECT 314, 382, 4 UNION ALL</t>
  </si>
  <si>
    <t>SELECT 315, 383, 4 UNION ALL</t>
  </si>
  <si>
    <t>SELECT 316, 384, 4 UNION ALL</t>
  </si>
  <si>
    <t>SELECT 317, 385, 4 UNION ALL</t>
  </si>
  <si>
    <t>SELECT 318, 386, 4 UNION ALL</t>
  </si>
  <si>
    <t>SELECT 319, 387, 4 UNION ALL</t>
  </si>
  <si>
    <t>SELECT 320, 388, 4 UNION ALL</t>
  </si>
  <si>
    <t>SELECT 321, 389, 4 UNION ALL</t>
  </si>
  <si>
    <t>SELECT 322, 390, 4 UNION ALL</t>
  </si>
  <si>
    <t>SELECT 323, 396, 8 UNION ALL</t>
  </si>
  <si>
    <t>SELECT 324, 397, 8 UNION ALL</t>
  </si>
  <si>
    <t>SELECT 325, 398, 8 UNION ALL</t>
  </si>
  <si>
    <t>SELECT 326, 399, 4 UNION ALL</t>
  </si>
  <si>
    <t>SELECT 327, 400, 4 UNION ALL</t>
  </si>
  <si>
    <t>SELECT 328, 401, 4 UNION ALL</t>
  </si>
  <si>
    <t>SELECT 329, 402, 4 UNION ALL</t>
  </si>
  <si>
    <t>SELECT 330, 403, 4 UNION ALL</t>
  </si>
  <si>
    <t>SELECT 331, 404, 4 UNION ALL</t>
  </si>
  <si>
    <t>SELECT 332, 405, 9 UNION ALL</t>
  </si>
  <si>
    <t>SELECT 333, 406, 5 UNION ALL</t>
  </si>
  <si>
    <t>SELECT 334, 407, 6 UNION ALL</t>
  </si>
  <si>
    <t>SELECT 335, 408, 6 UNION ALL</t>
  </si>
  <si>
    <t>SELECT 336, 409, 6 UNION ALL</t>
  </si>
  <si>
    <t>SELECT 337, 410, 5 UNION ALL</t>
  </si>
  <si>
    <t>SELECT 338, 411, 5 UNION ALL</t>
  </si>
  <si>
    <t>SELECT 339, 412, 4 UNION ALL</t>
  </si>
  <si>
    <t>SELECT 340, 413, 4 UNION ALL</t>
  </si>
  <si>
    <t>SELECT 341, 414, 4 UNION ALL</t>
  </si>
  <si>
    <t>SELECT 342, 415, 4 UNION ALL</t>
  </si>
  <si>
    <t>SELECT 343, 416, 4 UNION ALL</t>
  </si>
  <si>
    <t>SELECT 344, 417, 4 UNION ALL</t>
  </si>
  <si>
    <t>SELECT 345, 418, 4 UNION ALL</t>
  </si>
  <si>
    <t>SELECT 346, 419, 4 UNION ALL</t>
  </si>
  <si>
    <t>SELECT 347, 420, 4 UNION ALL</t>
  </si>
  <si>
    <t>SELECT 348, 421, 4 UNION ALL</t>
  </si>
  <si>
    <t>SELECT 349, 422, 4 UNION ALL</t>
  </si>
  <si>
    <t>SELECT 350, 423, 4 UNION ALL</t>
  </si>
  <si>
    <t>SELECT 351, 424, 4 UNION ALL</t>
  </si>
  <si>
    <t>SELECT 352, 425, 4 UNION ALL</t>
  </si>
  <si>
    <t>SELECT 353, 426, 4 UNION ALL</t>
  </si>
  <si>
    <t>SELECT 354, 427, 4 UNION ALL</t>
  </si>
  <si>
    <t>SELECT 355, 428, 4 UNION ALL</t>
  </si>
  <si>
    <t>SELECT 356, 429, 4 UNION ALL</t>
  </si>
  <si>
    <t>SELECT 357, 430, 4 UNION ALL</t>
  </si>
  <si>
    <t>SELECT 358, 431, 4 UNION ALL</t>
  </si>
  <si>
    <t>SELECT 359, 432, 4 UNION ALL</t>
  </si>
  <si>
    <t>SELECT 360, 433, 4 UNION ALL</t>
  </si>
  <si>
    <t>SELECT 361, 434, 4 UNION ALL</t>
  </si>
  <si>
    <t>SELECT 362, 435, 4 UNION ALL</t>
  </si>
  <si>
    <t>SELECT 363, 436, 6 UNION ALL</t>
  </si>
  <si>
    <t>SELECT 364, 437, 6 UNION ALL</t>
  </si>
  <si>
    <t>SELECT 365, 438, 6 UNION ALL</t>
  </si>
  <si>
    <t>SELECT 366, 439, 6 UNION ALL</t>
  </si>
  <si>
    <t>SELECT 367, 440, 6 UNION ALL</t>
  </si>
  <si>
    <t>SELECT 368, 441, 6 UNION ALL</t>
  </si>
  <si>
    <t>SELECT 369, 442, 6 UNION ALL</t>
  </si>
  <si>
    <t>SELECT 370, 443, 6 UNION ALL</t>
  </si>
  <si>
    <t>SELECT 371, 444, 6 UNION ALL</t>
  </si>
  <si>
    <t>SELECT 372, 445, 8 UNION ALL</t>
  </si>
  <si>
    <t>SELECT 373, 446, 8 UNION ALL</t>
  </si>
  <si>
    <t>SELECT 374, 447, 4 UNION ALL</t>
  </si>
  <si>
    <t>SELECT 375, 448, 5 UNION ALL</t>
  </si>
  <si>
    <t>SELECT 376, 449, 5 UNION ALL</t>
  </si>
  <si>
    <t>SELECT 377, 450, 7 UNION ALL</t>
  </si>
  <si>
    <t>SELECT 378, 451, 7 UNION ALL</t>
  </si>
  <si>
    <t>SELECT 379, 452, 7 UNION ALL</t>
  </si>
  <si>
    <t>SELECT 380, 453, 7 UNION ALL</t>
  </si>
  <si>
    <t>SELECT 381, 454, 7 UNION ALL</t>
  </si>
  <si>
    <t>SELECT 382, 455, 7 UNION ALL</t>
  </si>
  <si>
    <t>SELECT 383, 456, 7 UNION ALL</t>
  </si>
  <si>
    <t>SELECT 384, 457, 7 UNION ALL</t>
  </si>
  <si>
    <t>SELECT 385, 458, 7 UNION ALL</t>
  </si>
  <si>
    <t>SELECT 386, 459, 7 UNION ALL</t>
  </si>
  <si>
    <t>SELECT 387, 460, 7 UNION ALL</t>
  </si>
  <si>
    <t>SELECT 388, 461, 7 UNION ALL</t>
  </si>
  <si>
    <t>SELECT 389, 462, 7 UNION ALL</t>
  </si>
  <si>
    <t>SELECT 390, 463, 7 UNION ALL</t>
  </si>
  <si>
    <t>SELECT 391, 464, 7 UNION ALL</t>
  </si>
  <si>
    <t>SELECT 392, 465, 7 UNION ALL</t>
  </si>
  <si>
    <t>SELECT 393, 466, 9 UNION ALL</t>
  </si>
  <si>
    <t>SELECT 394, 468, 8 UNION ALL</t>
  </si>
  <si>
    <t>SELECT 395, 469, 8 UNION ALL</t>
  </si>
  <si>
    <t>SELECT 396, 470, 8 UNION ALL</t>
  </si>
  <si>
    <t>SELECT 397, 471, 8 UNION ALL</t>
  </si>
  <si>
    <t>SELECT 398, 472, 8 UNION ALL</t>
  </si>
  <si>
    <t>SELECT 399, 473, 8 UNION ALL</t>
  </si>
  <si>
    <t>SELECT 400, 474, 8 UNION ALL</t>
  </si>
  <si>
    <t>SELECT 401, 475, 8 UNION ALL</t>
  </si>
  <si>
    <t>SELECT 402, 476, 8 UNION ALL</t>
  </si>
  <si>
    <t>SELECT 409, 490, 62 UNION ALL</t>
  </si>
  <si>
    <t>SELECT 410, 492, 78 UNION ALL</t>
  </si>
  <si>
    <t>SELECT 411, 493, 78 UNION ALL</t>
  </si>
  <si>
    <t>SELECT 412, 494, 28 UNION ALL</t>
  </si>
  <si>
    <t>SELECT 413, 495, 28 UNION ALL</t>
  </si>
  <si>
    <t>SELECT 414, 496, 28 UNION ALL</t>
  </si>
  <si>
    <t>SELECT 415, 497, 28 UNION ALL</t>
  </si>
  <si>
    <t>SELECT 416, 498, 28 UNION ALL</t>
  </si>
  <si>
    <t>SELECT 417, 499, 28 UNION ALL</t>
  </si>
  <si>
    <t>SELECT 420, 507, 71 UNION ALL</t>
  </si>
  <si>
    <t>SELECT 421, 508, 71 UNION ALL</t>
  </si>
  <si>
    <t>SELECT 424, 528, 63 UNION ALL</t>
  </si>
  <si>
    <t>SELECT 427, 530, 63 UNION ALL</t>
  </si>
  <si>
    <t>SELECT 428, 531, 60 UNION ALL</t>
  </si>
  <si>
    <t>SELECT 429, 538, 77 UNION ALL</t>
  </si>
  <si>
    <t>SELECT 430, 539, 77 UNION ALL</t>
  </si>
  <si>
    <t>SELECT 431, 540, 77 UNION ALL</t>
  </si>
  <si>
    <t>SELECT 438, 555, 77 UNION ALL</t>
  </si>
  <si>
    <t>SELECT 439, 556, 67 UNION ALL</t>
  </si>
  <si>
    <t>SELECT 8, 11, 4 UNION ALL</t>
  </si>
  <si>
    <t>SELECT 12, 14, 4 UNION ALL</t>
  </si>
  <si>
    <t>SELECT 15, 16, 4 UNION ALL</t>
  </si>
  <si>
    <t>SELECT 22, 22, 4 UNION ALL</t>
  </si>
  <si>
    <t>SELECT 31, 30, 4 UNION ALL</t>
  </si>
  <si>
    <t>SELECT 33, 31, 4 UNION ALL</t>
  </si>
  <si>
    <t>SELECT 41, 38, 4 UNION ALL</t>
  </si>
  <si>
    <t>SELECT 56, 52, 4 UNION ALL</t>
  </si>
  <si>
    <t>SELECT 98, 117, 8 UNION ALL</t>
  </si>
  <si>
    <t>SELECT 110, 129, 8 UNION ALL</t>
  </si>
  <si>
    <t>SELECT 114, 132, 9 UNION ALL</t>
  </si>
  <si>
    <t>SELECT 116, 133, 9 UNION ALL</t>
  </si>
  <si>
    <t>SELECT 118, 134, 9 UNION ALL</t>
  </si>
  <si>
    <t>SELECT 154, 170, 7 UNION ALL</t>
  </si>
  <si>
    <t>SELECT 162, 178, 7 UNION ALL</t>
  </si>
  <si>
    <t>SELECT 164, 180, 7 UNION ALL</t>
  </si>
  <si>
    <t>SELECT 169, 184, 5 UNION ALL</t>
  </si>
  <si>
    <t>SELECT 171, 185, 5 UNION ALL</t>
  </si>
  <si>
    <t>SELECT 173, 186, 5 UNION ALL</t>
  </si>
  <si>
    <t>SELECT 180, 193, 5 UNION ALL</t>
  </si>
  <si>
    <t>SELECT 186, 198, 5 UNION ALL</t>
  </si>
  <si>
    <t>SELECT 277, 288, 22 UNION ALL</t>
  </si>
  <si>
    <t>SELECT 299, 320, 60 UNION ALL</t>
  </si>
  <si>
    <t>SELECT 304, 345, 62 UNION ALL</t>
  </si>
  <si>
    <t>SELECT 403, 487, 62 UNION ALL</t>
  </si>
  <si>
    <t>SELECT 405, 488, 62 UNION ALL</t>
  </si>
  <si>
    <t>SELECT 407, 489, 62 UNION ALL</t>
  </si>
  <si>
    <t>SELECT 418, 504, 72 UNION ALL</t>
  </si>
  <si>
    <t>SELECT 419, 505, 72 UNION ALL</t>
  </si>
  <si>
    <t>SELECT 422, 519, 63 UNION ALL</t>
  </si>
  <si>
    <t>SELECT 425, 529, 62 UNION ALL</t>
  </si>
  <si>
    <t>SELECT 432, 543, 72 UNION ALL</t>
  </si>
  <si>
    <t>SELECT 433, 544, 72 UNION ALL</t>
  </si>
  <si>
    <t>SELECT 434, 545, 72 UNION ALL</t>
  </si>
  <si>
    <t>SELECT 435, 547, 72 UNION ALL</t>
  </si>
  <si>
    <t>SELECT 436, 550, 72 UNION ALL</t>
  </si>
  <si>
    <t>SELECT 437, 554, 72 UNION ALL</t>
  </si>
  <si>
    <t>SELECT 440, 558, 72 UNION ALL</t>
  </si>
  <si>
    <t>SELECT 442, 559, 72 UNION ALL</t>
  </si>
  <si>
    <t>SELECT 444, 560, 72 UNION ALL</t>
  </si>
  <si>
    <t>SELECT 446, 561, 72 UNION ALL</t>
  </si>
  <si>
    <t>SELECT 448, 576, 80 UNION ALL</t>
  </si>
  <si>
    <t>SELECT 449, 577, 80 UNION ALL</t>
  </si>
  <si>
    <t>SELECT 450, 579, 65 UNION ALL</t>
  </si>
  <si>
    <t>SELECT 451, 580, 67 UNION ALL</t>
  </si>
  <si>
    <t>SELECT 452, 587, 21 UNION ALL</t>
  </si>
  <si>
    <t>SELECT 453, 588, 20 UNION ALL</t>
  </si>
  <si>
    <t>SELECT 454, 589, 21 UNION ALL</t>
  </si>
  <si>
    <t>SELECT 455, 590, 21 UNION ALL</t>
  </si>
  <si>
    <t>SELECT 456, 591, 21 UNION ALL</t>
  </si>
  <si>
    <t>SELECT 457, 592, 22 UNION ALL</t>
  </si>
  <si>
    <t>SELECT 458, 593, 22 UNION ALL</t>
  </si>
  <si>
    <t>SELECT 459, 594, 77 UNION ALL</t>
  </si>
  <si>
    <t>SELECT 460, 595, 77 UNION ALL</t>
  </si>
  <si>
    <t>SELECT 461, 596, 77 UNION ALL</t>
  </si>
  <si>
    <t>SELECT 462, 599, 75 UNION ALL</t>
  </si>
  <si>
    <t>SELECT 463, 616, 74 UNION ALL</t>
  </si>
  <si>
    <t>SELECT 464, 617, 77 UNION ALL</t>
  </si>
  <si>
    <t>SELECT 465, 619, 77 UNION ALL</t>
  </si>
  <si>
    <t>SELECT 466, 620, 77 UNION ALL</t>
  </si>
  <si>
    <t>SELECT 467, 621, 72 UNION ALL</t>
  </si>
  <si>
    <t>SELECT 468, 622, 73 UNION ALL</t>
  </si>
  <si>
    <t>SELECT 469, 623, 73 UNION ALL</t>
  </si>
  <si>
    <t>SELECT 470, 627, 63 UNION ALL</t>
  </si>
  <si>
    <t>SELECT 471, 628, 63 UNION ALL</t>
  </si>
  <si>
    <t>SELECT 472, 629, 75 UNION ALL</t>
  </si>
  <si>
    <t>SELECT 473, 630, 75 UNION ALL</t>
  </si>
  <si>
    <t>SELECT 474, 631, 75 UNION ALL</t>
  </si>
  <si>
    <t>SELECT 475, 632, 75 UNION ALL</t>
  </si>
  <si>
    <t>SELECT 476, 633, 75 UNION ALL</t>
  </si>
  <si>
    <t>SELECT 477, 634, 75 UNION ALL</t>
  </si>
  <si>
    <t>SELECT 478, 635, 75 UNION ALL</t>
  </si>
  <si>
    <t>SELECT 479, 636, 75 UNION ALL</t>
  </si>
  <si>
    <t>SELECT 480, 637, 75 UNION ALL</t>
  </si>
  <si>
    <t>SELECT 481, 638, 75 UNION ALL</t>
  </si>
  <si>
    <t>SELECT 482, 639, 75 UNION ALL</t>
  </si>
  <si>
    <t>SELECT 483, 640, 75 UNION ALL</t>
  </si>
  <si>
    <t>SELECT 484, 641, 75 UNION ALL</t>
  </si>
  <si>
    <t>SELECT 485, 642, 75 UNION ALL</t>
  </si>
  <si>
    <t>SELECT 486, 643, 75 UNION ALL</t>
  </si>
  <si>
    <t>SELECT 487, 644, 75 UNION ALL</t>
  </si>
  <si>
    <t>SELECT 488, 645, 75 UNION ALL</t>
  </si>
  <si>
    <t>SELECT 489, 646, 75 UNION ALL</t>
  </si>
  <si>
    <t>SELECT 490, 647, 75 UNION ALL</t>
  </si>
  <si>
    <t>SELECT 491, 648, 75 UNION ALL</t>
  </si>
  <si>
    <t>SELECT 492, 649, 75 UNION ALL</t>
  </si>
  <si>
    <t>SELECT 493, 650, 75 UNION ALL</t>
  </si>
  <si>
    <t>SELECT 494, 651, 75 UNION ALL</t>
  </si>
  <si>
    <t>SELECT 495, 652, 75 UNION ALL</t>
  </si>
  <si>
    <t>SELECT 496, 653, 75 UNION ALL</t>
  </si>
  <si>
    <t>SELECT 497, 654, 75 UNION ALL</t>
  </si>
  <si>
    <t>SELECT 498, 655, 75 UNION ALL</t>
  </si>
  <si>
    <t>SELECT 499, 656, 75 UNION ALL</t>
  </si>
  <si>
    <t>SELECT 500, 657, 75 UNION ALL</t>
  </si>
  <si>
    <t>SELECT 501, 658, 75 UNION ALL</t>
  </si>
  <si>
    <t>SELECT 502, 659, 75 UNION ALL</t>
  </si>
  <si>
    <t>SELECT 503, 660, 75 UNION ALL</t>
  </si>
  <si>
    <t/>
  </si>
  <si>
    <t>SELECT 9, 11, 8 UNION ALL</t>
  </si>
  <si>
    <t>SELECT 13, 14, 8 UNION ALL</t>
  </si>
  <si>
    <t>SELECT 16, 16, 8 UNION ALL</t>
  </si>
  <si>
    <t>SELECT 23, 22, 42 UNION ALL</t>
  </si>
  <si>
    <t>SELECT 32, 30, 42 UNION ALL</t>
  </si>
  <si>
    <t>SELECT 34, 31, 42 UNION ALL</t>
  </si>
  <si>
    <t>SELECT 42, 38, 42 UNION ALL</t>
  </si>
  <si>
    <t>SELECT 57, 52, 8 UNION ALL</t>
  </si>
  <si>
    <t>SELECT 99, 117, 42 UNION ALL</t>
  </si>
  <si>
    <t>SELECT 111, 129, 42 UNION ALL</t>
  </si>
  <si>
    <t>SELECT 115, 132, 42 UNION ALL</t>
  </si>
  <si>
    <t>SELECT 117, 133, 42 UNION ALL</t>
  </si>
  <si>
    <t>SELECT 119, 134, 42 UNION ALL</t>
  </si>
  <si>
    <t>SELECT 155, 170, 42 UNION ALL</t>
  </si>
  <si>
    <t>SELECT 163, 178, 42 UNION ALL</t>
  </si>
  <si>
    <t>SELECT 165, 180, 42 UNION ALL</t>
  </si>
  <si>
    <t>SELECT 170, 184, 42 UNION ALL</t>
  </si>
  <si>
    <t>SELECT 172, 185, 42 UNION ALL</t>
  </si>
  <si>
    <t>SELECT 174, 186, 42 UNION ALL</t>
  </si>
  <si>
    <t>SELECT 181, 193, 42 UNION ALL</t>
  </si>
  <si>
    <t>SELECT 187, 198, 42 UNION ALL</t>
  </si>
  <si>
    <t>SELECT 278, 288, 23 UNION ALL</t>
  </si>
  <si>
    <t>SELECT 300, 320, 72 UNION ALL</t>
  </si>
  <si>
    <t>SELECT 305, 345, 64 UNION ALL</t>
  </si>
  <si>
    <t>SELECT 404, 487, 64 UNION ALL</t>
  </si>
  <si>
    <t>SELECT 406, 488, 64 UNION ALL</t>
  </si>
  <si>
    <t>SELECT 408, 489, 64 UNION ALL</t>
  </si>
  <si>
    <t>SELECT 423, 519, 63 UNION ALL</t>
  </si>
  <si>
    <t>SELECT 426, 529, 64 UNION ALL</t>
  </si>
  <si>
    <t>SELECT 441, 558, 56 UNION ALL</t>
  </si>
  <si>
    <t>SELECT 443, 559, 58 UNION ALL</t>
  </si>
  <si>
    <t>SELECT 445, 560, 58 UNION ALL</t>
  </si>
  <si>
    <t>SELECT 447, 561, 58 UNION ALL</t>
  </si>
  <si>
    <t>SELECT 1, 1, 1, 2 UNION ALL</t>
  </si>
  <si>
    <t>SELECT 2, 1, 2, 4 UNION ALL</t>
  </si>
  <si>
    <t>SELECT 3, 1, 3, 14 UNION ALL</t>
  </si>
  <si>
    <t>SELECT 4, 1, 7, 15 UNION ALL</t>
  </si>
  <si>
    <t>SELECT 5, 3, 1, 1 UNION ALL</t>
  </si>
  <si>
    <t>SELECT 6, 3, 2, 6 UNION ALL</t>
  </si>
  <si>
    <t>SELECT 7, 3, 3, 14 UNION ALL</t>
  </si>
  <si>
    <t>SELECT 8, 3, 7, 16 UNION ALL</t>
  </si>
  <si>
    <t>SELECT 9, 11, 1, 1 UNION ALL</t>
  </si>
  <si>
    <t>SELECT 10, 11, 2, 5 UNION ALL</t>
  </si>
  <si>
    <t>SELECT 11, 11, 3, 14 UNION ALL</t>
  </si>
  <si>
    <t>SELECT 12, 11, 7, 15 UNION ALL</t>
  </si>
  <si>
    <t>SELECT 13, 15, 1, 2 UNION ALL</t>
  </si>
  <si>
    <t>SELECT 14, 15, 2, 4 UNION ALL</t>
  </si>
  <si>
    <t>SELECT 15, 15, 3, 14 UNION ALL</t>
  </si>
  <si>
    <t>SELECT 16, 15, 7, 15 UNION ALL</t>
  </si>
  <si>
    <t>SELECT 17, 19, 1, 2 UNION ALL</t>
  </si>
  <si>
    <t>SELECT 18, 19, 2, 4 UNION ALL</t>
  </si>
  <si>
    <t>SELECT 19, 19, 3, 14 UNION ALL</t>
  </si>
  <si>
    <t>SELECT 20, 19, 7, 15 UNION ALL</t>
  </si>
  <si>
    <t>SELECT 21, 23, 1, 1 UNION ALL</t>
  </si>
  <si>
    <t>SELECT 22, 23, 2, 5 UNION ALL</t>
  </si>
  <si>
    <t>SELECT 23, 23, 3, 14 UNION ALL</t>
  </si>
  <si>
    <t>SELECT 24, 23, 7, 15 UNION ALL</t>
  </si>
  <si>
    <t>SELECT 25, 27, 1, 2 UNION ALL</t>
  </si>
  <si>
    <t>SELECT 26, 27, 2, 4 UNION ALL</t>
  </si>
  <si>
    <t>SELECT 27, 27, 3, 14 UNION ALL</t>
  </si>
  <si>
    <t>SELECT 28, 27, 7, 15 UNION ALL</t>
  </si>
  <si>
    <t>SELECT 29, 31, 1, 2 UNION ALL</t>
  </si>
  <si>
    <t>SELECT 30, 31, 2, 4 UNION ALL</t>
  </si>
  <si>
    <t>SELECT 31, 31, 3, 14 UNION ALL</t>
  </si>
  <si>
    <t>SELECT 32, 31, 7, 15 UNION ALL</t>
  </si>
  <si>
    <t>SELECT 33, 35, 1, 2 UNION ALL</t>
  </si>
  <si>
    <t>SELECT 34, 35, 2, 4 UNION ALL</t>
  </si>
  <si>
    <t>SELECT 35, 35, 3, 14 UNION ALL</t>
  </si>
  <si>
    <t>SELECT 36, 35, 7, 15 UNION ALL</t>
  </si>
  <si>
    <t>SELECT 37, 40, 1, 2 UNION ALL</t>
  </si>
  <si>
    <t>SELECT 38, 40, 2, 4 UNION ALL</t>
  </si>
  <si>
    <t>SELECT 39, 40, 3, 14 UNION ALL</t>
  </si>
  <si>
    <t>SELECT 40, 40, 7, 15 UNION ALL</t>
  </si>
  <si>
    <t>SELECT 41, 41, 1, 2 UNION ALL</t>
  </si>
  <si>
    <t>SELECT 42, 41, 2, 4 UNION ALL</t>
  </si>
  <si>
    <t>SELECT 43, 41, 3, 14 UNION ALL</t>
  </si>
  <si>
    <t>SELECT 44, 41, 7, 15 UNION ALL</t>
  </si>
  <si>
    <t>SELECT 45, 42, 1, 2 UNION ALL</t>
  </si>
  <si>
    <t>SELECT 46, 42, 2, 4 UNION ALL</t>
  </si>
  <si>
    <t>SELECT 47, 42, 3, 14 UNION ALL</t>
  </si>
  <si>
    <t>SELECT 48, 42, 7, 15 UNION ALL</t>
  </si>
  <si>
    <t>SELECT 49, 43, 1, 1 UNION ALL</t>
  </si>
  <si>
    <t>SELECT 50, 43, 2, 4 UNION ALL</t>
  </si>
  <si>
    <t>SELECT 51, 43, 3, 14 UNION ALL</t>
  </si>
  <si>
    <t>SELECT 52, 43, 7, 15 UNION ALL</t>
  </si>
  <si>
    <t>SELECT 53, 44, 1, 2 UNION ALL</t>
  </si>
  <si>
    <t>SELECT 54, 44, 2, 4 UNION ALL</t>
  </si>
  <si>
    <t>SELECT 55, 44, 3, 14 UNION ALL</t>
  </si>
  <si>
    <t>SELECT 56, 44, 7, 15 UNION ALL</t>
  </si>
  <si>
    <t>SELECT 57, 45, 1, 2 UNION ALL</t>
  </si>
  <si>
    <t>SELECT 58, 45, 2, 4 UNION ALL</t>
  </si>
  <si>
    <t>SELECT 59, 45, 3, 14 UNION ALL</t>
  </si>
  <si>
    <t>SELECT 60, 45, 7, 15 UNION ALL</t>
  </si>
  <si>
    <t>SELECT 61, 46, 1, 2 UNION ALL</t>
  </si>
  <si>
    <t>SELECT 62, 46, 2, 4 UNION ALL</t>
  </si>
  <si>
    <t>SELECT 63, 46, 3, 14 UNION ALL</t>
  </si>
  <si>
    <t>SELECT 64, 46, 7, 15 UNION ALL</t>
  </si>
  <si>
    <t>SELECT 65, 47, 1, 2 UNION ALL</t>
  </si>
  <si>
    <t>SELECT 66, 47, 2, 4 UNION ALL</t>
  </si>
  <si>
    <t>SELECT 67, 47, 3, 14 UNION ALL</t>
  </si>
  <si>
    <t>SELECT 68, 47, 7, 15 UNION ALL</t>
  </si>
  <si>
    <t>SELECT 69, 48, 1, 2 UNION ALL</t>
  </si>
  <si>
    <t>SELECT 70, 48, 2, 4 UNION ALL</t>
  </si>
  <si>
    <t>SELECT 71, 48, 3, 14 UNION ALL</t>
  </si>
  <si>
    <t>SELECT 72, 48, 7, 15 UNION ALL</t>
  </si>
  <si>
    <t>SELECT 73, 49, 1, 1 UNION ALL</t>
  </si>
  <si>
    <t>SELECT 74, 49, 2, 4 UNION ALL</t>
  </si>
  <si>
    <t>SELECT 75, 49, 3, 14 UNION ALL</t>
  </si>
  <si>
    <t>SELECT 76, 49, 7, 15 UNION ALL</t>
  </si>
  <si>
    <t>SELECT 77, 50, 1, 1 UNION ALL</t>
  </si>
  <si>
    <t>SELECT 78, 50, 2, 5 UNION ALL</t>
  </si>
  <si>
    <t>SELECT 79, 50, 3, 14 UNION ALL</t>
  </si>
  <si>
    <t>SELECT 80, 50, 7, 15 UNION ALL</t>
  </si>
  <si>
    <t>SELECT 81, 51, 1, 2 UNION ALL</t>
  </si>
  <si>
    <t>SELECT 82, 51, 2, 4 UNION ALL</t>
  </si>
  <si>
    <t>SELECT 83, 51, 3, 14 UNION ALL</t>
  </si>
  <si>
    <t>SELECT 84, 51, 7, 15 UNION ALL</t>
  </si>
  <si>
    <t>SELECT 85, 52, 1, 2 UNION ALL</t>
  </si>
  <si>
    <t>SELECT 86, 52, 2, 4 UNION ALL</t>
  </si>
  <si>
    <t>SELECT 87, 52, 3, 14 UNION ALL</t>
  </si>
  <si>
    <t>SELECT 88, 52, 7, 15 UNION ALL</t>
  </si>
  <si>
    <t>SELECT 89, 53, 1, 2 UNION ALL</t>
  </si>
  <si>
    <t>SELECT 90, 53, 2, 4 UNION ALL</t>
  </si>
  <si>
    <t>SELECT 91, 53, 3, 14 UNION ALL</t>
  </si>
  <si>
    <t>SELECT 92, 53, 7, 15 UNION ALL</t>
  </si>
  <si>
    <t>SELECT 93, 54, 1, 2 UNION ALL</t>
  </si>
  <si>
    <t>SELECT 94, 54, 2, 4 UNION ALL</t>
  </si>
  <si>
    <t>SELECT 95, 54, 3, 14 UNION ALL</t>
  </si>
  <si>
    <t>SELECT 96, 54, 7, 15 UNION ALL</t>
  </si>
  <si>
    <t>SELECT 97, 55, 1, 2 UNION ALL</t>
  </si>
  <si>
    <t>SELECT 98, 55, 2, 4 UNION ALL</t>
  </si>
  <si>
    <t>SELECT 99, 55, 3, 14 UNION ALL</t>
  </si>
  <si>
    <t>SELECT 100, 55, 7, 15 UNION ALL</t>
  </si>
  <si>
    <t>SELECT 101, 56, 1, 1 UNION ALL</t>
  </si>
  <si>
    <t>SELECT 102, 56, 2, 5 UNION ALL</t>
  </si>
  <si>
    <t>SELECT 103, 56, 3, 14 UNION ALL</t>
  </si>
  <si>
    <t>SELECT 104, 56, 7, 15 UNION ALL</t>
  </si>
  <si>
    <t>SELECT 105, 57, 1, 2 UNION ALL</t>
  </si>
  <si>
    <t>SELECT 106, 57, 2, 4 UNION ALL</t>
  </si>
  <si>
    <t>SELECT 107, 57, 3, 14 UNION ALL</t>
  </si>
  <si>
    <t>SELECT 108, 57, 7, 15 UNION ALL</t>
  </si>
  <si>
    <t>SELECT 109, 58, 1, 2 UNION ALL</t>
  </si>
  <si>
    <t>SELECT 110, 58, 2, 4 UNION ALL</t>
  </si>
  <si>
    <t>SELECT 111, 58, 3, 14 UNION ALL</t>
  </si>
  <si>
    <t>SELECT 112, 58, 7, 15 UNION ALL</t>
  </si>
  <si>
    <t>SELECT 113, 59, 1, 1 UNION ALL</t>
  </si>
  <si>
    <t>SELECT 114, 59, 2, 4 UNION ALL</t>
  </si>
  <si>
    <t>SELECT 115, 59, 3, 14 UNION ALL</t>
  </si>
  <si>
    <t>SELECT 116, 59, 7, 15 UNION ALL</t>
  </si>
  <si>
    <t>SELECT 117, 60, 1, 2 UNION ALL</t>
  </si>
  <si>
    <t>SELECT 118, 60, 2, 4 UNION ALL</t>
  </si>
  <si>
    <t>SELECT 119, 60, 3, 14 UNION ALL</t>
  </si>
  <si>
    <t>SELECT 120, 60, 7, 15 UNION ALL</t>
  </si>
  <si>
    <t>SELECT 121, 61, 1, 1 UNION ALL</t>
  </si>
  <si>
    <t>SELECT 122, 61, 2, 4 UNION ALL</t>
  </si>
  <si>
    <t>SELECT 123, 61, 3, 14 UNION ALL</t>
  </si>
  <si>
    <t>SELECT 124, 61, 7, 15 UNION ALL</t>
  </si>
  <si>
    <t>SELECT 125, 62, 1, 2 UNION ALL</t>
  </si>
  <si>
    <t>SELECT 126, 62, 2, 4 UNION ALL</t>
  </si>
  <si>
    <t>SELECT 127, 62, 3, 14 UNION ALL</t>
  </si>
  <si>
    <t>SELECT 128, 62, 7, 15 UNION ALL</t>
  </si>
  <si>
    <t>SELECT 129, 63, 1, 1 UNION ALL</t>
  </si>
  <si>
    <t>SELECT 130, 63, 2, 4 UNION ALL</t>
  </si>
  <si>
    <t>SELECT 131, 63, 3, 14 UNION ALL</t>
  </si>
  <si>
    <t>SELECT 132, 63, 7, 15 UNION ALL</t>
  </si>
  <si>
    <t>SELECT 133, 64, 1, 2 UNION ALL</t>
  </si>
  <si>
    <t>SELECT 134, 64, 2, 4 UNION ALL</t>
  </si>
  <si>
    <t>SELECT 135, 64, 3, 14 UNION ALL</t>
  </si>
  <si>
    <t>SELECT 136, 64, 7, 15 UNION ALL</t>
  </si>
  <si>
    <t>SELECT 137, 65, 1, 2 UNION ALL</t>
  </si>
  <si>
    <t>SELECT 138, 65, 2, 4 UNION ALL</t>
  </si>
  <si>
    <t>SELECT 139, 65, 3, 14 UNION ALL</t>
  </si>
  <si>
    <t>SELECT 140, 65, 7, 15 UNION ALL</t>
  </si>
  <si>
    <t>SELECT 141, 66, 1, 2 UNION ALL</t>
  </si>
  <si>
    <t>SELECT 142, 66, 2, 4 UNION ALL</t>
  </si>
  <si>
    <t>SELECT 143, 66, 3, 14 UNION ALL</t>
  </si>
  <si>
    <t>SELECT 144, 66, 7, 15 UNION ALL</t>
  </si>
  <si>
    <t>SELECT 145, 67, 1, 3 UNION ALL</t>
  </si>
  <si>
    <t>SELECT 146, 67, 2, 4 UNION ALL</t>
  </si>
  <si>
    <t>SELECT 147, 67, 3, 14 UNION ALL</t>
  </si>
  <si>
    <t>SELECT 148, 67, 7, 15 UNION ALL</t>
  </si>
  <si>
    <t>SELECT 149, 68, 1, 2 UNION ALL</t>
  </si>
  <si>
    <t>SELECT 150, 68, 2, 4 UNION ALL</t>
  </si>
  <si>
    <t>SELECT 151, 68, 3, 14 UNION ALL</t>
  </si>
  <si>
    <t>SELECT 152, 68, 7, 15 UNION ALL</t>
  </si>
  <si>
    <t>SELECT 153, 69, 1, 2 UNION ALL</t>
  </si>
  <si>
    <t>SELECT 154, 69, 2, 4 UNION ALL</t>
  </si>
  <si>
    <t>SELECT 155, 69, 3, 14 UNION ALL</t>
  </si>
  <si>
    <t>SELECT 156, 69, 7, 15 UNION ALL</t>
  </si>
  <si>
    <t>SELECT 157, 70, 1, 2 UNION ALL</t>
  </si>
  <si>
    <t>SELECT 158, 70, 2, 4 UNION ALL</t>
  </si>
  <si>
    <t>SELECT 159, 70, 3, 14 UNION ALL</t>
  </si>
  <si>
    <t>SELECT 160, 70, 7, 15 UNION ALL</t>
  </si>
  <si>
    <t>SELECT 161, 71, 1, 2 UNION ALL</t>
  </si>
  <si>
    <t>SELECT 162, 71, 2, 4 UNION ALL</t>
  </si>
  <si>
    <t>SELECT 163, 71, 3, 14 UNION ALL</t>
  </si>
  <si>
    <t>SELECT 164, 71, 7, 15 UNION ALL</t>
  </si>
  <si>
    <t>SELECT 165, 72, 1, 2 UNION ALL</t>
  </si>
  <si>
    <t>SELECT 166, 72, 2, 4 UNION ALL</t>
  </si>
  <si>
    <t>SELECT 167, 72, 3, 14 UNION ALL</t>
  </si>
  <si>
    <t>SELECT 168, 72, 7, 15 UNION ALL</t>
  </si>
  <si>
    <t>SELECT 169, 73, 1, 3 UNION ALL</t>
  </si>
  <si>
    <t>SELECT 170, 73, 2, 4 UNION ALL</t>
  </si>
  <si>
    <t>SELECT 171, 73, 3, 14 UNION ALL</t>
  </si>
  <si>
    <t>SELECT 172, 73, 7, 15 UNION ALL</t>
  </si>
  <si>
    <t>SELECT 173, 74, 1, 2 UNION ALL</t>
  </si>
  <si>
    <t>SELECT 174, 74, 2, 4 UNION ALL</t>
  </si>
  <si>
    <t>SELECT 175, 74, 3, 14 UNION ALL</t>
  </si>
  <si>
    <t>SELECT 176, 74, 7, 15 UNION ALL</t>
  </si>
  <si>
    <t>SELECT 177, 75, 1, 2 UNION ALL</t>
  </si>
  <si>
    <t>SELECT 178, 75, 2, 4 UNION ALL</t>
  </si>
  <si>
    <t>SELECT 179, 75, 3, 14 UNION ALL</t>
  </si>
  <si>
    <t>SELECT 180, 75, 7, 15 UNION ALL</t>
  </si>
  <si>
    <t>SELECT 181, 76, 1, 2 UNION ALL</t>
  </si>
  <si>
    <t>SELECT 182, 76, 2, 4 UNION ALL</t>
  </si>
  <si>
    <t>SELECT 183, 76, 3, 14 UNION ALL</t>
  </si>
  <si>
    <t>SELECT 184, 76, 7, 15 UNION ALL</t>
  </si>
  <si>
    <t>SELECT 185, 77, 1, 2 UNION ALL</t>
  </si>
  <si>
    <t>SELECT 186, 77, 2, 4 UNION ALL</t>
  </si>
  <si>
    <t>SELECT 187, 77, 3, 14 UNION ALL</t>
  </si>
  <si>
    <t>SELECT 188, 77, 7, 15 UNION ALL</t>
  </si>
  <si>
    <t>SELECT 189, 78, 1, 2 UNION ALL</t>
  </si>
  <si>
    <t>SELECT 190, 78, 2, 4 UNION ALL</t>
  </si>
  <si>
    <t>SELECT 191, 78, 3, 14 UNION ALL</t>
  </si>
  <si>
    <t>SELECT 192, 78, 7, 15 UNION ALL</t>
  </si>
  <si>
    <t>SELECT 193, 79, 1, 2 UNION ALL</t>
  </si>
  <si>
    <t>SELECT 194, 79, 2, 4 UNION ALL</t>
  </si>
  <si>
    <t>SELECT 195, 79, 3, 14 UNION ALL</t>
  </si>
  <si>
    <t>SELECT 196, 79, 7, 15 UNION ALL</t>
  </si>
  <si>
    <t>SELECT 197, 80, 1, 2 UNION ALL</t>
  </si>
  <si>
    <t>SELECT 198, 80, 2, 4 UNION ALL</t>
  </si>
  <si>
    <t>SELECT 199, 80, 3, 14 UNION ALL</t>
  </si>
  <si>
    <t>SELECT 200, 80, 7, 15 UNION ALL</t>
  </si>
  <si>
    <t>SELECT 201, 81, 1, 2 UNION ALL</t>
  </si>
  <si>
    <t>SELECT 202, 81, 2, 4 UNION ALL</t>
  </si>
  <si>
    <t>SELECT 203, 81, 3, 14 UNION ALL</t>
  </si>
  <si>
    <t>SELECT 204, 81, 7, 15 UNION ALL</t>
  </si>
  <si>
    <t>SELECT 205, 82, 1, 1 UNION ALL</t>
  </si>
  <si>
    <t>SELECT 206, 82, 2, 4 UNION ALL</t>
  </si>
  <si>
    <t>SELECT 207, 82, 3, 14 UNION ALL</t>
  </si>
  <si>
    <t>SELECT 208, 82, 7, 15 UNION ALL</t>
  </si>
  <si>
    <t>SELECT 209, 83, 1, 2 UNION ALL</t>
  </si>
  <si>
    <t>SELECT 210, 83, 2, 4 UNION ALL</t>
  </si>
  <si>
    <t>SELECT 211, 83, 3, 14 UNION ALL</t>
  </si>
  <si>
    <t>SELECT 212, 83, 7, 15 UNION ALL</t>
  </si>
  <si>
    <t>SELECT 213, 219, 1, 2 UNION ALL</t>
  </si>
  <si>
    <t>SELECT 214, 219, 2, 4 UNION ALL</t>
  </si>
  <si>
    <t>SELECT 215, 219, 3, 14 UNION ALL</t>
  </si>
  <si>
    <t>SELECT 216, 219, 7, 15 UNION ALL</t>
  </si>
  <si>
    <t>SELECT 217, 223, 1, 2 UNION ALL</t>
  </si>
  <si>
    <t>SELECT 218, 223, 2, 4 UNION ALL</t>
  </si>
  <si>
    <t>SELECT 219, 223, 3, 14 UNION ALL</t>
  </si>
  <si>
    <t>SELECT 220, 223, 7, 15 UNION ALL</t>
  </si>
  <si>
    <t>SELECT 221, 227, 1, 1 UNION ALL</t>
  </si>
  <si>
    <t>SELECT 222, 227, 2, 4 UNION ALL</t>
  </si>
  <si>
    <t>SELECT 223, 227, 3, 14 UNION ALL</t>
  </si>
  <si>
    <t>SELECT 224, 227, 7, 15 UNION ALL</t>
  </si>
  <si>
    <t>SELECT 225, 228, 1, 1 UNION ALL</t>
  </si>
  <si>
    <t>SELECT 226, 228, 2, 4 UNION ALL</t>
  </si>
  <si>
    <t>SELECT 227, 228, 3, 14 UNION ALL</t>
  </si>
  <si>
    <t>SELECT 228, 228, 7, 15 UNION ALL</t>
  </si>
  <si>
    <t>SELECT 229, 235, 1, 1 UNION ALL</t>
  </si>
  <si>
    <t>SELECT 230, 235, 2, 4 UNION ALL</t>
  </si>
  <si>
    <t>SELECT 231, 235, 3, 14 UNION ALL</t>
  </si>
  <si>
    <t>SELECT 232, 235, 7, 15 UNION ALL</t>
  </si>
  <si>
    <t>SELECT 233, 239, 1, 2 UNION ALL</t>
  </si>
  <si>
    <t>SELECT 234, 239, 2, 4 UNION ALL</t>
  </si>
  <si>
    <t>SELECT 235, 239, 3, 14 UNION ALL</t>
  </si>
  <si>
    <t>SELECT 236, 239, 7, 15 UNION ALL</t>
  </si>
  <si>
    <t>SELECT 237, 243, 1, 2 UNION ALL</t>
  </si>
  <si>
    <t>SELECT 238, 243, 2, 4 UNION ALL</t>
  </si>
  <si>
    <t>SELECT 239, 243, 3, 14 UNION ALL</t>
  </si>
  <si>
    <t>SELECT 240, 243, 7, 15 UNION ALL</t>
  </si>
  <si>
    <t>SELECT 241, 247, 1, 3 UNION ALL</t>
  </si>
  <si>
    <t>SELECT 242, 247, 2, 4 UNION ALL</t>
  </si>
  <si>
    <t>SELECT 243, 247, 3, 14 UNION ALL</t>
  </si>
  <si>
    <t>SELECT 244, 247, 7, 15 UNION ALL</t>
  </si>
  <si>
    <t>SELECT 245, 251, 1, 2 UNION ALL</t>
  </si>
  <si>
    <t>SELECT 246, 251, 2, 4 UNION ALL</t>
  </si>
  <si>
    <t>SELECT 247, 251, 3, 14 UNION ALL</t>
  </si>
  <si>
    <t>SELECT 248, 251, 7, 15 UNION ALL</t>
  </si>
  <si>
    <t>SELECT 249, 255, 1, 3 UNION ALL</t>
  </si>
  <si>
    <t>SELECT 250, 255, 2, 4 UNION ALL</t>
  </si>
  <si>
    <t>SELECT 251, 255, 3, 14 UNION ALL</t>
  </si>
  <si>
    <t>SELECT 252, 255, 7, 15 UNION ALL</t>
  </si>
  <si>
    <t>SELECT 253, 259, 1, 1 UNION ALL</t>
  </si>
  <si>
    <t>SELECT 254, 259, 2, 5 UNION ALL</t>
  </si>
  <si>
    <t>SELECT 255, 259, 3, 14 UNION ALL</t>
  </si>
  <si>
    <t>SELECT 256, 259, 7, 15 UNION ALL</t>
  </si>
  <si>
    <t>SELECT 257, 261, 1, 2 UNION ALL</t>
  </si>
  <si>
    <t>SELECT 258, 261, 2, 4 UNION ALL</t>
  </si>
  <si>
    <t>SELECT 259, 261, 3, 14 UNION ALL</t>
  </si>
  <si>
    <t>SELECT 260, 261, 7, 15 UNION ALL</t>
  </si>
  <si>
    <t>SELECT 261, 263, 1, 1 UNION ALL</t>
  </si>
  <si>
    <t>SELECT 262, 263, 2, 5 UNION ALL</t>
  </si>
  <si>
    <t>SELECT 263, 263, 3, 14 UNION ALL</t>
  </si>
  <si>
    <t>SELECT 264, 263, 7, 15 UNION ALL</t>
  </si>
  <si>
    <t>SELECT 265, 266, 1, 2 UNION ALL</t>
  </si>
  <si>
    <t>SELECT 266, 266, 2, 4 UNION ALL</t>
  </si>
  <si>
    <t>SELECT 267, 266, 3, 14 UNION ALL</t>
  </si>
  <si>
    <t>SELECT 268, 266, 7, 15 UNION ALL</t>
  </si>
  <si>
    <t>SELECT 269, 277, 1, 1 UNION ALL</t>
  </si>
  <si>
    <t>SELECT 270, 277, 2, 5 UNION ALL</t>
  </si>
  <si>
    <t>SELECT 271, 277, 3, 14 UNION ALL</t>
  </si>
  <si>
    <t>SELECT 272, 277, 7, 15 UNION ALL</t>
  </si>
  <si>
    <t>SELECT 273, 287, 1, 3 UNION ALL</t>
  </si>
  <si>
    <t>SELECT 274, 287, 2, 4 UNION ALL</t>
  </si>
  <si>
    <t>SELECT 275, 287, 3, 14 UNION ALL</t>
  </si>
  <si>
    <t>SELECT 276, 287, 7, 15 UNION ALL</t>
  </si>
  <si>
    <t>SELECT 277, 288, 1, 2 UNION ALL</t>
  </si>
  <si>
    <t>SELECT 278, 288, 2, 4 UNION ALL</t>
  </si>
  <si>
    <t>SELECT 279, 288, 3, 14 UNION ALL</t>
  </si>
  <si>
    <t>SELECT 280, 288, 7, 15 UNION ALL</t>
  </si>
  <si>
    <t>SELECT 281, 290, 1, 1 UNION ALL</t>
  </si>
  <si>
    <t>SELECT 282, 290, 2, 4 UNION ALL</t>
  </si>
  <si>
    <t>SELECT 283, 290, 3, 14 UNION ALL</t>
  </si>
  <si>
    <t>SELECT 284, 290, 7, 15 UNION ALL</t>
  </si>
  <si>
    <t>SELECT 285, 292, 1, 1 UNION ALL</t>
  </si>
  <si>
    <t>SELECT 286, 292, 2, 4 UNION ALL</t>
  </si>
  <si>
    <t>SELECT 287, 292, 3, 14 UNION ALL</t>
  </si>
  <si>
    <t>SELECT 288, 292, 7, 15 UNION ALL</t>
  </si>
  <si>
    <t>SELECT 289, 294, 1, 2 UNION ALL</t>
  </si>
  <si>
    <t>SELECT 290, 294, 2, 4 UNION ALL</t>
  </si>
  <si>
    <t>SELECT 291, 294, 3, 14 UNION ALL</t>
  </si>
  <si>
    <t>SELECT 292, 294, 7, 15 UNION ALL</t>
  </si>
  <si>
    <t>SELECT 293, 296, 1, 2 UNION ALL</t>
  </si>
  <si>
    <t>SELECT 294, 296, 2, 4 UNION ALL</t>
  </si>
  <si>
    <t>SELECT 295, 296, 3, 14 UNION ALL</t>
  </si>
  <si>
    <t>SELECT 296, 296, 7, 15 UNION ALL</t>
  </si>
  <si>
    <t>SELECT 297, 298, 1, 2 UNION ALL</t>
  </si>
  <si>
    <t>SELECT 298, 298, 2, 4 UNION ALL</t>
  </si>
  <si>
    <t>SELECT 299, 298, 3, 14 UNION ALL</t>
  </si>
  <si>
    <t>SELECT 300, 298, 7, 15 UNION ALL</t>
  </si>
  <si>
    <t>SELECT 301, 300, 1, 1 UNION ALL</t>
  </si>
  <si>
    <t>SELECT 302, 300, 2, 4 UNION ALL</t>
  </si>
  <si>
    <t>SELECT 303, 300, 3, 14 UNION ALL</t>
  </si>
  <si>
    <t>SELECT 304, 300, 7, 15 UNION ALL</t>
  </si>
  <si>
    <t>SELECT 305, 302, 1, 1 UNION ALL</t>
  </si>
  <si>
    <t>SELECT 306, 302, 2, 4 UNION ALL</t>
  </si>
  <si>
    <t>SELECT 307, 302, 3, 14 UNION ALL</t>
  </si>
  <si>
    <t>SELECT 308, 302, 7, 15 UNION ALL</t>
  </si>
  <si>
    <t>SELECT 309, 304, 1, 1 UNION ALL</t>
  </si>
  <si>
    <t>SELECT 310, 304, 2, 5 UNION ALL</t>
  </si>
  <si>
    <t>SELECT 311, 304, 3, 14 UNION ALL</t>
  </si>
  <si>
    <t>SELECT 312, 304, 7, 15 UNION ALL</t>
  </si>
  <si>
    <t>SELECT 313, 307, 1, 1 UNION ALL</t>
  </si>
  <si>
    <t>SELECT 314, 307, 2, 4 UNION ALL</t>
  </si>
  <si>
    <t>SELECT 315, 307, 3, 14 UNION ALL</t>
  </si>
  <si>
    <t>SELECT 316, 307, 7, 15 UNION ALL</t>
  </si>
  <si>
    <t>SELECT 317, 309, 1, 2 UNION ALL</t>
  </si>
  <si>
    <t>SELECT 318, 309, 2, 4 UNION ALL</t>
  </si>
  <si>
    <t>SELECT 319, 309, 3, 14 UNION ALL</t>
  </si>
  <si>
    <t>SELECT 320, 309, 7, 15 UNION ALL</t>
  </si>
  <si>
    <t>SELECT 321, 311, 1, 1 UNION ALL</t>
  </si>
  <si>
    <t>SELECT 322, 311, 2, 4 UNION ALL</t>
  </si>
  <si>
    <t>SELECT 323, 311, 3, 14 UNION ALL</t>
  </si>
  <si>
    <t>SELECT 324, 311, 7, 15 UNION ALL</t>
  </si>
  <si>
    <t>SELECT 325, 312, 1, 2 UNION ALL</t>
  </si>
  <si>
    <t>SELECT 326, 312, 2, 4 UNION ALL</t>
  </si>
  <si>
    <t>SELECT 327, 312, 3, 14 UNION ALL</t>
  </si>
  <si>
    <t>SELECT 328, 312, 7, 15 UNION ALL</t>
  </si>
  <si>
    <t>SELECT 329, 313, 1, 2 UNION ALL</t>
  </si>
  <si>
    <t>SELECT 330, 313, 2, 4 UNION ALL</t>
  </si>
  <si>
    <t>SELECT 331, 313, 3, 14 UNION ALL</t>
  </si>
  <si>
    <t>SELECT 332, 313, 7, 15 UNION ALL</t>
  </si>
  <si>
    <t>SELECT 333, 314, 1, 2 UNION ALL</t>
  </si>
  <si>
    <t>SELECT 334, 314, 2, 4 UNION ALL</t>
  </si>
  <si>
    <t>SELECT 335, 314, 3, 14 UNION ALL</t>
  </si>
  <si>
    <t>SELECT 336, 314, 7, 15 UNION ALL</t>
  </si>
  <si>
    <t>SELECT 337, 315, 1, 1 UNION ALL</t>
  </si>
  <si>
    <t>SELECT 338, 315, 2, 4 UNION ALL</t>
  </si>
  <si>
    <t>SELECT 339, 315, 3, 14 UNION ALL</t>
  </si>
  <si>
    <t>SELECT 340, 315, 7, 15 UNION ALL</t>
  </si>
  <si>
    <t>SELECT 341, 317, 1, 2 UNION ALL</t>
  </si>
  <si>
    <t>SELECT 342, 317, 2, 4 UNION ALL</t>
  </si>
  <si>
    <t>SELECT 343, 317, 3, 14 UNION ALL</t>
  </si>
  <si>
    <t>SELECT 344, 317, 7, 15 UNION ALL</t>
  </si>
  <si>
    <t>SELECT 345, 319, 1, 2 UNION ALL</t>
  </si>
  <si>
    <t>SELECT 346, 319, 2, 4 UNION ALL</t>
  </si>
  <si>
    <t>SELECT 347, 319, 3, 14 UNION ALL</t>
  </si>
  <si>
    <t>SELECT 348, 319, 7, 15 UNION ALL</t>
  </si>
  <si>
    <t>SELECT 349, 321, 1, 2 UNION ALL</t>
  </si>
  <si>
    <t>SELECT 350, 321, 2, 4 UNION ALL</t>
  </si>
  <si>
    <t>SELECT 351, 321, 3, 14 UNION ALL</t>
  </si>
  <si>
    <t>SELECT 352, 321, 7, 15 UNION ALL</t>
  </si>
  <si>
    <t>SELECT 353, 322, 1, 2 UNION ALL</t>
  </si>
  <si>
    <t>SELECT 354, 322, 2, 4 UNION ALL</t>
  </si>
  <si>
    <t>SELECT 355, 322, 3, 14 UNION ALL</t>
  </si>
  <si>
    <t>SELECT 356, 322, 7, 15 UNION ALL</t>
  </si>
  <si>
    <t>SELECT 357, 323, 1, 2 UNION ALL</t>
  </si>
  <si>
    <t>SELECT 358, 323, 2, 4 UNION ALL</t>
  </si>
  <si>
    <t>SELECT 359, 323, 3, 14 UNION ALL</t>
  </si>
  <si>
    <t>SELECT 360, 323, 7, 15 UNION ALL</t>
  </si>
  <si>
    <t>SELECT 361, 324, 1, 2 UNION ALL</t>
  </si>
  <si>
    <t>SELECT 362, 324, 2, 4 UNION ALL</t>
  </si>
  <si>
    <t>SELECT 363, 324, 3, 14 UNION ALL</t>
  </si>
  <si>
    <t>SELECT 364, 324, 7, 15 UNION ALL</t>
  </si>
  <si>
    <t>SELECT 365, 325, 1, 2 UNION ALL</t>
  </si>
  <si>
    <t>SELECT 366, 325, 2, 4 UNION ALL</t>
  </si>
  <si>
    <t>SELECT 367, 325, 3, 14 UNION ALL</t>
  </si>
  <si>
    <t>SELECT 368, 325, 7, 15 UNION ALL</t>
  </si>
  <si>
    <t>SELECT 369, 326, 1, 3 UNION ALL</t>
  </si>
  <si>
    <t>SELECT 370, 326, 2, 4 UNION ALL</t>
  </si>
  <si>
    <t>SELECT 371, 326, 3, 14 UNION ALL</t>
  </si>
  <si>
    <t>SELECT 372, 326, 7, 15 UNION ALL</t>
  </si>
  <si>
    <t>SELECT 373, 327, 1, 3 UNION ALL</t>
  </si>
  <si>
    <t>SELECT 374, 327, 2, 4 UNION ALL</t>
  </si>
  <si>
    <t>SELECT 375, 327, 3, 14 UNION ALL</t>
  </si>
  <si>
    <t>SELECT 376, 327, 7, 15 UNION ALL</t>
  </si>
  <si>
    <t>SELECT 377, 328, 1, 3 UNION ALL</t>
  </si>
  <si>
    <t>SELECT 378, 328, 2, 4 UNION ALL</t>
  </si>
  <si>
    <t>SELECT 379, 328, 3, 14 UNION ALL</t>
  </si>
  <si>
    <t>SELECT 380, 328, 7, 15 UNION ALL</t>
  </si>
  <si>
    <t>SELECT 381, 329, 1, 2 UNION ALL</t>
  </si>
  <si>
    <t>SELECT 382, 329, 2, 4 UNION ALL</t>
  </si>
  <si>
    <t>SELECT 383, 329, 3, 14 UNION ALL</t>
  </si>
  <si>
    <t>SELECT 384, 329, 7, 15 UNION ALL</t>
  </si>
  <si>
    <t>SELECT 385, 330, 1, 2 UNION ALL</t>
  </si>
  <si>
    <t>SELECT 386, 330, 2, 4 UNION ALL</t>
  </si>
  <si>
    <t>SELECT 387, 330, 3, 14 UNION ALL</t>
  </si>
  <si>
    <t>SELECT 388, 330, 7, 15 UNION ALL</t>
  </si>
  <si>
    <t>SELECT 389, 331, 1, 2 UNION ALL</t>
  </si>
  <si>
    <t>SELECT 390, 331, 2, 4 UNION ALL</t>
  </si>
  <si>
    <t>SELECT 391, 331, 3, 14 UNION ALL</t>
  </si>
  <si>
    <t>SELECT 392, 331, 7, 15 UNION ALL</t>
  </si>
  <si>
    <t>SELECT 393, 332, 1, 2 UNION ALL</t>
  </si>
  <si>
    <t>SELECT 394, 332, 2, 4 UNION ALL</t>
  </si>
  <si>
    <t>SELECT 395, 332, 3, 14 UNION ALL</t>
  </si>
  <si>
    <t>SELECT 396, 332, 7, 15 UNION ALL</t>
  </si>
  <si>
    <t>SELECT 397, 333, 1, 2 UNION ALL</t>
  </si>
  <si>
    <t>SELECT 398, 333, 2, 4 UNION ALL</t>
  </si>
  <si>
    <t>SELECT 399, 333, 3, 14 UNION ALL</t>
  </si>
  <si>
    <t>SELECT 400, 333, 7, 15 UNION ALL</t>
  </si>
  <si>
    <t>SELECT 401, 334, 1, 2 UNION ALL</t>
  </si>
  <si>
    <t>SELECT 402, 334, 2, 4 UNION ALL</t>
  </si>
  <si>
    <t>SELECT 403, 334, 3, 14 UNION ALL</t>
  </si>
  <si>
    <t>SELECT 404, 334, 7, 15 UNION ALL</t>
  </si>
  <si>
    <t>SELECT 405, 335, 1, 1 UNION ALL</t>
  </si>
  <si>
    <t>SELECT 406, 335, 2, 4 UNION ALL</t>
  </si>
  <si>
    <t>SELECT 407, 335, 3, 14 UNION ALL</t>
  </si>
  <si>
    <t>SELECT 408, 335, 7, 15 UNION ALL</t>
  </si>
  <si>
    <t>SELECT 409, 336, 1, 1 UNION ALL</t>
  </si>
  <si>
    <t>SELECT 410, 336, 2, 4 UNION ALL</t>
  </si>
  <si>
    <t>SELECT 411, 336, 3, 14 UNION ALL</t>
  </si>
  <si>
    <t>SELECT 412, 336, 7, 15 UNION ALL</t>
  </si>
  <si>
    <t>SELECT 413, 337, 1, 1 UNION ALL</t>
  </si>
  <si>
    <t>SELECT 414, 337, 2, 4 UNION ALL</t>
  </si>
  <si>
    <t>SELECT 415, 337, 3, 14 UNION ALL</t>
  </si>
  <si>
    <t>SELECT 416, 337, 7, 15 UNION ALL</t>
  </si>
  <si>
    <t>SELECT 417, 338, 1, 1 UNION ALL</t>
  </si>
  <si>
    <t>SELECT 418, 338, 2, 4 UNION ALL</t>
  </si>
  <si>
    <t>SELECT 419, 338, 3, 14 UNION ALL</t>
  </si>
  <si>
    <t>SELECT 420, 338, 7, 15 UNION ALL</t>
  </si>
  <si>
    <t>SELECT 421, 339, 1, 1 UNION ALL</t>
  </si>
  <si>
    <t>SELECT 422, 339, 2, 4 UNION ALL</t>
  </si>
  <si>
    <t>SELECT 423, 339, 3, 14 UNION ALL</t>
  </si>
  <si>
    <t>SELECT 424, 339, 7, 15 UNION ALL</t>
  </si>
  <si>
    <t>SELECT 425, 340, 1, 1 UNION ALL</t>
  </si>
  <si>
    <t>SELECT 426, 340, 2, 4 UNION ALL</t>
  </si>
  <si>
    <t>SELECT 427, 340, 3, 14 UNION ALL</t>
  </si>
  <si>
    <t>SELECT 428, 340, 7, 15 UNION ALL</t>
  </si>
  <si>
    <t>SELECT 429, 341, 1, 1 UNION ALL</t>
  </si>
  <si>
    <t>SELECT 430, 341, 2, 4 UNION ALL</t>
  </si>
  <si>
    <t>SELECT 431, 341, 3, 14 UNION ALL</t>
  </si>
  <si>
    <t>SELECT 432, 341, 7, 15 UNION ALL</t>
  </si>
  <si>
    <t>SELECT 433, 342, 1, 1 UNION ALL</t>
  </si>
  <si>
    <t>SELECT 434, 342, 2, 4 UNION ALL</t>
  </si>
  <si>
    <t>SELECT 435, 342, 3, 14 UNION ALL</t>
  </si>
  <si>
    <t>SELECT 436, 342, 7, 15 UNION ALL</t>
  </si>
  <si>
    <t>SELECT 437, 343, 1, 1 UNION ALL</t>
  </si>
  <si>
    <t>SELECT 438, 343, 2, 4 UNION ALL</t>
  </si>
  <si>
    <t>SELECT 439, 343, 3, 14 UNION ALL</t>
  </si>
  <si>
    <t>SELECT 440, 343, 7, 15 UNION ALL</t>
  </si>
  <si>
    <t>SELECT 441, 344, 1, 1 UNION ALL</t>
  </si>
  <si>
    <t>SELECT 442, 344, 2, 4 UNION ALL</t>
  </si>
  <si>
    <t>SELECT 443, 344, 3, 14 UNION ALL</t>
  </si>
  <si>
    <t>SELECT 444, 344, 7, 15 UNION ALL</t>
  </si>
  <si>
    <t>SELECT 445, 345, 1, 1 UNION ALL</t>
  </si>
  <si>
    <t>SELECT 446, 345, 2, 4 UNION ALL</t>
  </si>
  <si>
    <t>SELECT 447, 345, 3, 14 UNION ALL</t>
  </si>
  <si>
    <t>SELECT 448, 345, 7, 15 UNION ALL</t>
  </si>
  <si>
    <t>SELECT 449, 346, 1, 2 UNION ALL</t>
  </si>
  <si>
    <t>SELECT 450, 346, 2, 4 UNION ALL</t>
  </si>
  <si>
    <t>SELECT 451, 346, 3, 14 UNION ALL</t>
  </si>
  <si>
    <t>SELECT 452, 346, 7, 15 UNION ALL</t>
  </si>
  <si>
    <t>SELECT 453, 347, 1, 1 UNION ALL</t>
  </si>
  <si>
    <t>SELECT 454, 347, 2, 4 UNION ALL</t>
  </si>
  <si>
    <t>SELECT 455, 347, 3, 14 UNION ALL</t>
  </si>
  <si>
    <t>SELECT 456, 347, 7, 15 UNION ALL</t>
  </si>
  <si>
    <t>SELECT 457, 348, 1, 1 UNION ALL</t>
  </si>
  <si>
    <t>SELECT 458, 348, 2, 4 UNION ALL</t>
  </si>
  <si>
    <t>SELECT 459, 348, 3, 14 UNION ALL</t>
  </si>
  <si>
    <t>SELECT 460, 348, 7, 15 UNION ALL</t>
  </si>
  <si>
    <t>SELECT 461, 349, 1, 2 UNION ALL</t>
  </si>
  <si>
    <t>SELECT 462, 349, 2, 4 UNION ALL</t>
  </si>
  <si>
    <t>SELECT 463, 349, 3, 14 UNION ALL</t>
  </si>
  <si>
    <t>SELECT 464, 349, 7, 15 UNION ALL</t>
  </si>
  <si>
    <t>SELECT 465, 350, 1, 1 UNION ALL</t>
  </si>
  <si>
    <t>SELECT 466, 350, 2, 4 UNION ALL</t>
  </si>
  <si>
    <t>SELECT 467, 350, 3, 14 UNION ALL</t>
  </si>
  <si>
    <t>SELECT 468, 350, 7, 15 UNION ALL</t>
  </si>
  <si>
    <t>SELECT 469, 351, 1, 2 UNION ALL</t>
  </si>
  <si>
    <t>SELECT 470, 351, 2, 4 UNION ALL</t>
  </si>
  <si>
    <t>SELECT 471, 351, 3, 14 UNION ALL</t>
  </si>
  <si>
    <t>SELECT 472, 351, 7, 15 UNION ALL</t>
  </si>
  <si>
    <t>SELECT 473, 352, 1, 1 UNION ALL</t>
  </si>
  <si>
    <t>SELECT 474, 352, 2, 4 UNION ALL</t>
  </si>
  <si>
    <t>SELECT 475, 352, 3, 14 UNION ALL</t>
  </si>
  <si>
    <t>SELECT 476, 352, 7, 15 UNION ALL</t>
  </si>
  <si>
    <t>SELECT 477, 353, 1, 1 UNION ALL</t>
  </si>
  <si>
    <t>SELECT 478, 353, 2, 4 UNION ALL</t>
  </si>
  <si>
    <t>SELECT 479, 353, 3, 14 UNION ALL</t>
  </si>
  <si>
    <t>SELECT 480, 353, 7, 15 UNION ALL</t>
  </si>
  <si>
    <t>SELECT 481, 354, 1, 2 UNION ALL</t>
  </si>
  <si>
    <t>SELECT 482, 354, 2, 4 UNION ALL</t>
  </si>
  <si>
    <t>SELECT 483, 354, 3, 14 UNION ALL</t>
  </si>
  <si>
    <t>SELECT 484, 354, 7, 15 UNION ALL</t>
  </si>
  <si>
    <t>SELECT 485, 355, 1, 2 UNION ALL</t>
  </si>
  <si>
    <t>SELECT 486, 355, 2, 4 UNION ALL</t>
  </si>
  <si>
    <t>SELECT 487, 355, 3, 14 UNION ALL</t>
  </si>
  <si>
    <t>SELECT 488, 355, 7, 15 UNION ALL</t>
  </si>
  <si>
    <t>SELECT 489, 356, 1, 1 UNION ALL</t>
  </si>
  <si>
    <t>SELECT 490, 356, 2, 4 UNION ALL</t>
  </si>
  <si>
    <t>SELECT 491, 356, 3, 14 UNION ALL</t>
  </si>
  <si>
    <t>SELECT 492, 356, 7, 15 UNION ALL</t>
  </si>
  <si>
    <t>SELECT 493, 357, 1, 1 UNION ALL</t>
  </si>
  <si>
    <t>SELECT 494, 357, 2, 4 UNION ALL</t>
  </si>
  <si>
    <t>SELECT 495, 357, 3, 14 UNION ALL</t>
  </si>
  <si>
    <t>SELECT 496, 357, 7, 15 UNION ALL</t>
  </si>
  <si>
    <t>SELECT 497, 358, 1, 1 UNION ALL</t>
  </si>
  <si>
    <t>SELECT 498, 358, 2, 4 UNION ALL</t>
  </si>
  <si>
    <t>SELECT 499, 358, 3, 14 UNION ALL</t>
  </si>
  <si>
    <t>SELECT 500, 358, 7, 15 UNION ALL</t>
  </si>
  <si>
    <t>SELECT 501, 359, 1, 1 UNION ALL</t>
  </si>
  <si>
    <t>SELECT 502, 359, 2, 5 UNION ALL</t>
  </si>
  <si>
    <t>SELECT 503, 359, 3, 14 UNION ALL</t>
  </si>
  <si>
    <t>SELECT 504, 359, 7, 15 UNION ALL</t>
  </si>
  <si>
    <t>SELECT 505, 360, 1, 2 UNION ALL</t>
  </si>
  <si>
    <t>SELECT 506, 360, 2, 4 UNION ALL</t>
  </si>
  <si>
    <t>SELECT 507, 360, 3, 14 UNION ALL</t>
  </si>
  <si>
    <t>SELECT 508, 360, 7, 15 UNION ALL</t>
  </si>
  <si>
    <t>SELECT 509, 361, 1, 2 UNION ALL</t>
  </si>
  <si>
    <t>SELECT 510, 361, 2, 4 UNION ALL</t>
  </si>
  <si>
    <t>SELECT 511, 361, 3, 14 UNION ALL</t>
  </si>
  <si>
    <t>SELECT 512, 361, 7, 15 UNION ALL</t>
  </si>
  <si>
    <t>SELECT 513, 362, 1, 2 UNION ALL</t>
  </si>
  <si>
    <t>SELECT 514, 362, 2, 4 UNION ALL</t>
  </si>
  <si>
    <t>SELECT 515, 362, 3, 14 UNION ALL</t>
  </si>
  <si>
    <t>SELECT 516, 362, 7, 15 UNION ALL</t>
  </si>
  <si>
    <t>SELECT 517, 397, 1, 2 UNION ALL</t>
  </si>
  <si>
    <t>SELECT 518, 397, 2, 4 UNION ALL</t>
  </si>
  <si>
    <t>SELECT 519, 397, 3, 14 UNION ALL</t>
  </si>
  <si>
    <t>SELECT 520, 397, 7, 15 UNION ALL</t>
  </si>
  <si>
    <t>SELECT 521, 398, 1, 3 UNION ALL</t>
  </si>
  <si>
    <t>SELECT 522, 398, 2, 4 UNION ALL</t>
  </si>
  <si>
    <t>SELECT 523, 398, 3, 14 UNION ALL</t>
  </si>
  <si>
    <t>SELECT 524, 398, 7, 15 UNION ALL</t>
  </si>
  <si>
    <t>SELECT 525, 405, 1, 1 UNION ALL</t>
  </si>
  <si>
    <t>SELECT 526, 405, 2, 4 UNION ALL</t>
  </si>
  <si>
    <t>SELECT 527, 405, 3, 14 UNION ALL</t>
  </si>
  <si>
    <t>SELECT 528, 405, 7, 15 UNION ALL</t>
  </si>
  <si>
    <t>SELECT 529, 408, 1, 2 UNION ALL</t>
  </si>
  <si>
    <t>SELECT 530, 408, 2, 4 UNION ALL</t>
  </si>
  <si>
    <t>SELECT 531, 408, 3, 14 UNION ALL</t>
  </si>
  <si>
    <t>SELECT 532, 408, 7, 15 UNION ALL</t>
  </si>
  <si>
    <t>SELECT 533, 410, 1, 2 UNION ALL</t>
  </si>
  <si>
    <t>SELECT 534, 410, 2, 4 UNION ALL</t>
  </si>
  <si>
    <t>SELECT 535, 410, 3, 14 UNION ALL</t>
  </si>
  <si>
    <t>SELECT 536, 410, 7, 15 UNION ALL</t>
  </si>
  <si>
    <t>SELECT 537, 412, 1, 1 UNION ALL</t>
  </si>
  <si>
    <t>SELECT 538, 412, 2, 4 UNION ALL</t>
  </si>
  <si>
    <t>SELECT 539, 412, 3, 14 UNION ALL</t>
  </si>
  <si>
    <t>SELECT 540, 412, 7, 15 UNION ALL</t>
  </si>
  <si>
    <t>SELECT 541, 414, 1, 1 UNION ALL</t>
  </si>
  <si>
    <t>SELECT 542, 414, 2, 4 UNION ALL</t>
  </si>
  <si>
    <t>SELECT 543, 414, 3, 14 UNION ALL</t>
  </si>
  <si>
    <t>SELECT 544, 414, 7, 15 UNION ALL</t>
  </si>
  <si>
    <t>SELECT 545, 416, 1, 2 UNION ALL</t>
  </si>
  <si>
    <t>SELECT 546, 416, 2, 4 UNION ALL</t>
  </si>
  <si>
    <t>SELECT 547, 416, 3, 14 UNION ALL</t>
  </si>
  <si>
    <t>SELECT 548, 416, 7, 15 UNION ALL</t>
  </si>
  <si>
    <t>SELECT 549, 418, 1, 2 UNION ALL</t>
  </si>
  <si>
    <t>SELECT 550, 418, 2, 4 UNION ALL</t>
  </si>
  <si>
    <t>SELECT 551, 418, 3, 14 UNION ALL</t>
  </si>
  <si>
    <t>SELECT 552, 418, 7, 15 UNION ALL</t>
  </si>
  <si>
    <t>SELECT 553, 420, 1, 2 UNION ALL</t>
  </si>
  <si>
    <t>SELECT 554, 420, 2, 4 UNION ALL</t>
  </si>
  <si>
    <t>SELECT 555, 420, 3, 14 UNION ALL</t>
  </si>
  <si>
    <t>SELECT 556, 420, 7, 15 UNION ALL</t>
  </si>
  <si>
    <t>SELECT 557, 423, 1, 1 UNION ALL</t>
  </si>
  <si>
    <t>SELECT 558, 423, 2, 4 UNION ALL</t>
  </si>
  <si>
    <t>SELECT 559, 423, 3, 14 UNION ALL</t>
  </si>
  <si>
    <t>SELECT 560, 423, 7, 15 UNION ALL</t>
  </si>
  <si>
    <t>SELECT 561, 427, 1, 3 UNION ALL</t>
  </si>
  <si>
    <t>SELECT 562, 427, 2, 4 UNION ALL</t>
  </si>
  <si>
    <t>SELECT 563, 427, 3, 14 UNION ALL</t>
  </si>
  <si>
    <t>SELECT 564, 427, 7, 15 UNION ALL</t>
  </si>
  <si>
    <t>SELECT 565, 429, 1, 3 UNION ALL</t>
  </si>
  <si>
    <t>SELECT 566, 429, 2, 4 UNION ALL</t>
  </si>
  <si>
    <t>SELECT 567, 429, 3, 14 UNION ALL</t>
  </si>
  <si>
    <t>SELECT 568, 429, 7, 15 UNION ALL</t>
  </si>
  <si>
    <t>SELECT 569, 431, 1, 1 UNION ALL</t>
  </si>
  <si>
    <t>SELECT 570, 431, 2, 4 UNION ALL</t>
  </si>
  <si>
    <t>SELECT 571, 431, 3, 14 UNION ALL</t>
  </si>
  <si>
    <t>SELECT 572, 431, 7, 15 UNION ALL</t>
  </si>
  <si>
    <t>SELECT 573, 433, 1, 1 UNION ALL</t>
  </si>
  <si>
    <t>SELECT 574, 433, 2, 5 UNION ALL</t>
  </si>
  <si>
    <t>SELECT 575, 433, 3, 14 UNION ALL</t>
  </si>
  <si>
    <t>SELECT 576, 433, 7, 15 UNION ALL</t>
  </si>
  <si>
    <t>SELECT 577, 434, 1, 1 UNION ALL</t>
  </si>
  <si>
    <t>SELECT 578, 434, 2, 5 UNION ALL</t>
  </si>
  <si>
    <t>SELECT 579, 434, 3, 14 UNION ALL</t>
  </si>
  <si>
    <t>SELECT 580, 434, 7, 15 UNION ALL</t>
  </si>
  <si>
    <t>SELECT 581, 441, 1, 1 UNION ALL</t>
  </si>
  <si>
    <t>SELECT 582, 441, 2, 4 UNION ALL</t>
  </si>
  <si>
    <t>SELECT 583, 441, 3, 14 UNION ALL</t>
  </si>
  <si>
    <t>SELECT 584, 441, 7, 15 UNION ALL</t>
  </si>
  <si>
    <t>SELECT 585, 443, 1, 2 UNION ALL</t>
  </si>
  <si>
    <t>SELECT 586, 443, 2, 4 UNION ALL</t>
  </si>
  <si>
    <t>SELECT 587, 443, 3, 14 UNION ALL</t>
  </si>
  <si>
    <t>SELECT 588, 443, 7, 15 UNION ALL</t>
  </si>
  <si>
    <t>SELECT 589, 444, 1, 2 UNION ALL</t>
  </si>
  <si>
    <t>SELECT 590, 444, 2, 4 UNION ALL</t>
  </si>
  <si>
    <t>SELECT 591, 444, 3, 14 UNION ALL</t>
  </si>
  <si>
    <t>SELECT 592, 444, 7, 15 UNION ALL</t>
  </si>
  <si>
    <t>SELECT 593, 446, 1, 3 UNION ALL</t>
  </si>
  <si>
    <t>SELECT 594, 446, 2, 4 UNION ALL</t>
  </si>
  <si>
    <t>SELECT 595, 446, 3, 14 UNION ALL</t>
  </si>
  <si>
    <t>SELECT 596, 446, 7, 15 UNION ALL</t>
  </si>
  <si>
    <t>SELECT 597, 448, 1, 2 UNION ALL</t>
  </si>
  <si>
    <t>SELECT 598, 448, 2, 4 UNION ALL</t>
  </si>
  <si>
    <t>SELECT 599, 448, 3, 14 UNION ALL</t>
  </si>
  <si>
    <t>SELECT 600, 448, 7, 15 UNION ALL</t>
  </si>
  <si>
    <t>SELECT 601, 450, 1, 3 UNION ALL</t>
  </si>
  <si>
    <t>SELECT 602, 450, 2, 4 UNION ALL</t>
  </si>
  <si>
    <t>SELECT 603, 450, 3, 14 UNION ALL</t>
  </si>
  <si>
    <t>SELECT 604, 450, 7, 15 UNION ALL</t>
  </si>
  <si>
    <t>SELECT 605, 452, 1, 1 UNION ALL</t>
  </si>
  <si>
    <t>SELECT 606, 452, 2, 4 UNION ALL</t>
  </si>
  <si>
    <t>SELECT 607, 452, 3, 14 UNION ALL</t>
  </si>
  <si>
    <t>SELECT 608, 452, 7, 15 UNION ALL</t>
  </si>
  <si>
    <t>SELECT 609, 454, 1, 2 UNION ALL</t>
  </si>
  <si>
    <t>SELECT 610, 454, 2, 4 UNION ALL</t>
  </si>
  <si>
    <t>SELECT 611, 454, 3, 14 UNION ALL</t>
  </si>
  <si>
    <t>SELECT 612, 454, 7, 15 UNION ALL</t>
  </si>
  <si>
    <t>kto</t>
  </si>
  <si>
    <t>nie ma …</t>
  </si>
  <si>
    <t>przyglądam się …</t>
  </si>
  <si>
    <t>widzę …</t>
  </si>
  <si>
    <t>z …</t>
  </si>
  <si>
    <t>o …</t>
  </si>
  <si>
    <t>DO</t>
  </si>
  <si>
    <t>w</t>
  </si>
  <si>
    <t>Polski</t>
  </si>
  <si>
    <t>Polsce</t>
  </si>
  <si>
    <t>Polskę</t>
  </si>
  <si>
    <t>z Polską</t>
  </si>
  <si>
    <t>Polsko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</si>
  <si>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</si>
  <si>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</si>
  <si>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</si>
  <si>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</si>
  <si>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</si>
  <si>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</si>
  <si>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</si>
  <si>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</si>
  <si>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</si>
  <si>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do Polski</t>
  </si>
  <si>
    <t>w Polsce</t>
  </si>
  <si>
    <t>ia</t>
  </si>
  <si>
    <t>Wielkiej Brytanii</t>
  </si>
  <si>
    <t>Wielką Brytanię</t>
  </si>
  <si>
    <t>z Wielką Brytanią</t>
  </si>
  <si>
    <t>do Wielkiej Brytanii</t>
  </si>
  <si>
    <t>w Wielkiej Brytanii</t>
  </si>
  <si>
    <t>Nowej Zelandii</t>
  </si>
  <si>
    <t>Nową Zelandię</t>
  </si>
  <si>
    <t>z Nową Zelandią</t>
  </si>
  <si>
    <t>do Nowej Zelandii</t>
  </si>
  <si>
    <t>w Nowej Zelandii</t>
  </si>
  <si>
    <t>na Grenlandię</t>
  </si>
  <si>
    <t>na Grenlandii</t>
  </si>
  <si>
    <t>do Islandii</t>
  </si>
  <si>
    <t>w Islandii</t>
  </si>
  <si>
    <t>we Francji</t>
  </si>
  <si>
    <t>na Słowację</t>
  </si>
  <si>
    <t>+</t>
  </si>
  <si>
    <t>na Haiti</t>
  </si>
  <si>
    <t>na Fidżi</t>
  </si>
  <si>
    <t>na Seszele</t>
  </si>
  <si>
    <t>na Seszelach</t>
  </si>
  <si>
    <t>Seszelom</t>
  </si>
  <si>
    <t>z Seszelami</t>
  </si>
  <si>
    <t>Seszelach</t>
  </si>
  <si>
    <t>Seszeli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</si>
  <si>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</si>
  <si>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</si>
  <si>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</si>
  <si>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</si>
  <si>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</si>
  <si>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</si>
  <si>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</si>
  <si>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</si>
  <si>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</si>
  <si>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</si>
  <si>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</si>
  <si>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</si>
  <si>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</si>
  <si>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</si>
  <si>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</si>
  <si>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</si>
  <si>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</si>
  <si>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</si>
  <si>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</si>
  <si>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</si>
  <si>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</si>
  <si>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</si>
  <si>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</si>
  <si>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</si>
  <si>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</si>
  <si>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</si>
  <si>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</si>
  <si>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</si>
  <si>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</si>
  <si>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</si>
  <si>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</si>
  <si>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</si>
  <si>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</si>
  <si>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</si>
  <si>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</si>
  <si>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</si>
  <si>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</si>
  <si>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</si>
  <si>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</si>
  <si>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</si>
  <si>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</si>
  <si>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</si>
  <si>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</si>
  <si>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</si>
  <si>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</si>
  <si>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</si>
  <si>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</si>
  <si>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</si>
  <si>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</si>
  <si>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</si>
  <si>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</si>
  <si>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</si>
  <si>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</si>
  <si>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</si>
  <si>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</si>
  <si>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</si>
  <si>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</si>
  <si>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</si>
  <si>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</si>
  <si>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</si>
  <si>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</si>
  <si>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</si>
  <si>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</si>
  <si>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</si>
  <si>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</si>
  <si>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</si>
  <si>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</si>
  <si>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</si>
  <si>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</si>
  <si>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</si>
  <si>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</si>
  <si>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</si>
  <si>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</si>
  <si>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</si>
  <si>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</si>
  <si>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</si>
  <si>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</si>
  <si>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</si>
  <si>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</si>
  <si>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</si>
  <si>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</si>
  <si>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</si>
  <si>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</si>
  <si>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</si>
  <si>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</si>
  <si>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Ukrainy</t>
  </si>
  <si>
    <t>Ukrainie</t>
  </si>
  <si>
    <t>Ukrainę</t>
  </si>
  <si>
    <t>z Ukrainą</t>
  </si>
  <si>
    <t>Ukraino</t>
  </si>
  <si>
    <t>na Ukrainę</t>
  </si>
  <si>
    <t>na Ukrainie</t>
  </si>
  <si>
    <t>Watykanu</t>
  </si>
  <si>
    <t>Watykanowi</t>
  </si>
  <si>
    <t>z Watykanem</t>
  </si>
  <si>
    <t>Watykanie</t>
  </si>
  <si>
    <t>do Watykanu</t>
  </si>
  <si>
    <t>w Watykanie</t>
  </si>
  <si>
    <t>Włoch</t>
  </si>
  <si>
    <t>Włochom</t>
  </si>
  <si>
    <t>z Włochami</t>
  </si>
  <si>
    <t>Włoszech</t>
  </si>
  <si>
    <t>do Włoch</t>
  </si>
  <si>
    <t>we Włoszech</t>
  </si>
  <si>
    <t>Niemiec</t>
  </si>
  <si>
    <t>Niemcom</t>
  </si>
  <si>
    <t>z Niemcami</t>
  </si>
  <si>
    <t>Niemczech</t>
  </si>
  <si>
    <t>do Niemiec</t>
  </si>
  <si>
    <t>w Niemczech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</si>
</sst>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2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5"/>
  <sheetViews>
    <sheetView workbookViewId="0">
      <selection activeCell="B20" sqref="B20"/>
    </sheetView>
  </sheetViews>
  <sheetFormatPr defaultRowHeight="15"/>
  <cols>
    <col min="1" max="1" width="44.5703125" bestFit="1" customWidth="1"/>
    <col min="2" max="2" width="9.140625" style="4"/>
  </cols>
  <sheetData>
    <row r="1" spans="1:3">
      <c r="A1" s="3" t="s">
        <v>70</v>
      </c>
      <c r="B1" s="3" t="s">
        <v>71</v>
      </c>
      <c r="C1" s="2" t="s">
        <v>74</v>
      </c>
    </row>
    <row r="2" spans="1:3">
      <c r="A2" t="s">
        <v>64</v>
      </c>
      <c r="B2" s="4">
        <v>1</v>
      </c>
      <c r="C2" t="s">
        <v>75</v>
      </c>
    </row>
    <row r="3" spans="1:3">
      <c r="A3" t="s">
        <v>65</v>
      </c>
      <c r="B3" s="4">
        <v>1</v>
      </c>
      <c r="C3" t="s">
        <v>76</v>
      </c>
    </row>
    <row r="4" spans="1:3">
      <c r="A4" t="s">
        <v>66</v>
      </c>
      <c r="B4" s="4">
        <v>1</v>
      </c>
      <c r="C4" t="s">
        <v>77</v>
      </c>
    </row>
    <row r="5" spans="1:3">
      <c r="A5" t="s">
        <v>67</v>
      </c>
      <c r="B5" s="4">
        <v>1</v>
      </c>
      <c r="C5" t="s">
        <v>78</v>
      </c>
    </row>
    <row r="6" spans="1:3">
      <c r="A6" t="s">
        <v>68</v>
      </c>
      <c r="B6" s="4">
        <v>1</v>
      </c>
      <c r="C6" t="s">
        <v>79</v>
      </c>
    </row>
    <row r="7" spans="1:3">
      <c r="A7" t="s">
        <v>69</v>
      </c>
      <c r="B7" s="4">
        <v>1</v>
      </c>
      <c r="C7" t="s">
        <v>80</v>
      </c>
    </row>
    <row r="8" spans="1:3">
      <c r="A8" t="s">
        <v>72</v>
      </c>
      <c r="B8" s="4">
        <v>1</v>
      </c>
      <c r="C8" t="s">
        <v>81</v>
      </c>
    </row>
    <row r="9" spans="1:3">
      <c r="A9" t="s">
        <v>73</v>
      </c>
      <c r="B9" s="4">
        <v>1</v>
      </c>
      <c r="C9" t="s">
        <v>83</v>
      </c>
    </row>
    <row r="10" spans="1:3">
      <c r="A10" t="s">
        <v>84</v>
      </c>
      <c r="B10" s="4">
        <v>1</v>
      </c>
      <c r="C10" t="s">
        <v>206</v>
      </c>
    </row>
    <row r="11" spans="1:3">
      <c r="A11" t="s">
        <v>86</v>
      </c>
      <c r="B11" s="4" t="s">
        <v>87</v>
      </c>
    </row>
    <row r="12" spans="1:3">
      <c r="A12" t="s">
        <v>60</v>
      </c>
      <c r="B12" s="4">
        <v>0</v>
      </c>
      <c r="C12" t="s">
        <v>89</v>
      </c>
    </row>
    <row r="13" spans="1:3">
      <c r="A13" t="s">
        <v>90</v>
      </c>
      <c r="B13" s="4" t="s">
        <v>87</v>
      </c>
    </row>
    <row r="14" spans="1:3">
      <c r="A14" t="s">
        <v>91</v>
      </c>
      <c r="B14" s="4" t="s">
        <v>87</v>
      </c>
    </row>
    <row r="15" spans="1:3">
      <c r="A15" t="s">
        <v>93</v>
      </c>
      <c r="B15" s="4">
        <v>0</v>
      </c>
      <c r="C15" t="s">
        <v>89</v>
      </c>
    </row>
    <row r="16" spans="1:3">
      <c r="A16" t="s">
        <v>95</v>
      </c>
      <c r="B16" s="4">
        <v>0</v>
      </c>
      <c r="C16" t="s">
        <v>89</v>
      </c>
    </row>
    <row r="17" spans="1:3">
      <c r="A17" t="s">
        <v>97</v>
      </c>
      <c r="B17" s="4">
        <v>0</v>
      </c>
      <c r="C17" t="s">
        <v>89</v>
      </c>
    </row>
    <row r="18" spans="1:3">
      <c r="A18" t="s">
        <v>99</v>
      </c>
      <c r="B18" s="4">
        <v>1</v>
      </c>
    </row>
    <row r="19" spans="1:3">
      <c r="A19" t="s">
        <v>100</v>
      </c>
      <c r="B19" s="4">
        <v>1</v>
      </c>
    </row>
    <row r="20" spans="1:3">
      <c r="A20" t="s">
        <v>105</v>
      </c>
      <c r="B20" s="4">
        <v>0</v>
      </c>
    </row>
    <row r="21" spans="1:3">
      <c r="A21" t="s">
        <v>106</v>
      </c>
      <c r="B21" s="4">
        <v>0</v>
      </c>
    </row>
    <row r="22" spans="1:3">
      <c r="A22" t="s">
        <v>108</v>
      </c>
      <c r="B22" s="4">
        <v>0</v>
      </c>
    </row>
    <row r="23" spans="1:3">
      <c r="A23" t="s">
        <v>110</v>
      </c>
      <c r="B23" s="4">
        <v>0</v>
      </c>
      <c r="C23" t="s">
        <v>111</v>
      </c>
    </row>
    <row r="24" spans="1:3">
      <c r="A24" t="s">
        <v>113</v>
      </c>
      <c r="B24" s="4">
        <v>0</v>
      </c>
      <c r="C24" t="s">
        <v>114</v>
      </c>
    </row>
    <row r="25" spans="1:3">
      <c r="A25" t="s">
        <v>117</v>
      </c>
      <c r="B25" s="4">
        <v>0</v>
      </c>
    </row>
    <row r="26" spans="1:3">
      <c r="A26" t="s">
        <v>119</v>
      </c>
      <c r="B26" s="4">
        <v>0</v>
      </c>
    </row>
    <row r="27" spans="1:3">
      <c r="A27" t="s">
        <v>121</v>
      </c>
      <c r="B27" s="4">
        <v>0</v>
      </c>
    </row>
    <row r="28" spans="1:3">
      <c r="A28" t="s">
        <v>123</v>
      </c>
      <c r="B28" s="4">
        <v>0</v>
      </c>
    </row>
    <row r="29" spans="1:3">
      <c r="A29" t="s">
        <v>115</v>
      </c>
      <c r="B29" s="4" t="s">
        <v>87</v>
      </c>
    </row>
    <row r="30" spans="1:3">
      <c r="A30" t="s">
        <v>126</v>
      </c>
      <c r="B30" s="4">
        <v>0</v>
      </c>
    </row>
    <row r="31" spans="1:3">
      <c r="A31" t="s">
        <v>128</v>
      </c>
      <c r="B31" s="4">
        <v>0</v>
      </c>
    </row>
    <row r="32" spans="1:3">
      <c r="A32" t="s">
        <v>124</v>
      </c>
      <c r="B32" s="4" t="s">
        <v>87</v>
      </c>
    </row>
    <row r="33" spans="1:2">
      <c r="A33" t="s">
        <v>130</v>
      </c>
      <c r="B33" s="4">
        <v>0</v>
      </c>
    </row>
    <row r="34" spans="1:2">
      <c r="A34" t="s">
        <v>132</v>
      </c>
      <c r="B34" s="4">
        <v>0</v>
      </c>
    </row>
    <row r="35" spans="1:2">
      <c r="A35" t="s">
        <v>134</v>
      </c>
      <c r="B35" s="4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70"/>
  <sheetViews>
    <sheetView topLeftCell="A44" workbookViewId="0">
      <selection activeCell="A70" sqref="A70"/>
    </sheetView>
  </sheetViews>
  <sheetFormatPr defaultRowHeight="15"/>
  <cols>
    <col min="1" max="1" width="49.7109375" customWidth="1"/>
    <col min="2" max="2" width="36" bestFit="1" customWidth="1"/>
  </cols>
  <sheetData>
    <row r="1" spans="1:5">
      <c r="A1" t="s">
        <v>137</v>
      </c>
      <c r="B1" t="s">
        <v>62</v>
      </c>
      <c r="D1" t="s">
        <v>135</v>
      </c>
      <c r="E1" t="str">
        <f>"IF OBJECT_ID('"&amp;A1&amp;"', '"&amp;D1&amp;"') IS NOT NULL ALTER TABLE [dbo]."&amp;B1&amp;" DROP CONSTRAINT ["&amp;A1&amp;"]"</f>
        <v>IF OBJECT_ID('FK_Language', 'F') IS NOT NULL ALTER TABLE [dbo].[UsersLanguages] DROP CONSTRAINT [FK_Language]</v>
      </c>
    </row>
    <row r="2" spans="1:5">
      <c r="A2" t="s">
        <v>138</v>
      </c>
      <c r="B2" t="s">
        <v>63</v>
      </c>
      <c r="D2" t="s">
        <v>135</v>
      </c>
      <c r="E2" t="str">
        <f t="shared" ref="E2:E65" si="0">"IF OBJECT_ID('"&amp;A2&amp;"', '"&amp;D2&amp;"') IS NOT NULL ALTER TABLE [dbo]."&amp;B2&amp;" DROP CONSTRAINT ["&amp;A2&amp;"]"</f>
        <v>IF OBJECT_ID('FK_ExistingCategoryCanBeParent', 'F') IS NOT NULL ALTER TABLE [dbo].[Categories] DROP CONSTRAINT [FK_ExistingCategoryCanBeParent]</v>
      </c>
    </row>
    <row r="3" spans="1:5">
      <c r="A3" t="s">
        <v>139</v>
      </c>
      <c r="B3" t="s">
        <v>63</v>
      </c>
      <c r="D3" t="s">
        <v>135</v>
      </c>
      <c r="E3" t="str">
        <f t="shared" si="0"/>
        <v>IF OBJECT_ID('FK_CategoryUser', 'F') IS NOT NULL ALTER TABLE [dbo].[Categories] DROP CONSTRAINT [FK_CategoryUser]</v>
      </c>
    </row>
    <row r="4" spans="1:5">
      <c r="A4" t="s">
        <v>140</v>
      </c>
      <c r="B4" t="s">
        <v>82</v>
      </c>
      <c r="D4" t="s">
        <v>135</v>
      </c>
      <c r="E4" t="str">
        <f t="shared" si="0"/>
        <v>IF OBJECT_ID('FK_GrammarPropertyDefinitions_Language', 'F') IS NOT NULL ALTER TABLE [dbo].[GrammarPropertyDefinitions] DROP CONSTRAINT [FK_GrammarPropertyDefinitions_Language]</v>
      </c>
    </row>
    <row r="5" spans="1:5">
      <c r="A5" t="s">
        <v>141</v>
      </c>
      <c r="B5" t="s">
        <v>82</v>
      </c>
      <c r="D5" t="s">
        <v>135</v>
      </c>
      <c r="E5" t="str">
        <f t="shared" si="0"/>
        <v>IF OBJECT_ID('FK_GrammarPropertyDefinitions_ValueTypes', 'F') IS NOT NULL ALTER TABLE [dbo].[GrammarPropertyDefinitions] DROP CONSTRAINT [FK_GrammarPropertyDefinitions_ValueTypes]</v>
      </c>
    </row>
    <row r="6" spans="1:5">
      <c r="A6" t="s">
        <v>142</v>
      </c>
      <c r="B6" t="s">
        <v>85</v>
      </c>
      <c r="D6" t="s">
        <v>135</v>
      </c>
      <c r="E6" t="str">
        <f t="shared" si="0"/>
        <v>IF OBJECT_ID('FK_GrammarPropertyOptions_Property', 'F') IS NOT NULL ALTER TABLE [dbo].[GrammarPropertyOptions] DROP CONSTRAINT [FK_GrammarPropertyOptions_Property]</v>
      </c>
    </row>
    <row r="7" spans="1:5">
      <c r="A7" t="s">
        <v>143</v>
      </c>
      <c r="B7" t="s">
        <v>88</v>
      </c>
      <c r="D7" t="s">
        <v>135</v>
      </c>
      <c r="E7" t="str">
        <f t="shared" si="0"/>
        <v>IF OBJECT_ID('FK_GrammarFormsGroups_Language', 'F') IS NOT NULL ALTER TABLE [dbo].[GrammarFormsGroups] DROP CONSTRAINT [FK_GrammarFormsGroups_Language]</v>
      </c>
    </row>
    <row r="8" spans="1:5">
      <c r="A8" t="s">
        <v>144</v>
      </c>
      <c r="B8" t="s">
        <v>88</v>
      </c>
      <c r="D8" t="s">
        <v>135</v>
      </c>
      <c r="E8" t="str">
        <f t="shared" si="0"/>
        <v>IF OBJECT_ID('FK_GrammarFormsGroups_Wordtype', 'F') IS NOT NULL ALTER TABLE [dbo].[GrammarFormsGroups] DROP CONSTRAINT [FK_GrammarFormsGroups_Wordtype]</v>
      </c>
    </row>
    <row r="9" spans="1:5">
      <c r="A9" t="s">
        <v>145</v>
      </c>
      <c r="B9" t="s">
        <v>92</v>
      </c>
      <c r="D9" t="s">
        <v>135</v>
      </c>
      <c r="E9" t="str">
        <f t="shared" si="0"/>
        <v>IF OBJECT_ID('FK_GrammarFormsDefinitionsProperties_Definition', 'F') IS NOT NULL ALTER TABLE [dbo].[GrammarFormsDefinitionsProperties] DROP CONSTRAINT [FK_GrammarFormsDefinitionsProperties_Definition]</v>
      </c>
    </row>
    <row r="10" spans="1:5">
      <c r="A10" t="s">
        <v>146</v>
      </c>
      <c r="B10" t="s">
        <v>92</v>
      </c>
      <c r="D10" t="s">
        <v>135</v>
      </c>
      <c r="E10" t="str">
        <f t="shared" si="0"/>
        <v>IF OBJECT_ID('FK_GrammarFormsDefinitionsProperties_Property', 'F') IS NOT NULL ALTER TABLE [dbo].[GrammarFormsDefinitionsProperties] DROP CONSTRAINT [FK_GrammarFormsDefinitionsProperties_Property]</v>
      </c>
    </row>
    <row r="11" spans="1:5">
      <c r="A11" t="s">
        <v>147</v>
      </c>
      <c r="B11" t="s">
        <v>92</v>
      </c>
      <c r="D11" t="s">
        <v>135</v>
      </c>
      <c r="E11" t="str">
        <f t="shared" si="0"/>
        <v>IF OBJECT_ID('FK_GrammarFormsDefinitionsProperties_Value', 'F') IS NOT NULL ALTER TABLE [dbo].[GrammarFormsDefinitionsProperties] DROP CONSTRAINT [FK_GrammarFormsDefinitionsProperties_Value]</v>
      </c>
    </row>
    <row r="12" spans="1:5">
      <c r="A12" t="s">
        <v>148</v>
      </c>
      <c r="B12" t="s">
        <v>92</v>
      </c>
      <c r="D12" t="s">
        <v>136</v>
      </c>
      <c r="E12" t="str">
        <f t="shared" si="0"/>
        <v>IF OBJECT_ID('CH_GrammarFormsDefinitionsProperties_MatchedValueProperty', 'C') IS NOT NULL ALTER TABLE [dbo].[GrammarFormsDefinitionsProperties] DROP CONSTRAINT [CH_GrammarFormsDefinitionsProperties_MatchedValueProperty]</v>
      </c>
    </row>
    <row r="13" spans="1:5">
      <c r="A13" t="s">
        <v>149</v>
      </c>
      <c r="B13" t="s">
        <v>94</v>
      </c>
      <c r="D13" t="s">
        <v>135</v>
      </c>
      <c r="E13" t="str">
        <f t="shared" si="0"/>
        <v>IF OBJECT_ID('FK_GrammarFormsInactiveRules_Definition', 'F') IS NOT NULL ALTER TABLE [dbo].[GrammarFormsInactiveRules] DROP CONSTRAINT [FK_GrammarFormsInactiveRules_Definition]</v>
      </c>
    </row>
    <row r="14" spans="1:5">
      <c r="A14" t="s">
        <v>150</v>
      </c>
      <c r="B14" t="s">
        <v>94</v>
      </c>
      <c r="D14" t="s">
        <v>135</v>
      </c>
      <c r="E14" t="str">
        <f t="shared" si="0"/>
        <v>IF OBJECT_ID('FK_GrammarFormsInactiveRules_Property', 'F') IS NOT NULL ALTER TABLE [dbo].[GrammarFormsInactiveRules] DROP CONSTRAINT [FK_GrammarFormsInactiveRules_Property]</v>
      </c>
    </row>
    <row r="15" spans="1:5">
      <c r="A15" t="s">
        <v>151</v>
      </c>
      <c r="B15" t="s">
        <v>94</v>
      </c>
      <c r="D15" t="s">
        <v>135</v>
      </c>
      <c r="E15" t="str">
        <f t="shared" si="0"/>
        <v>IF OBJECT_ID('FK_GrammarFormsInactiveRules_Value', 'F') IS NOT NULL ALTER TABLE [dbo].[GrammarFormsInactiveRules] DROP CONSTRAINT [FK_GrammarFormsInactiveRules_Value]</v>
      </c>
    </row>
    <row r="16" spans="1:5">
      <c r="A16" t="s">
        <v>152</v>
      </c>
      <c r="B16" t="s">
        <v>94</v>
      </c>
      <c r="D16" t="s">
        <v>136</v>
      </c>
      <c r="E16" t="str">
        <f t="shared" si="0"/>
        <v>IF OBJECT_ID('CH_GrammarFormsInactiveRules_MatchedValueProperty', 'C') IS NOT NULL ALTER TABLE [dbo].[GrammarFormsInactiveRules] DROP CONSTRAINT [CH_GrammarFormsInactiveRules_MatchedValueProperty]</v>
      </c>
    </row>
    <row r="17" spans="1:5">
      <c r="A17" t="s">
        <v>153</v>
      </c>
      <c r="B17" t="s">
        <v>96</v>
      </c>
      <c r="D17" t="s">
        <v>135</v>
      </c>
      <c r="E17" t="str">
        <f t="shared" si="0"/>
        <v>IF OBJECT_ID('FK_WordtypeRequired_Language', 'F') IS NOT NULL ALTER TABLE [dbo].[WordRequiredProperties] DROP CONSTRAINT [FK_WordtypeRequired_Language]</v>
      </c>
    </row>
    <row r="18" spans="1:5">
      <c r="A18" t="s">
        <v>154</v>
      </c>
      <c r="B18" t="s">
        <v>96</v>
      </c>
      <c r="D18" t="s">
        <v>135</v>
      </c>
      <c r="E18" t="str">
        <f t="shared" si="0"/>
        <v>IF OBJECT_ID('FK_WordtypeRequired_Wordtype', 'F') IS NOT NULL ALTER TABLE [dbo].[WordRequiredProperties] DROP CONSTRAINT [FK_WordtypeRequired_Wordtype]</v>
      </c>
    </row>
    <row r="19" spans="1:5">
      <c r="A19" t="s">
        <v>155</v>
      </c>
      <c r="B19" t="s">
        <v>96</v>
      </c>
      <c r="D19" t="s">
        <v>135</v>
      </c>
      <c r="E19" t="str">
        <f t="shared" si="0"/>
        <v>IF OBJECT_ID('FK_WordtypeRequired_Property', 'F') IS NOT NULL ALTER TABLE [dbo].[WordRequiredProperties] DROP CONSTRAINT [FK_WordtypeRequired_Property]</v>
      </c>
    </row>
    <row r="20" spans="1:5">
      <c r="A20" t="s">
        <v>156</v>
      </c>
      <c r="B20" t="s">
        <v>96</v>
      </c>
      <c r="D20" t="s">
        <v>136</v>
      </c>
      <c r="E20" t="str">
        <f t="shared" si="0"/>
        <v>IF OBJECT_ID('CH_WordtypeRequired_LanguageMatched', 'C') IS NOT NULL ALTER TABLE [dbo].[WordRequiredProperties] DROP CONSTRAINT [CH_WordtypeRequired_LanguageMatched]</v>
      </c>
    </row>
    <row r="21" spans="1:5">
      <c r="A21" t="s">
        <v>157</v>
      </c>
      <c r="B21" t="s">
        <v>98</v>
      </c>
      <c r="D21" t="s">
        <v>135</v>
      </c>
      <c r="E21" t="str">
        <f t="shared" si="0"/>
        <v>IF OBJECT_ID('FK_Metawords_WordType', 'F') IS NOT NULL ALTER TABLE [dbo].[Metawords] DROP CONSTRAINT [FK_Metawords_WordType]</v>
      </c>
    </row>
    <row r="22" spans="1:5">
      <c r="A22" t="s">
        <v>158</v>
      </c>
      <c r="B22" t="s">
        <v>98</v>
      </c>
      <c r="D22" t="s">
        <v>135</v>
      </c>
      <c r="E22" t="str">
        <f t="shared" si="0"/>
        <v>IF OBJECT_ID('FK_Metawords_User', 'F') IS NOT NULL ALTER TABLE [dbo].[Metawords] DROP CONSTRAINT [FK_Metawords_User]</v>
      </c>
    </row>
    <row r="23" spans="1:5">
      <c r="A23" t="s">
        <v>159</v>
      </c>
      <c r="B23" t="s">
        <v>98</v>
      </c>
      <c r="C23">
        <v>1</v>
      </c>
      <c r="D23" t="s">
        <v>135</v>
      </c>
      <c r="E23" t="str">
        <f t="shared" si="0"/>
        <v>IF OBJECT_ID('FK_MetawordUser', 'F') IS NOT NULL ALTER TABLE [dbo].[Metawords] DROP CONSTRAINT [FK_MetawordUser]</v>
      </c>
    </row>
    <row r="24" spans="1:5">
      <c r="A24" t="s">
        <v>160</v>
      </c>
      <c r="B24" t="s">
        <v>98</v>
      </c>
      <c r="C24">
        <v>1</v>
      </c>
      <c r="D24" t="s">
        <v>135</v>
      </c>
      <c r="E24" t="str">
        <f t="shared" si="0"/>
        <v>IF OBJECT_ID('FK_WordType', 'F') IS NOT NULL ALTER TABLE [dbo].[Metawords] DROP CONSTRAINT [FK_WordType]</v>
      </c>
    </row>
    <row r="25" spans="1:5">
      <c r="A25" t="s">
        <v>161</v>
      </c>
      <c r="B25" t="s">
        <v>101</v>
      </c>
      <c r="D25" t="s">
        <v>135</v>
      </c>
      <c r="E25" t="str">
        <f t="shared" si="0"/>
        <v>IF OBJECT_ID('FK_MatchWordCategory_MetawordId', 'F') IS NOT NULL ALTER TABLE [dbo].[MatchWordCategory] DROP CONSTRAINT [FK_MatchWordCategory_MetawordId]</v>
      </c>
    </row>
    <row r="26" spans="1:5">
      <c r="A26" t="s">
        <v>162</v>
      </c>
      <c r="B26" t="s">
        <v>101</v>
      </c>
      <c r="D26" t="s">
        <v>135</v>
      </c>
      <c r="E26" t="str">
        <f t="shared" si="0"/>
        <v>IF OBJECT_ID('FK_MatchWordCategory_CategoryId', 'F') IS NOT NULL ALTER TABLE [dbo].[MatchWordCategory] DROP CONSTRAINT [FK_MatchWordCategory_CategoryId]</v>
      </c>
    </row>
    <row r="27" spans="1:5">
      <c r="A27" t="s">
        <v>163</v>
      </c>
      <c r="B27" t="s">
        <v>101</v>
      </c>
      <c r="D27" t="s">
        <v>135</v>
      </c>
      <c r="E27" t="str">
        <f t="shared" si="0"/>
        <v>IF OBJECT_ID('FK_MatchWordCategory_User', 'F') IS NOT NULL ALTER TABLE [dbo].[MatchWordCategory] DROP CONSTRAINT [FK_MatchWordCategory_User]</v>
      </c>
    </row>
    <row r="28" spans="1:5">
      <c r="A28" t="s">
        <v>164</v>
      </c>
      <c r="B28" t="s">
        <v>102</v>
      </c>
      <c r="C28">
        <v>1</v>
      </c>
      <c r="D28" t="s">
        <v>135</v>
      </c>
      <c r="E28" t="str">
        <f t="shared" si="0"/>
        <v>IF OBJECT_ID('FK_WordMetaword', 'F') IS NOT NULL ALTER TABLE [dbo].[Words] DROP CONSTRAINT [FK_WordMetaword]</v>
      </c>
    </row>
    <row r="29" spans="1:5">
      <c r="A29" t="s">
        <v>103</v>
      </c>
      <c r="B29" t="s">
        <v>102</v>
      </c>
      <c r="D29" t="s">
        <v>135</v>
      </c>
      <c r="E29" t="str">
        <f t="shared" si="0"/>
        <v>IF OBJECT_ID('FK_Words_Metaword', 'F') IS NOT NULL ALTER TABLE [dbo].[Words] DROP CONSTRAINT [FK_Words_Metaword]</v>
      </c>
    </row>
    <row r="30" spans="1:5">
      <c r="A30" t="s">
        <v>165</v>
      </c>
      <c r="B30" t="s">
        <v>102</v>
      </c>
      <c r="C30">
        <v>1</v>
      </c>
      <c r="D30" t="s">
        <v>135</v>
      </c>
      <c r="E30" t="str">
        <f t="shared" si="0"/>
        <v>IF OBJECT_ID('FK_WordLanguage', 'F') IS NOT NULL ALTER TABLE [dbo].[Words] DROP CONSTRAINT [FK_WordLanguage]</v>
      </c>
    </row>
    <row r="31" spans="1:5">
      <c r="A31" t="s">
        <v>166</v>
      </c>
      <c r="B31" t="s">
        <v>102</v>
      </c>
      <c r="C31">
        <v>1</v>
      </c>
      <c r="D31" t="s">
        <v>135</v>
      </c>
      <c r="E31" t="str">
        <f t="shared" si="0"/>
        <v>IF OBJECT_ID('FK_WordCreator', 'F') IS NOT NULL ALTER TABLE [dbo].[Words] DROP CONSTRAINT [FK_WordCreator]</v>
      </c>
    </row>
    <row r="32" spans="1:5">
      <c r="A32" t="s">
        <v>167</v>
      </c>
      <c r="B32" t="s">
        <v>102</v>
      </c>
      <c r="D32" t="s">
        <v>135</v>
      </c>
      <c r="E32" t="str">
        <f t="shared" si="0"/>
        <v>IF OBJECT_ID('FK_Words_Language', 'F') IS NOT NULL ALTER TABLE [dbo].[Words] DROP CONSTRAINT [FK_Words_Language]</v>
      </c>
    </row>
    <row r="33" spans="1:5">
      <c r="A33" t="s">
        <v>168</v>
      </c>
      <c r="B33" t="s">
        <v>102</v>
      </c>
      <c r="D33" t="s">
        <v>135</v>
      </c>
      <c r="E33" t="str">
        <f t="shared" si="0"/>
        <v>IF OBJECT_ID('FK_Words_User', 'F') IS NOT NULL ALTER TABLE [dbo].[Words] DROP CONSTRAINT [FK_Words_User]</v>
      </c>
    </row>
    <row r="34" spans="1:5">
      <c r="A34" t="s">
        <v>169</v>
      </c>
      <c r="B34" t="s">
        <v>104</v>
      </c>
      <c r="D34" t="s">
        <v>135</v>
      </c>
      <c r="E34" t="str">
        <f t="shared" si="0"/>
        <v>IF OBJECT_ID('FK_WordsProperties_Word', 'F') IS NOT NULL ALTER TABLE [dbo].[WordsProperties] DROP CONSTRAINT [FK_WordsProperties_Word]</v>
      </c>
    </row>
    <row r="35" spans="1:5">
      <c r="A35" t="s">
        <v>170</v>
      </c>
      <c r="B35" t="s">
        <v>104</v>
      </c>
      <c r="D35" t="s">
        <v>135</v>
      </c>
      <c r="E35" t="str">
        <f t="shared" si="0"/>
        <v>IF OBJECT_ID('FK_WordsProperties_Property', 'F') IS NOT NULL ALTER TABLE [dbo].[WordsProperties] DROP CONSTRAINT [FK_WordsProperties_Property]</v>
      </c>
    </row>
    <row r="36" spans="1:5">
      <c r="A36" t="s">
        <v>171</v>
      </c>
      <c r="B36" t="s">
        <v>107</v>
      </c>
      <c r="D36" t="s">
        <v>135</v>
      </c>
      <c r="E36" t="str">
        <f t="shared" si="0"/>
        <v>IF OBJECT_ID('FK_GrammarForms_Form', 'F') IS NOT NULL ALTER TABLE [dbo].[GrammarForms] DROP CONSTRAINT [FK_GrammarForms_Form]</v>
      </c>
    </row>
    <row r="37" spans="1:5">
      <c r="A37" t="s">
        <v>172</v>
      </c>
      <c r="B37" t="s">
        <v>107</v>
      </c>
      <c r="D37" t="s">
        <v>135</v>
      </c>
      <c r="E37" t="str">
        <f t="shared" si="0"/>
        <v>IF OBJECT_ID('FK_GrammarForms_Word', 'F') IS NOT NULL ALTER TABLE [dbo].[GrammarForms] DROP CONSTRAINT [FK_GrammarForms_Word]</v>
      </c>
    </row>
    <row r="38" spans="1:5">
      <c r="A38" t="s">
        <v>173</v>
      </c>
      <c r="B38" t="s">
        <v>109</v>
      </c>
      <c r="D38" t="s">
        <v>135</v>
      </c>
      <c r="E38" t="str">
        <f t="shared" si="0"/>
        <v>IF OBJECT_ID('FK_VariantDependenciesDefinitions_Languages', 'F') IS NOT NULL ALTER TABLE [dbo].[VariantDependenciesDefinitions] DROP CONSTRAINT [FK_VariantDependenciesDefinitions_Languages]</v>
      </c>
    </row>
    <row r="39" spans="1:5">
      <c r="A39" t="s">
        <v>174</v>
      </c>
      <c r="B39" t="s">
        <v>109</v>
      </c>
      <c r="D39" t="s">
        <v>135</v>
      </c>
      <c r="E39" t="str">
        <f t="shared" si="0"/>
        <v>IF OBJECT_ID('FK_VariantDependenciesDefinitions_MasterWordtype', 'F') IS NOT NULL ALTER TABLE [dbo].[VariantDependenciesDefinitions] DROP CONSTRAINT [FK_VariantDependenciesDefinitions_MasterWordtype]</v>
      </c>
    </row>
    <row r="40" spans="1:5">
      <c r="A40" t="s">
        <v>175</v>
      </c>
      <c r="B40" t="s">
        <v>109</v>
      </c>
      <c r="D40" t="s">
        <v>135</v>
      </c>
      <c r="E40" t="str">
        <f t="shared" si="0"/>
        <v>IF OBJECT_ID('FK_VariantDependenciesDefinitions_SlaveWordtype', 'F') IS NOT NULL ALTER TABLE [dbo].[VariantDependenciesDefinitions] DROP CONSTRAINT [FK_VariantDependenciesDefinitions_SlaveWordtype]</v>
      </c>
    </row>
    <row r="41" spans="1:5">
      <c r="A41" t="s">
        <v>176</v>
      </c>
      <c r="B41" t="s">
        <v>112</v>
      </c>
      <c r="D41" t="s">
        <v>135</v>
      </c>
      <c r="E41" t="str">
        <f t="shared" si="0"/>
        <v>IF OBJECT_ID('FK_VariantSetRequiredProperties_Language', 'F') IS NOT NULL ALTER TABLE [dbo].[VariantSetRequiredProperties] DROP CONSTRAINT [FK_VariantSetRequiredProperties_Language]</v>
      </c>
    </row>
    <row r="42" spans="1:5">
      <c r="A42" t="s">
        <v>177</v>
      </c>
      <c r="B42" t="s">
        <v>112</v>
      </c>
      <c r="D42" t="s">
        <v>135</v>
      </c>
      <c r="E42" t="str">
        <f t="shared" si="0"/>
        <v>IF OBJECT_ID('FK_VariantSetRequiredProperties_Wordtype', 'F') IS NOT NULL ALTER TABLE [dbo].[VariantSetRequiredProperties] DROP CONSTRAINT [FK_VariantSetRequiredProperties_Wordtype]</v>
      </c>
    </row>
    <row r="43" spans="1:5">
      <c r="A43" t="s">
        <v>178</v>
      </c>
      <c r="B43" t="s">
        <v>112</v>
      </c>
      <c r="D43" t="s">
        <v>135</v>
      </c>
      <c r="E43" t="str">
        <f t="shared" si="0"/>
        <v>IF OBJECT_ID('FK_VariantSetRequiredProperties_Property', 'F') IS NOT NULL ALTER TABLE [dbo].[VariantSetRequiredProperties] DROP CONSTRAINT [FK_VariantSetRequiredProperties_Property]</v>
      </c>
    </row>
    <row r="44" spans="1:5">
      <c r="A44" t="s">
        <v>179</v>
      </c>
      <c r="B44" t="s">
        <v>116</v>
      </c>
      <c r="D44" t="s">
        <v>135</v>
      </c>
      <c r="E44" t="str">
        <f t="shared" si="0"/>
        <v>IF OBJECT_ID('FK_QuestionCreator', 'F') IS NOT NULL ALTER TABLE [dbo].[Questions] DROP CONSTRAINT [FK_QuestionCreator]</v>
      </c>
    </row>
    <row r="45" spans="1:5">
      <c r="A45" t="s">
        <v>180</v>
      </c>
      <c r="B45" t="s">
        <v>116</v>
      </c>
      <c r="D45" t="s">
        <v>135</v>
      </c>
      <c r="E45" t="str">
        <f t="shared" si="0"/>
        <v>IF OBJECT_ID('FK_Questions_Creator', 'F') IS NOT NULL ALTER TABLE [dbo].[Questions] DROP CONSTRAINT [FK_Questions_Creator]</v>
      </c>
    </row>
    <row r="46" spans="1:5">
      <c r="A46" t="s">
        <v>181</v>
      </c>
      <c r="B46" t="s">
        <v>118</v>
      </c>
      <c r="D46" t="s">
        <v>135</v>
      </c>
      <c r="E46" t="str">
        <f t="shared" si="0"/>
        <v>IF OBJECT_ID('FK_MatchQuestionCategory_Question', 'F') IS NOT NULL ALTER TABLE [dbo].[MatchQuestionCategory] DROP CONSTRAINT [FK_MatchQuestionCategory_Question]</v>
      </c>
    </row>
    <row r="47" spans="1:5">
      <c r="A47" t="s">
        <v>182</v>
      </c>
      <c r="B47" t="s">
        <v>118</v>
      </c>
      <c r="D47" t="s">
        <v>135</v>
      </c>
      <c r="E47" t="str">
        <f t="shared" si="0"/>
        <v>IF OBJECT_ID('FK_MatchQuestionCategory_Category', 'F') IS NOT NULL ALTER TABLE [dbo].[MatchQuestionCategory] DROP CONSTRAINT [FK_MatchQuestionCategory_Category]</v>
      </c>
    </row>
    <row r="48" spans="1:5">
      <c r="A48" t="s">
        <v>183</v>
      </c>
      <c r="B48" t="s">
        <v>118</v>
      </c>
      <c r="D48" t="s">
        <v>135</v>
      </c>
      <c r="E48" t="str">
        <f t="shared" si="0"/>
        <v>IF OBJECT_ID('FK_MatchQuestionCategory_Creator', 'F') IS NOT NULL ALTER TABLE [dbo].[MatchQuestionCategory] DROP CONSTRAINT [FK_MatchQuestionCategory_Creator]</v>
      </c>
    </row>
    <row r="49" spans="1:5">
      <c r="A49" t="s">
        <v>184</v>
      </c>
      <c r="B49" t="s">
        <v>120</v>
      </c>
      <c r="D49" t="s">
        <v>135</v>
      </c>
      <c r="E49" t="str">
        <f t="shared" si="0"/>
        <v>IF OBJECT_ID('FK_QuestionsOptions_Question', 'F') IS NOT NULL ALTER TABLE [dbo].[QuestionsOptions] DROP CONSTRAINT [FK_QuestionsOptions_Question]</v>
      </c>
    </row>
    <row r="50" spans="1:5">
      <c r="A50" t="s">
        <v>185</v>
      </c>
      <c r="B50" t="s">
        <v>120</v>
      </c>
      <c r="D50" t="s">
        <v>135</v>
      </c>
      <c r="E50" t="str">
        <f t="shared" si="0"/>
        <v>IF OBJECT_ID('FK_QuestionsOptions_Creator', 'F') IS NOT NULL ALTER TABLE [dbo].[QuestionsOptions] DROP CONSTRAINT [FK_QuestionsOptions_Creator]</v>
      </c>
    </row>
    <row r="51" spans="1:5">
      <c r="A51" t="s">
        <v>186</v>
      </c>
      <c r="B51" t="s">
        <v>120</v>
      </c>
      <c r="D51" t="s">
        <v>135</v>
      </c>
      <c r="E51" t="str">
        <f t="shared" si="0"/>
        <v>IF OBJECT_ID('FK_QuestionsOptions_Language', 'F') IS NOT NULL ALTER TABLE [dbo].[QuestionsOptions] DROP CONSTRAINT [FK_QuestionsOptions_Language]</v>
      </c>
    </row>
    <row r="52" spans="1:5">
      <c r="A52" t="s">
        <v>187</v>
      </c>
      <c r="B52" t="s">
        <v>122</v>
      </c>
      <c r="D52" t="s">
        <v>135</v>
      </c>
      <c r="E52" t="str">
        <f t="shared" si="0"/>
        <v>IF OBJECT_ID('FK_VariantSets_Question', 'F') IS NOT NULL ALTER TABLE [dbo].[VariantSets] DROP CONSTRAINT [FK_VariantSets_Question]</v>
      </c>
    </row>
    <row r="53" spans="1:5">
      <c r="A53" t="s">
        <v>188</v>
      </c>
      <c r="B53" t="s">
        <v>122</v>
      </c>
      <c r="D53" t="s">
        <v>135</v>
      </c>
      <c r="E53" t="str">
        <f t="shared" si="0"/>
        <v>IF OBJECT_ID('FK_VariantSets_Language', 'F') IS NOT NULL ALTER TABLE [dbo].[VariantSets] DROP CONSTRAINT [FK_VariantSets_Language]</v>
      </c>
    </row>
    <row r="54" spans="1:5">
      <c r="A54" t="s">
        <v>189</v>
      </c>
      <c r="B54" t="s">
        <v>122</v>
      </c>
      <c r="D54" t="s">
        <v>135</v>
      </c>
      <c r="E54" t="str">
        <f t="shared" si="0"/>
        <v>IF OBJECT_ID('FK_VariantSets_Wordtype', 'F') IS NOT NULL ALTER TABLE [dbo].[VariantSets] DROP CONSTRAINT [FK_VariantSets_Wordtype]</v>
      </c>
    </row>
    <row r="55" spans="1:5">
      <c r="A55" t="s">
        <v>190</v>
      </c>
      <c r="B55" t="s">
        <v>122</v>
      </c>
      <c r="D55" t="s">
        <v>135</v>
      </c>
      <c r="E55" t="str">
        <f t="shared" si="0"/>
        <v>IF OBJECT_ID('FK_VariantSets_Creator', 'F') IS NOT NULL ALTER TABLE [dbo].[VariantSets] DROP CONSTRAINT [FK_VariantSets_Creator]</v>
      </c>
    </row>
    <row r="56" spans="1:5">
      <c r="A56" t="s">
        <v>191</v>
      </c>
      <c r="B56" t="s">
        <v>125</v>
      </c>
      <c r="D56" t="s">
        <v>135</v>
      </c>
      <c r="E56" t="str">
        <f t="shared" si="0"/>
        <v>IF OBJECT_ID('FK_VariantSetProperties_VariantSet', 'F') IS NOT NULL ALTER TABLE [dbo].[VariantSetProperties] DROP CONSTRAINT [FK_VariantSetProperties_VariantSet]</v>
      </c>
    </row>
    <row r="57" spans="1:5">
      <c r="A57" t="s">
        <v>192</v>
      </c>
      <c r="B57" t="s">
        <v>125</v>
      </c>
      <c r="D57" t="s">
        <v>135</v>
      </c>
      <c r="E57" t="str">
        <f t="shared" si="0"/>
        <v>IF OBJECT_ID('FK_VariantSetProperties_Property', 'F') IS NOT NULL ALTER TABLE [dbo].[VariantSetProperties] DROP CONSTRAINT [FK_VariantSetProperties_Property]</v>
      </c>
    </row>
    <row r="58" spans="1:5">
      <c r="A58" t="s">
        <v>193</v>
      </c>
      <c r="B58" t="s">
        <v>127</v>
      </c>
      <c r="D58" t="s">
        <v>135</v>
      </c>
      <c r="E58" t="str">
        <f t="shared" si="0"/>
        <v>IF OBJECT_ID('FK_Variants_Words', 'F') IS NOT NULL ALTER TABLE [dbo].[Variants] DROP CONSTRAINT [FK_Variants_Words]</v>
      </c>
    </row>
    <row r="59" spans="1:5">
      <c r="A59" t="s">
        <v>194</v>
      </c>
      <c r="B59" t="s">
        <v>127</v>
      </c>
      <c r="D59" t="s">
        <v>135</v>
      </c>
      <c r="E59" t="str">
        <f t="shared" si="0"/>
        <v>IF OBJECT_ID('FK_Variants_Set', 'F') IS NOT NULL ALTER TABLE [dbo].[Variants] DROP CONSTRAINT [FK_Variants_Set]</v>
      </c>
    </row>
    <row r="60" spans="1:5">
      <c r="A60" t="s">
        <v>195</v>
      </c>
      <c r="B60" t="s">
        <v>127</v>
      </c>
      <c r="D60" t="s">
        <v>135</v>
      </c>
      <c r="E60" t="str">
        <f t="shared" si="0"/>
        <v>IF OBJECT_ID('FK_Variants_Creator', 'F') IS NOT NULL ALTER TABLE [dbo].[Variants] DROP CONSTRAINT [FK_Variants_Creator]</v>
      </c>
    </row>
    <row r="61" spans="1:5">
      <c r="A61" t="s">
        <v>196</v>
      </c>
      <c r="B61" t="s">
        <v>129</v>
      </c>
      <c r="D61" t="s">
        <v>135</v>
      </c>
      <c r="E61" t="str">
        <f t="shared" si="0"/>
        <v>IF OBJECT_ID('FK_VariantConnections_VariantSet', 'F') IS NOT NULL ALTER TABLE [dbo].[VariantConnections] DROP CONSTRAINT [FK_VariantConnections_VariantSet]</v>
      </c>
    </row>
    <row r="62" spans="1:5">
      <c r="A62" t="s">
        <v>197</v>
      </c>
      <c r="B62" t="s">
        <v>129</v>
      </c>
      <c r="D62" t="s">
        <v>135</v>
      </c>
      <c r="E62" t="str">
        <f t="shared" si="0"/>
        <v>IF OBJECT_ID('FK_VariantConnections_ConnectedSet', 'F') IS NOT NULL ALTER TABLE [dbo].[VariantConnections] DROP CONSTRAINT [FK_VariantConnections_ConnectedSet]</v>
      </c>
    </row>
    <row r="63" spans="1:5">
      <c r="A63" t="s">
        <v>198</v>
      </c>
      <c r="B63" t="s">
        <v>129</v>
      </c>
      <c r="D63" t="s">
        <v>135</v>
      </c>
      <c r="E63" t="str">
        <f t="shared" si="0"/>
        <v>IF OBJECT_ID('FK_VariantConnections_Creator', 'F') IS NOT NULL ALTER TABLE [dbo].[VariantConnections] DROP CONSTRAINT [FK_VariantConnections_Creator]</v>
      </c>
    </row>
    <row r="64" spans="1:5">
      <c r="A64" t="s">
        <v>199</v>
      </c>
      <c r="B64" t="s">
        <v>129</v>
      </c>
      <c r="D64" t="s">
        <v>136</v>
      </c>
      <c r="E64" t="str">
        <f t="shared" si="0"/>
        <v>IF OBJECT_ID('CH_VariantConnections_VariantsOfTheSameQuestion', 'C') IS NOT NULL ALTER TABLE [dbo].[VariantConnections] DROP CONSTRAINT [CH_VariantConnections_VariantsOfTheSameQuestion]</v>
      </c>
    </row>
    <row r="65" spans="1:5">
      <c r="A65" t="s">
        <v>200</v>
      </c>
      <c r="B65" t="s">
        <v>131</v>
      </c>
      <c r="D65" t="s">
        <v>135</v>
      </c>
      <c r="E65" t="str">
        <f t="shared" si="0"/>
        <v>IF OBJECT_ID('FK_VariantDependencies_MainSet', 'F') IS NOT NULL ALTER TABLE [dbo].[VariantDependencies] DROP CONSTRAINT [FK_VariantDependencies_MainSet]</v>
      </c>
    </row>
    <row r="66" spans="1:5">
      <c r="A66" t="s">
        <v>201</v>
      </c>
      <c r="B66" t="s">
        <v>131</v>
      </c>
      <c r="D66" t="s">
        <v>135</v>
      </c>
      <c r="E66" t="str">
        <f t="shared" ref="E66:E70" si="1">"IF OBJECT_ID('"&amp;A66&amp;"', '"&amp;D66&amp;"') IS NOT NULL ALTER TABLE [dbo]."&amp;B66&amp;" DROP CONSTRAINT ["&amp;A66&amp;"]"</f>
        <v>IF OBJECT_ID('FK_VariantDependencies_DependantSet', 'F') IS NOT NULL ALTER TABLE [dbo].[VariantDependencies] DROP CONSTRAINT [FK_VariantDependencies_DependantSet]</v>
      </c>
    </row>
    <row r="67" spans="1:5">
      <c r="A67" t="s">
        <v>202</v>
      </c>
      <c r="B67" t="s">
        <v>131</v>
      </c>
      <c r="D67" t="s">
        <v>136</v>
      </c>
      <c r="E67" t="str">
        <f t="shared" si="1"/>
        <v>IF OBJECT_ID('CH_VariantDependencies_VariantsOfTheSameQuestion', 'C') IS NOT NULL ALTER TABLE [dbo].[VariantDependencies] DROP CONSTRAINT [CH_VariantDependencies_VariantsOfTheSameQuestion]</v>
      </c>
    </row>
    <row r="68" spans="1:5">
      <c r="A68" t="s">
        <v>203</v>
      </c>
      <c r="B68" t="s">
        <v>133</v>
      </c>
      <c r="D68" t="s">
        <v>135</v>
      </c>
      <c r="E68" t="str">
        <f t="shared" si="1"/>
        <v>IF OBJECT_ID('FK_VariantLimits_Variant', 'F') IS NOT NULL ALTER TABLE [dbo].[VariantLimits] DROP CONSTRAINT [FK_VariantLimits_Variant]</v>
      </c>
    </row>
    <row r="69" spans="1:5">
      <c r="A69" t="s">
        <v>204</v>
      </c>
      <c r="B69" t="s">
        <v>133</v>
      </c>
      <c r="D69" t="s">
        <v>135</v>
      </c>
      <c r="E69" t="str">
        <f t="shared" si="1"/>
        <v>IF OBJECT_ID('FK_VariantLimits_ConnectedVariant', 'F') IS NOT NULL ALTER TABLE [dbo].[VariantLimits] DROP CONSTRAINT [FK_VariantLimits_ConnectedVariant]</v>
      </c>
    </row>
    <row r="70" spans="1:5">
      <c r="A70" t="s">
        <v>205</v>
      </c>
      <c r="B70" t="s">
        <v>133</v>
      </c>
      <c r="D70" t="s">
        <v>135</v>
      </c>
      <c r="E70" t="str">
        <f t="shared" si="1"/>
        <v>IF OBJECT_ID('CH_VariantLimits_VariantsOfDifferentSets', 'F') IS NOT NULL ALTER TABLE [dbo].[VariantLimits] DROP CONSTRAINT [CH_VariantLimits_VariantsOfDifferentSets]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36"/>
  <sheetViews>
    <sheetView workbookViewId="0">
      <selection activeCell="D18" sqref="D18"/>
    </sheetView>
  </sheetViews>
  <sheetFormatPr defaultRowHeight="15"/>
  <cols>
    <col min="4" max="4" width="23" bestFit="1" customWidth="1"/>
    <col min="6" max="6" width="20.42578125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1">
      <c r="A2">
        <v>1</v>
      </c>
      <c r="B2">
        <v>1</v>
      </c>
      <c r="C2">
        <v>1</v>
      </c>
      <c r="D2" t="s">
        <v>9</v>
      </c>
      <c r="E2" s="1">
        <v>0.3840277777777778</v>
      </c>
      <c r="F2" t="s">
        <v>10</v>
      </c>
      <c r="G2">
        <v>1</v>
      </c>
      <c r="H2" t="s">
        <v>11</v>
      </c>
      <c r="I2">
        <v>1</v>
      </c>
      <c r="K2" t="s">
        <v>60</v>
      </c>
    </row>
    <row r="3" spans="1:11">
      <c r="A3">
        <v>2</v>
      </c>
      <c r="B3">
        <v>1</v>
      </c>
      <c r="C3">
        <v>1</v>
      </c>
      <c r="D3" t="s">
        <v>12</v>
      </c>
      <c r="E3" s="1">
        <v>0.38472222222222219</v>
      </c>
      <c r="F3" t="s">
        <v>10</v>
      </c>
      <c r="G3">
        <v>1</v>
      </c>
      <c r="H3" t="s">
        <v>11</v>
      </c>
      <c r="I3">
        <v>2</v>
      </c>
      <c r="K3" t="s">
        <v>61</v>
      </c>
    </row>
    <row r="4" spans="1:11">
      <c r="A4">
        <v>3</v>
      </c>
      <c r="B4">
        <v>1</v>
      </c>
      <c r="C4">
        <v>1</v>
      </c>
      <c r="D4" t="s">
        <v>13</v>
      </c>
      <c r="E4" s="1">
        <v>0.38541666666666669</v>
      </c>
      <c r="F4" t="s">
        <v>10</v>
      </c>
      <c r="G4">
        <v>1</v>
      </c>
      <c r="H4" t="s">
        <v>11</v>
      </c>
      <c r="I4">
        <v>3</v>
      </c>
    </row>
    <row r="5" spans="1:11">
      <c r="A5">
        <v>4</v>
      </c>
      <c r="B5">
        <v>1</v>
      </c>
      <c r="C5">
        <v>1</v>
      </c>
      <c r="D5" t="s">
        <v>14</v>
      </c>
      <c r="E5" s="1">
        <v>0.38680555555555557</v>
      </c>
      <c r="F5" t="s">
        <v>10</v>
      </c>
      <c r="G5">
        <v>1</v>
      </c>
      <c r="H5" t="s">
        <v>11</v>
      </c>
      <c r="I5">
        <v>4</v>
      </c>
    </row>
    <row r="6" spans="1:11">
      <c r="A6">
        <v>5</v>
      </c>
      <c r="B6">
        <v>1</v>
      </c>
      <c r="C6">
        <v>1</v>
      </c>
      <c r="D6" t="s">
        <v>15</v>
      </c>
      <c r="E6" s="1">
        <v>0.38750000000000001</v>
      </c>
      <c r="F6" t="s">
        <v>10</v>
      </c>
      <c r="G6">
        <v>1</v>
      </c>
      <c r="H6" t="s">
        <v>11</v>
      </c>
      <c r="I6">
        <v>5</v>
      </c>
    </row>
    <row r="7" spans="1:11">
      <c r="A7">
        <v>16</v>
      </c>
      <c r="B7">
        <v>1</v>
      </c>
      <c r="C7">
        <v>1</v>
      </c>
      <c r="D7" t="s">
        <v>16</v>
      </c>
      <c r="E7" s="1">
        <v>0.3888888888888889</v>
      </c>
      <c r="F7" t="s">
        <v>10</v>
      </c>
      <c r="G7">
        <v>1</v>
      </c>
      <c r="H7" t="s">
        <v>11</v>
      </c>
      <c r="I7">
        <v>6</v>
      </c>
    </row>
    <row r="8" spans="1:11">
      <c r="A8">
        <v>17</v>
      </c>
      <c r="B8">
        <v>1</v>
      </c>
      <c r="C8">
        <v>1</v>
      </c>
      <c r="D8" t="s">
        <v>17</v>
      </c>
      <c r="E8" s="1">
        <v>0.38958333333333334</v>
      </c>
      <c r="F8" t="s">
        <v>10</v>
      </c>
      <c r="G8">
        <v>1</v>
      </c>
      <c r="H8" t="s">
        <v>11</v>
      </c>
      <c r="I8">
        <v>7</v>
      </c>
    </row>
    <row r="9" spans="1:11">
      <c r="A9">
        <v>18</v>
      </c>
      <c r="B9">
        <v>1</v>
      </c>
      <c r="C9">
        <v>1</v>
      </c>
      <c r="D9" t="s">
        <v>18</v>
      </c>
      <c r="E9" t="s">
        <v>19</v>
      </c>
      <c r="F9" t="s">
        <v>20</v>
      </c>
      <c r="G9">
        <v>0</v>
      </c>
      <c r="H9" s="1">
        <v>8.6805555555555566E-2</v>
      </c>
      <c r="I9">
        <v>1</v>
      </c>
    </row>
    <row r="10" spans="1:11">
      <c r="A10">
        <v>20</v>
      </c>
      <c r="B10">
        <v>1</v>
      </c>
      <c r="C10">
        <v>1</v>
      </c>
      <c r="D10" t="s">
        <v>21</v>
      </c>
      <c r="E10" t="s">
        <v>22</v>
      </c>
      <c r="F10" t="s">
        <v>20</v>
      </c>
      <c r="G10">
        <v>0</v>
      </c>
      <c r="H10" s="1">
        <v>8.6805555555555566E-2</v>
      </c>
      <c r="I10">
        <v>2</v>
      </c>
    </row>
    <row r="11" spans="1:11">
      <c r="A11">
        <v>21</v>
      </c>
      <c r="B11">
        <v>1</v>
      </c>
      <c r="C11">
        <v>1</v>
      </c>
      <c r="D11" t="s">
        <v>23</v>
      </c>
      <c r="E11" t="s">
        <v>24</v>
      </c>
      <c r="F11" t="s">
        <v>20</v>
      </c>
      <c r="G11">
        <v>0</v>
      </c>
      <c r="H11" s="1">
        <v>8.6805555555555566E-2</v>
      </c>
      <c r="I11">
        <v>3</v>
      </c>
    </row>
    <row r="12" spans="1:11">
      <c r="A12">
        <v>22</v>
      </c>
      <c r="B12">
        <v>1</v>
      </c>
      <c r="C12">
        <v>1</v>
      </c>
      <c r="D12" t="s">
        <v>25</v>
      </c>
      <c r="E12" t="s">
        <v>26</v>
      </c>
      <c r="F12" t="s">
        <v>20</v>
      </c>
      <c r="G12">
        <v>0</v>
      </c>
      <c r="H12" s="1">
        <v>8.6805555555555566E-2</v>
      </c>
      <c r="I12">
        <v>4</v>
      </c>
    </row>
    <row r="13" spans="1:11">
      <c r="A13">
        <v>23</v>
      </c>
      <c r="B13">
        <v>1</v>
      </c>
      <c r="C13">
        <v>1</v>
      </c>
      <c r="D13" t="s">
        <v>27</v>
      </c>
      <c r="E13" t="s">
        <v>28</v>
      </c>
      <c r="F13" t="s">
        <v>20</v>
      </c>
      <c r="G13">
        <v>0</v>
      </c>
      <c r="H13" s="1">
        <v>8.6805555555555566E-2</v>
      </c>
      <c r="I13">
        <v>5</v>
      </c>
    </row>
    <row r="14" spans="1:11">
      <c r="A14">
        <v>24</v>
      </c>
      <c r="B14">
        <v>1</v>
      </c>
      <c r="C14">
        <v>1</v>
      </c>
      <c r="D14" t="s">
        <v>29</v>
      </c>
      <c r="E14" t="s">
        <v>30</v>
      </c>
      <c r="F14" t="s">
        <v>20</v>
      </c>
      <c r="G14">
        <v>0</v>
      </c>
      <c r="H14" s="1">
        <v>8.6805555555555566E-2</v>
      </c>
      <c r="I14">
        <v>6</v>
      </c>
    </row>
    <row r="15" spans="1:11">
      <c r="A15">
        <v>25</v>
      </c>
      <c r="B15">
        <v>1</v>
      </c>
      <c r="C15">
        <v>1</v>
      </c>
      <c r="D15" t="s">
        <v>31</v>
      </c>
      <c r="E15" t="s">
        <v>32</v>
      </c>
      <c r="F15" t="s">
        <v>20</v>
      </c>
      <c r="G15">
        <v>0</v>
      </c>
      <c r="H15" s="1">
        <v>8.6805555555555566E-2</v>
      </c>
      <c r="I15">
        <v>7</v>
      </c>
    </row>
    <row r="16" spans="1:11">
      <c r="A16">
        <v>28</v>
      </c>
      <c r="B16">
        <v>1</v>
      </c>
      <c r="C16">
        <v>1</v>
      </c>
      <c r="D16" t="s">
        <v>33</v>
      </c>
      <c r="E16" t="s">
        <v>34</v>
      </c>
      <c r="F16" t="s">
        <v>35</v>
      </c>
      <c r="G16">
        <v>0</v>
      </c>
      <c r="H16" s="1">
        <v>8.6111111111111124E-2</v>
      </c>
      <c r="I16">
        <v>1</v>
      </c>
    </row>
    <row r="17" spans="1:9">
      <c r="A17">
        <v>29</v>
      </c>
      <c r="B17">
        <v>1</v>
      </c>
      <c r="C17">
        <v>1</v>
      </c>
      <c r="D17" t="s">
        <v>36</v>
      </c>
      <c r="E17" t="s">
        <v>37</v>
      </c>
      <c r="F17" t="s">
        <v>35</v>
      </c>
      <c r="G17">
        <v>0</v>
      </c>
      <c r="H17" s="1">
        <v>8.6111111111111124E-2</v>
      </c>
      <c r="I17">
        <v>2</v>
      </c>
    </row>
    <row r="18" spans="1:9">
      <c r="A18">
        <v>30</v>
      </c>
      <c r="B18">
        <v>1</v>
      </c>
      <c r="C18">
        <v>1</v>
      </c>
      <c r="D18" t="s">
        <v>38</v>
      </c>
      <c r="E18" t="s">
        <v>39</v>
      </c>
      <c r="F18" t="s">
        <v>35</v>
      </c>
      <c r="G18">
        <v>0</v>
      </c>
      <c r="H18" s="1">
        <v>8.6111111111111124E-2</v>
      </c>
      <c r="I18">
        <v>3</v>
      </c>
    </row>
    <row r="19" spans="1:9">
      <c r="A19">
        <v>31</v>
      </c>
      <c r="B19">
        <v>1</v>
      </c>
      <c r="C19">
        <v>1</v>
      </c>
      <c r="D19" t="s">
        <v>40</v>
      </c>
      <c r="E19" t="s">
        <v>41</v>
      </c>
      <c r="F19" t="s">
        <v>35</v>
      </c>
      <c r="G19">
        <v>0</v>
      </c>
      <c r="H19" s="1">
        <v>8.6111111111111124E-2</v>
      </c>
      <c r="I19">
        <v>4</v>
      </c>
    </row>
    <row r="20" spans="1:9">
      <c r="A20">
        <v>32</v>
      </c>
      <c r="B20">
        <v>1</v>
      </c>
      <c r="C20">
        <v>1</v>
      </c>
      <c r="D20" t="s">
        <v>42</v>
      </c>
      <c r="E20" t="s">
        <v>43</v>
      </c>
      <c r="F20" t="s">
        <v>35</v>
      </c>
      <c r="G20">
        <v>0</v>
      </c>
      <c r="H20" s="1">
        <v>8.6111111111111124E-2</v>
      </c>
      <c r="I20">
        <v>5</v>
      </c>
    </row>
    <row r="21" spans="1:9">
      <c r="A21">
        <v>33</v>
      </c>
      <c r="B21">
        <v>1</v>
      </c>
      <c r="C21">
        <v>1</v>
      </c>
      <c r="D21" t="s">
        <v>44</v>
      </c>
      <c r="E21" t="s">
        <v>45</v>
      </c>
      <c r="F21" t="s">
        <v>35</v>
      </c>
      <c r="G21">
        <v>0</v>
      </c>
      <c r="H21" s="1">
        <v>8.6111111111111124E-2</v>
      </c>
      <c r="I21">
        <v>6</v>
      </c>
    </row>
    <row r="22" spans="1:9">
      <c r="A22">
        <v>34</v>
      </c>
      <c r="B22">
        <v>1</v>
      </c>
      <c r="C22">
        <v>1</v>
      </c>
      <c r="D22" t="s">
        <v>46</v>
      </c>
      <c r="E22" t="s">
        <v>47</v>
      </c>
      <c r="F22" t="s">
        <v>35</v>
      </c>
      <c r="G22">
        <v>0</v>
      </c>
      <c r="H22" s="1">
        <v>8.6111111111111124E-2</v>
      </c>
      <c r="I22">
        <v>7</v>
      </c>
    </row>
    <row r="23" spans="1:9">
      <c r="A23">
        <v>38</v>
      </c>
      <c r="B23">
        <v>1</v>
      </c>
      <c r="C23">
        <v>1</v>
      </c>
      <c r="D23" t="s">
        <v>48</v>
      </c>
      <c r="E23" s="1">
        <v>0.39027777777777778</v>
      </c>
      <c r="F23" t="s">
        <v>20</v>
      </c>
      <c r="G23">
        <v>0</v>
      </c>
      <c r="H23" s="1">
        <v>0.16666666666666666</v>
      </c>
      <c r="I23">
        <v>8</v>
      </c>
    </row>
    <row r="24" spans="1:9">
      <c r="A24">
        <v>39</v>
      </c>
      <c r="B24">
        <v>1</v>
      </c>
      <c r="C24">
        <v>1</v>
      </c>
      <c r="D24" t="s">
        <v>49</v>
      </c>
      <c r="E24" s="1">
        <v>0.39097222222222222</v>
      </c>
      <c r="F24" t="s">
        <v>20</v>
      </c>
      <c r="G24">
        <v>0</v>
      </c>
      <c r="H24" s="1">
        <v>0.16666666666666666</v>
      </c>
      <c r="I24">
        <v>9</v>
      </c>
    </row>
    <row r="25" spans="1:9">
      <c r="A25">
        <v>40</v>
      </c>
      <c r="B25">
        <v>1</v>
      </c>
      <c r="C25">
        <v>1</v>
      </c>
      <c r="D25" t="s">
        <v>50</v>
      </c>
      <c r="E25" t="s">
        <v>51</v>
      </c>
      <c r="F25" t="s">
        <v>10</v>
      </c>
      <c r="G25">
        <v>1</v>
      </c>
      <c r="H25" s="1">
        <v>0.16666666666666666</v>
      </c>
      <c r="I25">
        <v>8</v>
      </c>
    </row>
    <row r="26" spans="1:9">
      <c r="A26">
        <v>41</v>
      </c>
      <c r="B26">
        <v>1</v>
      </c>
      <c r="C26">
        <v>1</v>
      </c>
      <c r="D26" t="s">
        <v>52</v>
      </c>
      <c r="E26" t="s">
        <v>53</v>
      </c>
      <c r="F26" t="s">
        <v>10</v>
      </c>
      <c r="G26">
        <v>1</v>
      </c>
      <c r="H26" s="1">
        <v>0.16666666666666666</v>
      </c>
      <c r="I26">
        <v>9</v>
      </c>
    </row>
    <row r="27" spans="1:9">
      <c r="A27">
        <v>42</v>
      </c>
      <c r="B27">
        <v>2</v>
      </c>
      <c r="C27">
        <v>1</v>
      </c>
      <c r="D27" t="s">
        <v>54</v>
      </c>
      <c r="E27" s="1">
        <v>0.43333333333333335</v>
      </c>
      <c r="F27" t="s">
        <v>10</v>
      </c>
      <c r="G27">
        <v>1</v>
      </c>
      <c r="H27" t="s">
        <v>11</v>
      </c>
      <c r="I27">
        <v>1</v>
      </c>
    </row>
    <row r="28" spans="1:9">
      <c r="A28">
        <v>43</v>
      </c>
      <c r="B28">
        <v>2</v>
      </c>
      <c r="C28">
        <v>1</v>
      </c>
      <c r="D28" t="s">
        <v>55</v>
      </c>
      <c r="E28" s="1">
        <v>0.25694444444444448</v>
      </c>
      <c r="F28" t="s">
        <v>10</v>
      </c>
      <c r="G28">
        <v>1</v>
      </c>
      <c r="H28" t="s">
        <v>11</v>
      </c>
      <c r="I28">
        <v>2</v>
      </c>
    </row>
    <row r="29" spans="1:9">
      <c r="A29">
        <v>44</v>
      </c>
      <c r="B29">
        <v>2</v>
      </c>
      <c r="C29">
        <v>1</v>
      </c>
      <c r="D29" t="s">
        <v>56</v>
      </c>
      <c r="E29" s="1">
        <v>0.25763888888888892</v>
      </c>
      <c r="F29" t="s">
        <v>10</v>
      </c>
      <c r="G29">
        <v>1</v>
      </c>
      <c r="H29" t="s">
        <v>11</v>
      </c>
      <c r="I29">
        <v>3</v>
      </c>
    </row>
    <row r="30" spans="1:9">
      <c r="A30">
        <v>45</v>
      </c>
      <c r="B30">
        <v>2</v>
      </c>
      <c r="C30">
        <v>1</v>
      </c>
      <c r="D30" t="s">
        <v>54</v>
      </c>
      <c r="E30" s="1">
        <v>0.43333333333333335</v>
      </c>
      <c r="F30" t="s">
        <v>57</v>
      </c>
      <c r="G30">
        <v>0</v>
      </c>
      <c r="H30" t="s">
        <v>11</v>
      </c>
      <c r="I30">
        <v>1</v>
      </c>
    </row>
    <row r="31" spans="1:9">
      <c r="A31">
        <v>46</v>
      </c>
      <c r="B31">
        <v>2</v>
      </c>
      <c r="C31">
        <v>1</v>
      </c>
      <c r="D31" t="s">
        <v>55</v>
      </c>
      <c r="E31" s="1">
        <v>0.25694444444444448</v>
      </c>
      <c r="F31" t="s">
        <v>57</v>
      </c>
      <c r="G31">
        <v>0</v>
      </c>
      <c r="H31" s="1">
        <v>0.25763888888888892</v>
      </c>
      <c r="I31">
        <v>2</v>
      </c>
    </row>
    <row r="32" spans="1:9">
      <c r="A32">
        <v>47</v>
      </c>
      <c r="B32">
        <v>2</v>
      </c>
      <c r="C32">
        <v>1</v>
      </c>
      <c r="D32" t="s">
        <v>56</v>
      </c>
      <c r="E32" s="1">
        <v>0.25763888888888892</v>
      </c>
      <c r="F32" t="s">
        <v>57</v>
      </c>
      <c r="G32">
        <v>0</v>
      </c>
      <c r="H32" s="1">
        <v>0.25694444444444448</v>
      </c>
      <c r="I32">
        <v>3</v>
      </c>
    </row>
    <row r="33" spans="1:9">
      <c r="A33">
        <v>48</v>
      </c>
      <c r="B33">
        <v>2</v>
      </c>
      <c r="C33">
        <v>1</v>
      </c>
      <c r="D33" t="s">
        <v>58</v>
      </c>
      <c r="E33" s="1">
        <v>0.43402777777777773</v>
      </c>
      <c r="F33" t="s">
        <v>10</v>
      </c>
      <c r="G33">
        <v>1</v>
      </c>
      <c r="H33" s="1">
        <v>0.33333333333333331</v>
      </c>
      <c r="I33">
        <v>4</v>
      </c>
    </row>
    <row r="34" spans="1:9">
      <c r="A34">
        <v>49</v>
      </c>
      <c r="B34">
        <v>2</v>
      </c>
      <c r="C34">
        <v>1</v>
      </c>
      <c r="D34" t="s">
        <v>59</v>
      </c>
      <c r="E34" s="1">
        <v>0.43402777777777773</v>
      </c>
      <c r="F34" t="s">
        <v>10</v>
      </c>
      <c r="G34">
        <v>1</v>
      </c>
      <c r="H34" s="1">
        <v>0.33333333333333331</v>
      </c>
      <c r="I34">
        <v>5</v>
      </c>
    </row>
    <row r="35" spans="1:9">
      <c r="A35">
        <v>50</v>
      </c>
      <c r="B35">
        <v>2</v>
      </c>
      <c r="C35">
        <v>1</v>
      </c>
      <c r="D35" t="s">
        <v>58</v>
      </c>
      <c r="E35" s="1">
        <v>0.43472222222222223</v>
      </c>
      <c r="F35" t="s">
        <v>57</v>
      </c>
      <c r="G35">
        <v>0</v>
      </c>
      <c r="H35" s="1">
        <v>0.33333333333333331</v>
      </c>
      <c r="I35">
        <v>4</v>
      </c>
    </row>
    <row r="36" spans="1:9">
      <c r="A36">
        <v>51</v>
      </c>
      <c r="B36">
        <v>2</v>
      </c>
      <c r="C36">
        <v>1</v>
      </c>
      <c r="D36" t="s">
        <v>59</v>
      </c>
      <c r="E36" s="1">
        <v>0.43472222222222223</v>
      </c>
      <c r="F36" t="s">
        <v>57</v>
      </c>
      <c r="G36">
        <v>0</v>
      </c>
      <c r="H36" s="1">
        <v>0.33333333333333331</v>
      </c>
      <c r="I36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Y1257"/>
  <sheetViews>
    <sheetView topLeftCell="A4" workbookViewId="0">
      <selection activeCell="B1" sqref="B1"/>
    </sheetView>
  </sheetViews>
  <sheetFormatPr defaultRowHeight="15"/>
  <cols>
    <col min="2" max="2" width="30.42578125" bestFit="1" customWidth="1"/>
    <col min="5" max="10" width="0" hidden="1" customWidth="1"/>
    <col min="12" max="12" width="8" customWidth="1"/>
    <col min="19" max="19" width="22.85546875" bestFit="1" customWidth="1"/>
    <col min="21" max="21" width="23.85546875" bestFit="1" customWidth="1"/>
    <col min="22" max="24" width="22.85546875" bestFit="1" customWidth="1"/>
    <col min="25" max="25" width="30.28515625" style="5" customWidth="1"/>
  </cols>
  <sheetData>
    <row r="1" spans="1:25">
      <c r="A1" t="s">
        <v>0</v>
      </c>
      <c r="B1" t="s">
        <v>3</v>
      </c>
      <c r="C1" t="s">
        <v>207</v>
      </c>
      <c r="D1" t="s">
        <v>208</v>
      </c>
      <c r="E1" t="s">
        <v>209</v>
      </c>
      <c r="F1" t="s">
        <v>210</v>
      </c>
      <c r="G1" t="s">
        <v>211</v>
      </c>
      <c r="H1" t="s">
        <v>212</v>
      </c>
      <c r="I1" t="s">
        <v>213</v>
      </c>
      <c r="J1" t="s">
        <v>214</v>
      </c>
      <c r="M1" t="s">
        <v>571</v>
      </c>
    </row>
    <row r="2" spans="1:25">
      <c r="A2">
        <v>1</v>
      </c>
      <c r="B2" t="s">
        <v>215</v>
      </c>
      <c r="C2">
        <v>1</v>
      </c>
      <c r="D2">
        <v>10</v>
      </c>
      <c r="E2">
        <v>1</v>
      </c>
      <c r="F2">
        <v>1</v>
      </c>
      <c r="G2" t="s">
        <v>216</v>
      </c>
      <c r="H2">
        <v>0</v>
      </c>
      <c r="I2">
        <v>0</v>
      </c>
      <c r="J2">
        <v>0</v>
      </c>
      <c r="L2" t="str">
        <f>"SELECT "&amp;A2&amp;", N'"&amp;B2&amp;"', "&amp;C2&amp;", "&amp;D2&amp;" UNION ALL"</f>
        <v>SELECT 1, N'Polska', 1, 10 UNION ALL</v>
      </c>
      <c r="M2" t="s">
        <v>555</v>
      </c>
      <c r="Q2">
        <f t="shared" ref="Q2" ca="1" si="0">IFERROR(VLOOKUP(M2,Kategorie,9,0),0)</f>
        <v>4</v>
      </c>
      <c r="R2">
        <f t="shared" ref="R2" ca="1" si="1">IFERROR(VLOOKUP(N2,Kategorie,9,0),0)</f>
        <v>0</v>
      </c>
      <c r="U2" t="str">
        <f ca="1">IF(Q2&gt;0,"SELECT "&amp;COUNTIF($Q$1:$T1,"&gt;0")+1&amp;", "&amp;$A2&amp;", "&amp;Q2&amp;" UNION ALL","")</f>
        <v>SELECT 1, 1, 4 UNION ALL</v>
      </c>
      <c r="V2" t="str">
        <f ca="1">IF(R2&gt;0,"SELECT "&amp;COUNTIF($Q$1:$T1,"&gt;0")+COUNTIF($Q2:Q2,"&gt;0")+1&amp;", "&amp;$A2&amp;", "&amp;R2&amp;" UNION ALL","")</f>
        <v/>
      </c>
      <c r="W2" t="str">
        <f>IF(S2&gt;0,"SELECT "&amp;COUNTIF($Q$1:$T1,"&gt;0")+COUNTIF($Q2:R2,"&gt;0")+1&amp;", "&amp;$A2&amp;", "&amp;S2&amp;" UNION ALL","")</f>
        <v/>
      </c>
      <c r="X2" t="str">
        <f>IF(T2&gt;0,"SELECT "&amp;COUNTIF($Q$1:$T1,"&gt;0")+COUNTIF($Q2:S2,"&gt;0")+1&amp;", "&amp;$A2&amp;", "&amp;T2&amp;" UNION ALL","")</f>
        <v/>
      </c>
      <c r="Y2" s="5" t="str">
        <f ca="1">SUBSTITUTE(IF(LEN(U2)&gt;0,U2,"")&amp;IF(LEN(V2)&gt;0,CHAR(10)&amp;V2,"")&amp;IF(LEN(W2)&gt;0,CHAR(10)&amp;W2,"")&amp;IF(LEN(X2)&gt;0,CHAR(10)&amp;X2,""),CHAR(34),"")</f>
        <v>SELECT 1, 1, 4 UNION ALL</v>
      </c>
    </row>
    <row r="3" spans="1:25">
      <c r="A3">
        <v>2</v>
      </c>
      <c r="B3" t="s">
        <v>217</v>
      </c>
      <c r="C3">
        <v>1</v>
      </c>
      <c r="D3">
        <v>10</v>
      </c>
      <c r="E3">
        <v>1</v>
      </c>
      <c r="F3">
        <v>1</v>
      </c>
      <c r="G3" t="s">
        <v>218</v>
      </c>
      <c r="H3">
        <v>0</v>
      </c>
      <c r="I3">
        <v>0</v>
      </c>
      <c r="J3">
        <v>0</v>
      </c>
      <c r="L3" t="str">
        <f t="shared" ref="L3:L66" si="2">"SELECT "&amp;A3&amp;", N'"&amp;B3&amp;"', "&amp;C3&amp;", "&amp;D3&amp;" UNION ALL"</f>
        <v>SELECT 2, N'pies', 1, 10 UNION ALL</v>
      </c>
      <c r="M3" t="s">
        <v>561</v>
      </c>
      <c r="Q3" s="6">
        <f t="shared" ref="Q3:Q66" ca="1" si="3">IFERROR(VLOOKUP(M3,Kategorie,9,0),0)</f>
        <v>18</v>
      </c>
      <c r="R3" s="6">
        <f t="shared" ref="R3:R66" ca="1" si="4">IFERROR(VLOOKUP(N3,Kategorie,9,0),0)</f>
        <v>0</v>
      </c>
      <c r="U3" t="str">
        <f ca="1">IF(Q3&gt;0,"SELECT "&amp;COUNTIF($Q$1:$T2,"&gt;0")+1&amp;", "&amp;$A3&amp;", "&amp;Q3&amp;" UNION ALL","")</f>
        <v>SELECT 2, 2, 18 UNION ALL</v>
      </c>
      <c r="V3" t="str">
        <f ca="1">IF(R3&gt;0,"SELECT "&amp;COUNTIF($Q$1:$T2,"&gt;0")+COUNTIF($Q3:Q3,"&gt;0")+1&amp;", "&amp;$A3&amp;", "&amp;R3&amp;" UNION ALL","")</f>
        <v/>
      </c>
      <c r="W3" t="str">
        <f>IF(S3&gt;0,"SELECT "&amp;COUNTIF($Q$1:$T2,"&gt;0")+COUNTIF($Q3:R3,"&gt;0")+1&amp;", "&amp;$A3&amp;", "&amp;S3&amp;" UNION ALL","")</f>
        <v/>
      </c>
      <c r="X3" t="str">
        <f>IF(T3&gt;0,"SELECT "&amp;COUNTIF($Q$1:$T2,"&gt;0")+COUNTIF($Q3:S3,"&gt;0")+1&amp;", "&amp;$A3&amp;", "&amp;T3&amp;" UNION ALL","")</f>
        <v/>
      </c>
      <c r="Y3" s="5" t="str">
        <f t="shared" ref="Y3" ca="1" si="5">SUBSTITUTE(IF(LEN(U3)&gt;0,U3,"")&amp;IF(LEN(V3)&gt;0,CHAR(10)&amp;V3,"")&amp;IF(LEN(W3)&gt;0,CHAR(10)&amp;W3,"")&amp;IF(LEN(X3)&gt;0,CHAR(10)&amp;X3,""),CHAR(34),"")</f>
        <v>SELECT 2, 2, 18 UNION ALL</v>
      </c>
    </row>
    <row r="4" spans="1:25">
      <c r="A4">
        <v>4</v>
      </c>
      <c r="B4" t="s">
        <v>219</v>
      </c>
      <c r="C4">
        <v>1</v>
      </c>
      <c r="D4">
        <v>10</v>
      </c>
      <c r="E4">
        <v>1</v>
      </c>
      <c r="F4">
        <v>1</v>
      </c>
      <c r="G4" t="s">
        <v>220</v>
      </c>
      <c r="H4">
        <v>0</v>
      </c>
      <c r="I4">
        <v>0</v>
      </c>
      <c r="J4">
        <v>0</v>
      </c>
      <c r="L4" t="str">
        <f t="shared" si="2"/>
        <v>SELECT 4, N'Włochy', 1, 10 UNION ALL</v>
      </c>
      <c r="M4" t="s">
        <v>555</v>
      </c>
      <c r="Q4" s="6">
        <f t="shared" ca="1" si="3"/>
        <v>4</v>
      </c>
      <c r="R4" s="6">
        <f t="shared" ca="1" si="4"/>
        <v>0</v>
      </c>
      <c r="U4" s="6" t="str">
        <f ca="1">IF(Q4&gt;0,"SELECT "&amp;COUNTIF($Q$1:$T3,"&gt;0")+1&amp;", "&amp;$A4&amp;", "&amp;Q4&amp;" UNION ALL","")</f>
        <v>SELECT 3, 4, 4 UNION ALL</v>
      </c>
      <c r="V4" s="6" t="str">
        <f ca="1">IF(R4&gt;0,"SELECT "&amp;COUNTIF($Q$1:$T3,"&gt;0")+COUNTIF($Q4:Q4,"&gt;0")+1&amp;", "&amp;$A4&amp;", "&amp;R4&amp;" UNION ALL","")</f>
        <v/>
      </c>
      <c r="W4" s="6" t="str">
        <f>IF(S4&gt;0,"SELECT "&amp;COUNTIF($Q$1:$T3,"&gt;0")+COUNTIF($Q4:R4,"&gt;0")+1&amp;", "&amp;$A4&amp;", "&amp;S4&amp;" UNION ALL","")</f>
        <v/>
      </c>
      <c r="X4" s="6" t="str">
        <f>IF(T4&gt;0,"SELECT "&amp;COUNTIF($Q$1:$T3,"&gt;0")+COUNTIF($Q4:S4,"&gt;0")+1&amp;", "&amp;$A4&amp;", "&amp;T4&amp;" UNION ALL","")</f>
        <v/>
      </c>
      <c r="Y4" s="5" t="str">
        <f t="shared" ref="Y4:Y67" ca="1" si="6">SUBSTITUTE(IF(LEN(U4)&gt;0,U4,"")&amp;IF(LEN(V4)&gt;0,CHAR(10)&amp;V4,"")&amp;IF(LEN(W4)&gt;0,CHAR(10)&amp;W4,"")&amp;IF(LEN(X4)&gt;0,CHAR(10)&amp;X4,""),CHAR(34),"")</f>
        <v>SELECT 3, 4, 4 UNION ALL</v>
      </c>
    </row>
    <row r="5" spans="1:25">
      <c r="A5">
        <v>5</v>
      </c>
      <c r="B5" t="s">
        <v>221</v>
      </c>
      <c r="C5">
        <v>1</v>
      </c>
      <c r="D5">
        <v>10</v>
      </c>
      <c r="E5">
        <v>1</v>
      </c>
      <c r="F5">
        <v>1</v>
      </c>
      <c r="G5" t="s">
        <v>222</v>
      </c>
      <c r="H5">
        <v>0</v>
      </c>
      <c r="I5">
        <v>0</v>
      </c>
      <c r="J5">
        <v>0</v>
      </c>
      <c r="L5" t="str">
        <f t="shared" si="2"/>
        <v>SELECT 5, N'Hiszpania', 1, 10 UNION ALL</v>
      </c>
      <c r="M5" t="s">
        <v>555</v>
      </c>
      <c r="Q5" s="6">
        <f t="shared" ca="1" si="3"/>
        <v>4</v>
      </c>
      <c r="R5" s="6">
        <f t="shared" ca="1" si="4"/>
        <v>0</v>
      </c>
      <c r="U5" s="6" t="str">
        <f ca="1">IF(Q5&gt;0,"SELECT "&amp;COUNTIF($Q$1:$T4,"&gt;0")+1&amp;", "&amp;$A5&amp;", "&amp;Q5&amp;" UNION ALL","")</f>
        <v>SELECT 4, 5, 4 UNION ALL</v>
      </c>
      <c r="V5" s="6" t="str">
        <f ca="1">IF(R5&gt;0,"SELECT "&amp;COUNTIF($Q$1:$T4,"&gt;0")+COUNTIF($Q5:Q5,"&gt;0")+1&amp;", "&amp;$A5&amp;", "&amp;R5&amp;" UNION ALL","")</f>
        <v/>
      </c>
      <c r="W5" s="6" t="str">
        <f>IF(S5&gt;0,"SELECT "&amp;COUNTIF($Q$1:$T4,"&gt;0")+COUNTIF($Q5:R5,"&gt;0")+1&amp;", "&amp;$A5&amp;", "&amp;S5&amp;" UNION ALL","")</f>
        <v/>
      </c>
      <c r="X5" s="6" t="str">
        <f>IF(T5&gt;0,"SELECT "&amp;COUNTIF($Q$1:$T4,"&gt;0")+COUNTIF($Q5:S5,"&gt;0")+1&amp;", "&amp;$A5&amp;", "&amp;T5&amp;" UNION ALL","")</f>
        <v/>
      </c>
      <c r="Y5" s="5" t="str">
        <f t="shared" ca="1" si="6"/>
        <v>SELECT 4, 5, 4 UNION ALL</v>
      </c>
    </row>
    <row r="6" spans="1:25">
      <c r="A6">
        <v>6</v>
      </c>
      <c r="B6" t="s">
        <v>223</v>
      </c>
      <c r="C6">
        <v>1</v>
      </c>
      <c r="D6">
        <v>10</v>
      </c>
      <c r="E6">
        <v>1</v>
      </c>
      <c r="F6">
        <v>1</v>
      </c>
      <c r="G6" t="s">
        <v>224</v>
      </c>
      <c r="H6">
        <v>0</v>
      </c>
      <c r="I6">
        <v>0</v>
      </c>
      <c r="J6">
        <v>0</v>
      </c>
      <c r="L6" t="str">
        <f t="shared" si="2"/>
        <v>SELECT 6, N'Francja', 1, 10 UNION ALL</v>
      </c>
      <c r="M6" t="s">
        <v>555</v>
      </c>
      <c r="Q6" s="6">
        <f t="shared" ca="1" si="3"/>
        <v>4</v>
      </c>
      <c r="R6" s="6">
        <f t="shared" ca="1" si="4"/>
        <v>0</v>
      </c>
      <c r="U6" s="6" t="str">
        <f ca="1">IF(Q6&gt;0,"SELECT "&amp;COUNTIF($Q$1:$T5,"&gt;0")+1&amp;", "&amp;$A6&amp;", "&amp;Q6&amp;" UNION ALL","")</f>
        <v>SELECT 5, 6, 4 UNION ALL</v>
      </c>
      <c r="V6" s="6" t="str">
        <f ca="1">IF(R6&gt;0,"SELECT "&amp;COUNTIF($Q$1:$T5,"&gt;0")+COUNTIF($Q6:Q6,"&gt;0")+1&amp;", "&amp;$A6&amp;", "&amp;R6&amp;" UNION ALL","")</f>
        <v/>
      </c>
      <c r="W6" s="6" t="str">
        <f>IF(S6&gt;0,"SELECT "&amp;COUNTIF($Q$1:$T5,"&gt;0")+COUNTIF($Q6:R6,"&gt;0")+1&amp;", "&amp;$A6&amp;", "&amp;S6&amp;" UNION ALL","")</f>
        <v/>
      </c>
      <c r="X6" s="6" t="str">
        <f>IF(T6&gt;0,"SELECT "&amp;COUNTIF($Q$1:$T5,"&gt;0")+COUNTIF($Q6:S6,"&gt;0")+1&amp;", "&amp;$A6&amp;", "&amp;T6&amp;" UNION ALL","")</f>
        <v/>
      </c>
      <c r="Y6" s="5" t="str">
        <f t="shared" ca="1" si="6"/>
        <v>SELECT 5, 6, 4 UNION ALL</v>
      </c>
    </row>
    <row r="7" spans="1:25">
      <c r="A7">
        <v>9</v>
      </c>
      <c r="B7" t="s">
        <v>225</v>
      </c>
      <c r="C7">
        <v>1</v>
      </c>
      <c r="D7">
        <v>10</v>
      </c>
      <c r="E7">
        <v>1</v>
      </c>
      <c r="F7">
        <v>1</v>
      </c>
      <c r="G7" t="s">
        <v>226</v>
      </c>
      <c r="H7">
        <v>0</v>
      </c>
      <c r="I7">
        <v>0</v>
      </c>
      <c r="J7">
        <v>0</v>
      </c>
      <c r="L7" t="str">
        <f t="shared" si="2"/>
        <v>SELECT 9, N'Niemcy', 1, 10 UNION ALL</v>
      </c>
      <c r="M7" t="s">
        <v>555</v>
      </c>
      <c r="Q7" s="6">
        <f t="shared" ca="1" si="3"/>
        <v>4</v>
      </c>
      <c r="R7" s="6">
        <f t="shared" ca="1" si="4"/>
        <v>0</v>
      </c>
      <c r="U7" s="6" t="str">
        <f ca="1">IF(Q7&gt;0,"SELECT "&amp;COUNTIF($Q$1:$T6,"&gt;0")+1&amp;", "&amp;$A7&amp;", "&amp;Q7&amp;" UNION ALL","")</f>
        <v>SELECT 6, 9, 4 UNION ALL</v>
      </c>
      <c r="V7" s="6" t="str">
        <f ca="1">IF(R7&gt;0,"SELECT "&amp;COUNTIF($Q$1:$T6,"&gt;0")+COUNTIF($Q7:Q7,"&gt;0")+1&amp;", "&amp;$A7&amp;", "&amp;R7&amp;" UNION ALL","")</f>
        <v/>
      </c>
      <c r="W7" s="6" t="str">
        <f>IF(S7&gt;0,"SELECT "&amp;COUNTIF($Q$1:$T6,"&gt;0")+COUNTIF($Q7:R7,"&gt;0")+1&amp;", "&amp;$A7&amp;", "&amp;S7&amp;" UNION ALL","")</f>
        <v/>
      </c>
      <c r="X7" s="6" t="str">
        <f>IF(T7&gt;0,"SELECT "&amp;COUNTIF($Q$1:$T6,"&gt;0")+COUNTIF($Q7:S7,"&gt;0")+1&amp;", "&amp;$A7&amp;", "&amp;T7&amp;" UNION ALL","")</f>
        <v/>
      </c>
      <c r="Y7" s="5" t="str">
        <f t="shared" ca="1" si="6"/>
        <v>SELECT 6, 9, 4 UNION ALL</v>
      </c>
    </row>
    <row r="8" spans="1:25">
      <c r="A8">
        <v>10</v>
      </c>
      <c r="B8" t="s">
        <v>227</v>
      </c>
      <c r="C8">
        <v>1</v>
      </c>
      <c r="D8">
        <v>10</v>
      </c>
      <c r="E8">
        <v>1</v>
      </c>
      <c r="F8">
        <v>1</v>
      </c>
      <c r="G8" t="s">
        <v>228</v>
      </c>
      <c r="H8">
        <v>0</v>
      </c>
      <c r="I8">
        <v>0</v>
      </c>
      <c r="J8">
        <v>0</v>
      </c>
      <c r="L8" t="str">
        <f t="shared" si="2"/>
        <v>SELECT 10, N'Anglia', 1, 10 UNION ALL</v>
      </c>
      <c r="M8" t="s">
        <v>555</v>
      </c>
      <c r="Q8" s="6">
        <f t="shared" ca="1" si="3"/>
        <v>4</v>
      </c>
      <c r="R8" s="6">
        <f t="shared" ca="1" si="4"/>
        <v>0</v>
      </c>
      <c r="U8" s="6" t="str">
        <f ca="1">IF(Q8&gt;0,"SELECT "&amp;COUNTIF($Q$1:$T7,"&gt;0")+1&amp;", "&amp;$A8&amp;", "&amp;Q8&amp;" UNION ALL","")</f>
        <v>SELECT 7, 10, 4 UNION ALL</v>
      </c>
      <c r="V8" s="6" t="str">
        <f ca="1">IF(R8&gt;0,"SELECT "&amp;COUNTIF($Q$1:$T7,"&gt;0")+COUNTIF($Q8:Q8,"&gt;0")+1&amp;", "&amp;$A8&amp;", "&amp;R8&amp;" UNION ALL","")</f>
        <v/>
      </c>
      <c r="W8" s="6" t="str">
        <f>IF(S8&gt;0,"SELECT "&amp;COUNTIF($Q$1:$T7,"&gt;0")+COUNTIF($Q8:R8,"&gt;0")+1&amp;", "&amp;$A8&amp;", "&amp;S8&amp;" UNION ALL","")</f>
        <v/>
      </c>
      <c r="X8" s="6" t="str">
        <f>IF(T8&gt;0,"SELECT "&amp;COUNTIF($Q$1:$T7,"&gt;0")+COUNTIF($Q8:S8,"&gt;0")+1&amp;", "&amp;$A8&amp;", "&amp;T8&amp;" UNION ALL","")</f>
        <v/>
      </c>
      <c r="Y8" s="5" t="str">
        <f t="shared" ca="1" si="6"/>
        <v>SELECT 7, 10, 4 UNION ALL</v>
      </c>
    </row>
    <row r="9" spans="1:25" ht="30">
      <c r="A9">
        <v>11</v>
      </c>
      <c r="B9" t="s">
        <v>229</v>
      </c>
      <c r="C9">
        <v>1</v>
      </c>
      <c r="D9">
        <v>10</v>
      </c>
      <c r="E9">
        <v>1</v>
      </c>
      <c r="F9">
        <v>1</v>
      </c>
      <c r="G9" t="s">
        <v>230</v>
      </c>
      <c r="H9">
        <v>0</v>
      </c>
      <c r="I9">
        <v>0</v>
      </c>
      <c r="J9">
        <v>0</v>
      </c>
      <c r="L9" t="str">
        <f t="shared" si="2"/>
        <v>SELECT 11, N'Rosja', 1, 10 UNION ALL</v>
      </c>
      <c r="M9" t="s">
        <v>555</v>
      </c>
      <c r="N9" t="s">
        <v>559</v>
      </c>
      <c r="Q9" s="6">
        <f t="shared" ca="1" si="3"/>
        <v>4</v>
      </c>
      <c r="R9" s="6">
        <f t="shared" ca="1" si="4"/>
        <v>8</v>
      </c>
      <c r="U9" s="6" t="str">
        <f ca="1">IF(Q9&gt;0,"SELECT "&amp;COUNTIF($Q$1:$T8,"&gt;0")+1&amp;", "&amp;$A9&amp;", "&amp;Q9&amp;" UNION ALL","")</f>
        <v>SELECT 8, 11, 4 UNION ALL</v>
      </c>
      <c r="V9" s="6" t="str">
        <f ca="1">IF(R9&gt;0,"SELECT "&amp;COUNTIF($Q$1:$T8,"&gt;0")+COUNTIF($Q9:Q9,"&gt;0")+1&amp;", "&amp;$A9&amp;", "&amp;R9&amp;" UNION ALL","")</f>
        <v>SELECT 9, 11, 8 UNION ALL</v>
      </c>
      <c r="W9" s="6" t="str">
        <f>IF(S9&gt;0,"SELECT "&amp;COUNTIF($Q$1:$T8,"&gt;0")+COUNTIF($Q9:R9,"&gt;0")+1&amp;", "&amp;$A9&amp;", "&amp;S9&amp;" UNION ALL","")</f>
        <v/>
      </c>
      <c r="X9" s="6" t="str">
        <f>IF(T9&gt;0,"SELECT "&amp;COUNTIF($Q$1:$T8,"&gt;0")+COUNTIF($Q9:S9,"&gt;0")+1&amp;", "&amp;$A9&amp;", "&amp;T9&amp;" UNION ALL","")</f>
        <v/>
      </c>
      <c r="Y9" s="5" t="str">
        <f t="shared" ca="1" si="6"/>
        <v>SELECT 8, 11, 4 UNION ALL
SELECT 9, 11, 8 UNION ALL</v>
      </c>
    </row>
    <row r="10" spans="1:25">
      <c r="A10">
        <v>12</v>
      </c>
      <c r="B10" t="s">
        <v>231</v>
      </c>
      <c r="C10">
        <v>1</v>
      </c>
      <c r="D10">
        <v>6</v>
      </c>
      <c r="E10">
        <v>1</v>
      </c>
      <c r="F10">
        <v>1</v>
      </c>
      <c r="G10" t="s">
        <v>232</v>
      </c>
      <c r="H10">
        <v>0</v>
      </c>
      <c r="I10">
        <v>0</v>
      </c>
      <c r="J10">
        <v>0</v>
      </c>
      <c r="L10" t="str">
        <f t="shared" si="2"/>
        <v>SELECT 12, N'Albania', 1, 6 UNION ALL</v>
      </c>
      <c r="M10" t="s">
        <v>555</v>
      </c>
      <c r="Q10" s="6">
        <f t="shared" ca="1" si="3"/>
        <v>4</v>
      </c>
      <c r="R10" s="6">
        <f t="shared" ca="1" si="4"/>
        <v>0</v>
      </c>
      <c r="U10" s="6" t="str">
        <f ca="1">IF(Q10&gt;0,"SELECT "&amp;COUNTIF($Q$1:$T9,"&gt;0")+1&amp;", "&amp;$A10&amp;", "&amp;Q10&amp;" UNION ALL","")</f>
        <v>SELECT 10, 12, 4 UNION ALL</v>
      </c>
      <c r="V10" s="6" t="str">
        <f ca="1">IF(R10&gt;0,"SELECT "&amp;COUNTIF($Q$1:$T9,"&gt;0")+COUNTIF($Q10:Q10,"&gt;0")+1&amp;", "&amp;$A10&amp;", "&amp;R10&amp;" UNION ALL","")</f>
        <v/>
      </c>
      <c r="W10" s="6" t="str">
        <f>IF(S10&gt;0,"SELECT "&amp;COUNTIF($Q$1:$T9,"&gt;0")+COUNTIF($Q10:R10,"&gt;0")+1&amp;", "&amp;$A10&amp;", "&amp;S10&amp;" UNION ALL","")</f>
        <v/>
      </c>
      <c r="X10" s="6" t="str">
        <f>IF(T10&gt;0,"SELECT "&amp;COUNTIF($Q$1:$T9,"&gt;0")+COUNTIF($Q10:S10,"&gt;0")+1&amp;", "&amp;$A10&amp;", "&amp;T10&amp;" UNION ALL","")</f>
        <v/>
      </c>
      <c r="Y10" s="5" t="str">
        <f t="shared" ca="1" si="6"/>
        <v>SELECT 10, 12, 4 UNION ALL</v>
      </c>
    </row>
    <row r="11" spans="1:25">
      <c r="A11">
        <v>13</v>
      </c>
      <c r="B11" t="s">
        <v>233</v>
      </c>
      <c r="C11">
        <v>1</v>
      </c>
      <c r="D11">
        <v>2</v>
      </c>
      <c r="E11">
        <v>1</v>
      </c>
      <c r="F11">
        <v>1</v>
      </c>
      <c r="G11" t="s">
        <v>234</v>
      </c>
      <c r="H11">
        <v>0</v>
      </c>
      <c r="I11">
        <v>0</v>
      </c>
      <c r="J11">
        <v>0</v>
      </c>
      <c r="L11" t="str">
        <f t="shared" si="2"/>
        <v>SELECT 13, N'Andora', 1, 2 UNION ALL</v>
      </c>
      <c r="M11" t="s">
        <v>555</v>
      </c>
      <c r="Q11" s="6">
        <f t="shared" ca="1" si="3"/>
        <v>4</v>
      </c>
      <c r="R11" s="6">
        <f t="shared" ca="1" si="4"/>
        <v>0</v>
      </c>
      <c r="U11" s="6" t="str">
        <f ca="1">IF(Q11&gt;0,"SELECT "&amp;COUNTIF($Q$1:$T10,"&gt;0")+1&amp;", "&amp;$A11&amp;", "&amp;Q11&amp;" UNION ALL","")</f>
        <v>SELECT 11, 13, 4 UNION ALL</v>
      </c>
      <c r="V11" s="6" t="str">
        <f ca="1">IF(R11&gt;0,"SELECT "&amp;COUNTIF($Q$1:$T10,"&gt;0")+COUNTIF($Q11:Q11,"&gt;0")+1&amp;", "&amp;$A11&amp;", "&amp;R11&amp;" UNION ALL","")</f>
        <v/>
      </c>
      <c r="W11" s="6" t="str">
        <f>IF(S11&gt;0,"SELECT "&amp;COUNTIF($Q$1:$T10,"&gt;0")+COUNTIF($Q11:R11,"&gt;0")+1&amp;", "&amp;$A11&amp;", "&amp;S11&amp;" UNION ALL","")</f>
        <v/>
      </c>
      <c r="X11" s="6" t="str">
        <f>IF(T11&gt;0,"SELECT "&amp;COUNTIF($Q$1:$T10,"&gt;0")+COUNTIF($Q11:S11,"&gt;0")+1&amp;", "&amp;$A11&amp;", "&amp;T11&amp;" UNION ALL","")</f>
        <v/>
      </c>
      <c r="Y11" s="5" t="str">
        <f t="shared" ca="1" si="6"/>
        <v>SELECT 11, 13, 4 UNION ALL</v>
      </c>
    </row>
    <row r="12" spans="1:25" ht="30">
      <c r="A12">
        <v>14</v>
      </c>
      <c r="B12" t="s">
        <v>235</v>
      </c>
      <c r="C12">
        <v>1</v>
      </c>
      <c r="D12">
        <v>5</v>
      </c>
      <c r="E12">
        <v>1</v>
      </c>
      <c r="F12">
        <v>1</v>
      </c>
      <c r="G12" t="s">
        <v>234</v>
      </c>
      <c r="H12">
        <v>0</v>
      </c>
      <c r="I12">
        <v>0</v>
      </c>
      <c r="J12">
        <v>0</v>
      </c>
      <c r="L12" t="str">
        <f t="shared" si="2"/>
        <v>SELECT 14, N'Armenia', 1, 5 UNION ALL</v>
      </c>
      <c r="M12" t="s">
        <v>555</v>
      </c>
      <c r="N12" t="s">
        <v>559</v>
      </c>
      <c r="Q12" s="6">
        <f t="shared" ca="1" si="3"/>
        <v>4</v>
      </c>
      <c r="R12" s="6">
        <f t="shared" ca="1" si="4"/>
        <v>8</v>
      </c>
      <c r="U12" s="6" t="str">
        <f ca="1">IF(Q12&gt;0,"SELECT "&amp;COUNTIF($Q$1:$T11,"&gt;0")+1&amp;", "&amp;$A12&amp;", "&amp;Q12&amp;" UNION ALL","")</f>
        <v>SELECT 12, 14, 4 UNION ALL</v>
      </c>
      <c r="V12" s="6" t="str">
        <f ca="1">IF(R12&gt;0,"SELECT "&amp;COUNTIF($Q$1:$T11,"&gt;0")+COUNTIF($Q12:Q12,"&gt;0")+1&amp;", "&amp;$A12&amp;", "&amp;R12&amp;" UNION ALL","")</f>
        <v>SELECT 13, 14, 8 UNION ALL</v>
      </c>
      <c r="W12" s="6" t="str">
        <f>IF(S12&gt;0,"SELECT "&amp;COUNTIF($Q$1:$T11,"&gt;0")+COUNTIF($Q12:R12,"&gt;0")+1&amp;", "&amp;$A12&amp;", "&amp;S12&amp;" UNION ALL","")</f>
        <v/>
      </c>
      <c r="X12" s="6" t="str">
        <f>IF(T12&gt;0,"SELECT "&amp;COUNTIF($Q$1:$T11,"&gt;0")+COUNTIF($Q12:S12,"&gt;0")+1&amp;", "&amp;$A12&amp;", "&amp;T12&amp;" UNION ALL","")</f>
        <v/>
      </c>
      <c r="Y12" s="5" t="str">
        <f t="shared" ca="1" si="6"/>
        <v>SELECT 12, 14, 4 UNION ALL
SELECT 13, 14, 8 UNION ALL</v>
      </c>
    </row>
    <row r="13" spans="1:25">
      <c r="A13">
        <v>15</v>
      </c>
      <c r="B13" t="s">
        <v>236</v>
      </c>
      <c r="C13">
        <v>1</v>
      </c>
      <c r="D13">
        <v>8</v>
      </c>
      <c r="E13">
        <v>1</v>
      </c>
      <c r="F13">
        <v>1</v>
      </c>
      <c r="G13" t="s">
        <v>237</v>
      </c>
      <c r="H13">
        <v>0</v>
      </c>
      <c r="I13">
        <v>0</v>
      </c>
      <c r="J13">
        <v>0</v>
      </c>
      <c r="L13" t="str">
        <f t="shared" si="2"/>
        <v>SELECT 15, N'Austria', 1, 8 UNION ALL</v>
      </c>
      <c r="M13" t="s">
        <v>555</v>
      </c>
      <c r="Q13" s="6">
        <f t="shared" ca="1" si="3"/>
        <v>4</v>
      </c>
      <c r="R13" s="6">
        <f t="shared" ca="1" si="4"/>
        <v>0</v>
      </c>
      <c r="U13" s="6" t="str">
        <f ca="1">IF(Q13&gt;0,"SELECT "&amp;COUNTIF($Q$1:$T12,"&gt;0")+1&amp;", "&amp;$A13&amp;", "&amp;Q13&amp;" UNION ALL","")</f>
        <v>SELECT 14, 15, 4 UNION ALL</v>
      </c>
      <c r="V13" s="6" t="str">
        <f ca="1">IF(R13&gt;0,"SELECT "&amp;COUNTIF($Q$1:$T12,"&gt;0")+COUNTIF($Q13:Q13,"&gt;0")+1&amp;", "&amp;$A13&amp;", "&amp;R13&amp;" UNION ALL","")</f>
        <v/>
      </c>
      <c r="W13" s="6" t="str">
        <f>IF(S13&gt;0,"SELECT "&amp;COUNTIF($Q$1:$T12,"&gt;0")+COUNTIF($Q13:R13,"&gt;0")+1&amp;", "&amp;$A13&amp;", "&amp;S13&amp;" UNION ALL","")</f>
        <v/>
      </c>
      <c r="X13" s="6" t="str">
        <f>IF(T13&gt;0,"SELECT "&amp;COUNTIF($Q$1:$T12,"&gt;0")+COUNTIF($Q13:S13,"&gt;0")+1&amp;", "&amp;$A13&amp;", "&amp;T13&amp;" UNION ALL","")</f>
        <v/>
      </c>
      <c r="Y13" s="5" t="str">
        <f t="shared" ca="1" si="6"/>
        <v>SELECT 14, 15, 4 UNION ALL</v>
      </c>
    </row>
    <row r="14" spans="1:25" ht="30">
      <c r="A14">
        <v>16</v>
      </c>
      <c r="B14" t="s">
        <v>238</v>
      </c>
      <c r="C14">
        <v>1</v>
      </c>
      <c r="D14">
        <v>5</v>
      </c>
      <c r="E14">
        <v>1</v>
      </c>
      <c r="F14">
        <v>1</v>
      </c>
      <c r="G14" t="s">
        <v>237</v>
      </c>
      <c r="H14">
        <v>0</v>
      </c>
      <c r="I14">
        <v>0</v>
      </c>
      <c r="J14">
        <v>0</v>
      </c>
      <c r="L14" t="str">
        <f t="shared" si="2"/>
        <v>SELECT 16, N'Azerbejdżan', 1, 5 UNION ALL</v>
      </c>
      <c r="M14" t="s">
        <v>555</v>
      </c>
      <c r="N14" t="s">
        <v>559</v>
      </c>
      <c r="Q14" s="6">
        <f t="shared" ca="1" si="3"/>
        <v>4</v>
      </c>
      <c r="R14" s="6">
        <f t="shared" ca="1" si="4"/>
        <v>8</v>
      </c>
      <c r="U14" s="6" t="str">
        <f ca="1">IF(Q14&gt;0,"SELECT "&amp;COUNTIF($Q$1:$T13,"&gt;0")+1&amp;", "&amp;$A14&amp;", "&amp;Q14&amp;" UNION ALL","")</f>
        <v>SELECT 15, 16, 4 UNION ALL</v>
      </c>
      <c r="V14" s="6" t="str">
        <f ca="1">IF(R14&gt;0,"SELECT "&amp;COUNTIF($Q$1:$T13,"&gt;0")+COUNTIF($Q14:Q14,"&gt;0")+1&amp;", "&amp;$A14&amp;", "&amp;R14&amp;" UNION ALL","")</f>
        <v>SELECT 16, 16, 8 UNION ALL</v>
      </c>
      <c r="W14" s="6" t="str">
        <f>IF(S14&gt;0,"SELECT "&amp;COUNTIF($Q$1:$T13,"&gt;0")+COUNTIF($Q14:R14,"&gt;0")+1&amp;", "&amp;$A14&amp;", "&amp;S14&amp;" UNION ALL","")</f>
        <v/>
      </c>
      <c r="X14" s="6" t="str">
        <f>IF(T14&gt;0,"SELECT "&amp;COUNTIF($Q$1:$T13,"&gt;0")+COUNTIF($Q14:S14,"&gt;0")+1&amp;", "&amp;$A14&amp;", "&amp;T14&amp;" UNION ALL","")</f>
        <v/>
      </c>
      <c r="Y14" s="5" t="str">
        <f t="shared" ca="1" si="6"/>
        <v>SELECT 15, 16, 4 UNION ALL
SELECT 16, 16, 8 UNION ALL</v>
      </c>
    </row>
    <row r="15" spans="1:25">
      <c r="A15">
        <v>17</v>
      </c>
      <c r="B15" t="s">
        <v>239</v>
      </c>
      <c r="C15">
        <v>1</v>
      </c>
      <c r="D15">
        <v>5</v>
      </c>
      <c r="E15">
        <v>1</v>
      </c>
      <c r="F15">
        <v>1</v>
      </c>
      <c r="G15" t="s">
        <v>237</v>
      </c>
      <c r="H15">
        <v>0</v>
      </c>
      <c r="I15">
        <v>0</v>
      </c>
      <c r="J15">
        <v>0</v>
      </c>
      <c r="L15" t="str">
        <f t="shared" si="2"/>
        <v>SELECT 17, N'Białoruś', 1, 5 UNION ALL</v>
      </c>
      <c r="M15" t="s">
        <v>555</v>
      </c>
      <c r="Q15" s="6">
        <f t="shared" ca="1" si="3"/>
        <v>4</v>
      </c>
      <c r="R15" s="6">
        <f t="shared" ca="1" si="4"/>
        <v>0</v>
      </c>
      <c r="U15" s="6" t="str">
        <f ca="1">IF(Q15&gt;0,"SELECT "&amp;COUNTIF($Q$1:$T14,"&gt;0")+1&amp;", "&amp;$A15&amp;", "&amp;Q15&amp;" UNION ALL","")</f>
        <v>SELECT 17, 17, 4 UNION ALL</v>
      </c>
      <c r="V15" s="6" t="str">
        <f ca="1">IF(R15&gt;0,"SELECT "&amp;COUNTIF($Q$1:$T14,"&gt;0")+COUNTIF($Q15:Q15,"&gt;0")+1&amp;", "&amp;$A15&amp;", "&amp;R15&amp;" UNION ALL","")</f>
        <v/>
      </c>
      <c r="W15" s="6" t="str">
        <f>IF(S15&gt;0,"SELECT "&amp;COUNTIF($Q$1:$T14,"&gt;0")+COUNTIF($Q15:R15,"&gt;0")+1&amp;", "&amp;$A15&amp;", "&amp;S15&amp;" UNION ALL","")</f>
        <v/>
      </c>
      <c r="X15" s="6" t="str">
        <f>IF(T15&gt;0,"SELECT "&amp;COUNTIF($Q$1:$T14,"&gt;0")+COUNTIF($Q15:S15,"&gt;0")+1&amp;", "&amp;$A15&amp;", "&amp;T15&amp;" UNION ALL","")</f>
        <v/>
      </c>
      <c r="Y15" s="5" t="str">
        <f t="shared" ca="1" si="6"/>
        <v>SELECT 17, 17, 4 UNION ALL</v>
      </c>
    </row>
    <row r="16" spans="1:25">
      <c r="A16">
        <v>18</v>
      </c>
      <c r="B16" t="s">
        <v>240</v>
      </c>
      <c r="C16">
        <v>1</v>
      </c>
      <c r="D16">
        <v>8</v>
      </c>
      <c r="E16">
        <v>1</v>
      </c>
      <c r="F16">
        <v>1</v>
      </c>
      <c r="G16" t="s">
        <v>237</v>
      </c>
      <c r="H16">
        <v>0</v>
      </c>
      <c r="I16">
        <v>0</v>
      </c>
      <c r="J16">
        <v>0</v>
      </c>
      <c r="L16" t="str">
        <f t="shared" si="2"/>
        <v>SELECT 18, N'Belgia', 1, 8 UNION ALL</v>
      </c>
      <c r="M16" t="s">
        <v>555</v>
      </c>
      <c r="Q16" s="6">
        <f t="shared" ca="1" si="3"/>
        <v>4</v>
      </c>
      <c r="R16" s="6">
        <f t="shared" ca="1" si="4"/>
        <v>0</v>
      </c>
      <c r="U16" s="6" t="str">
        <f ca="1">IF(Q16&gt;0,"SELECT "&amp;COUNTIF($Q$1:$T15,"&gt;0")+1&amp;", "&amp;$A16&amp;", "&amp;Q16&amp;" UNION ALL","")</f>
        <v>SELECT 18, 18, 4 UNION ALL</v>
      </c>
      <c r="V16" s="6" t="str">
        <f ca="1">IF(R16&gt;0,"SELECT "&amp;COUNTIF($Q$1:$T15,"&gt;0")+COUNTIF($Q16:Q16,"&gt;0")+1&amp;", "&amp;$A16&amp;", "&amp;R16&amp;" UNION ALL","")</f>
        <v/>
      </c>
      <c r="W16" s="6" t="str">
        <f>IF(S16&gt;0,"SELECT "&amp;COUNTIF($Q$1:$T15,"&gt;0")+COUNTIF($Q16:R16,"&gt;0")+1&amp;", "&amp;$A16&amp;", "&amp;S16&amp;" UNION ALL","")</f>
        <v/>
      </c>
      <c r="X16" s="6" t="str">
        <f>IF(T16&gt;0,"SELECT "&amp;COUNTIF($Q$1:$T15,"&gt;0")+COUNTIF($Q16:S16,"&gt;0")+1&amp;", "&amp;$A16&amp;", "&amp;T16&amp;" UNION ALL","")</f>
        <v/>
      </c>
      <c r="Y16" s="5" t="str">
        <f t="shared" ca="1" si="6"/>
        <v>SELECT 18, 18, 4 UNION ALL</v>
      </c>
    </row>
    <row r="17" spans="1:25">
      <c r="A17">
        <v>19</v>
      </c>
      <c r="B17" t="s">
        <v>241</v>
      </c>
      <c r="C17">
        <v>1</v>
      </c>
      <c r="D17">
        <v>5</v>
      </c>
      <c r="E17">
        <v>1</v>
      </c>
      <c r="F17">
        <v>1</v>
      </c>
      <c r="G17" t="s">
        <v>237</v>
      </c>
      <c r="H17">
        <v>0</v>
      </c>
      <c r="I17">
        <v>0</v>
      </c>
      <c r="J17">
        <v>0</v>
      </c>
      <c r="L17" t="str">
        <f t="shared" si="2"/>
        <v>SELECT 19, N'Bośnia i Hercegowina', 1, 5 UNION ALL</v>
      </c>
      <c r="M17" t="s">
        <v>555</v>
      </c>
      <c r="Q17" s="6">
        <f t="shared" ca="1" si="3"/>
        <v>4</v>
      </c>
      <c r="R17" s="6">
        <f t="shared" ca="1" si="4"/>
        <v>0</v>
      </c>
      <c r="U17" s="6" t="str">
        <f ca="1">IF(Q17&gt;0,"SELECT "&amp;COUNTIF($Q$1:$T16,"&gt;0")+1&amp;", "&amp;$A17&amp;", "&amp;Q17&amp;" UNION ALL","")</f>
        <v>SELECT 19, 19, 4 UNION ALL</v>
      </c>
      <c r="V17" s="6" t="str">
        <f ca="1">IF(R17&gt;0,"SELECT "&amp;COUNTIF($Q$1:$T16,"&gt;0")+COUNTIF($Q17:Q17,"&gt;0")+1&amp;", "&amp;$A17&amp;", "&amp;R17&amp;" UNION ALL","")</f>
        <v/>
      </c>
      <c r="W17" s="6" t="str">
        <f>IF(S17&gt;0,"SELECT "&amp;COUNTIF($Q$1:$T16,"&gt;0")+COUNTIF($Q17:R17,"&gt;0")+1&amp;", "&amp;$A17&amp;", "&amp;S17&amp;" UNION ALL","")</f>
        <v/>
      </c>
      <c r="X17" s="6" t="str">
        <f>IF(T17&gt;0,"SELECT "&amp;COUNTIF($Q$1:$T16,"&gt;0")+COUNTIF($Q17:S17,"&gt;0")+1&amp;", "&amp;$A17&amp;", "&amp;T17&amp;" UNION ALL","")</f>
        <v/>
      </c>
      <c r="Y17" s="5" t="str">
        <f t="shared" ca="1" si="6"/>
        <v>SELECT 19, 19, 4 UNION ALL</v>
      </c>
    </row>
    <row r="18" spans="1:25">
      <c r="A18">
        <v>20</v>
      </c>
      <c r="B18" t="s">
        <v>242</v>
      </c>
      <c r="C18">
        <v>1</v>
      </c>
      <c r="D18">
        <v>7</v>
      </c>
      <c r="E18">
        <v>1</v>
      </c>
      <c r="F18">
        <v>1</v>
      </c>
      <c r="G18" t="s">
        <v>237</v>
      </c>
      <c r="H18">
        <v>0</v>
      </c>
      <c r="I18">
        <v>0</v>
      </c>
      <c r="J18">
        <v>0</v>
      </c>
      <c r="L18" t="str">
        <f t="shared" si="2"/>
        <v>SELECT 20, N'Bułgaria', 1, 7 UNION ALL</v>
      </c>
      <c r="M18" t="s">
        <v>555</v>
      </c>
      <c r="Q18" s="6">
        <f t="shared" ca="1" si="3"/>
        <v>4</v>
      </c>
      <c r="R18" s="6">
        <f t="shared" ca="1" si="4"/>
        <v>0</v>
      </c>
      <c r="U18" s="6" t="str">
        <f ca="1">IF(Q18&gt;0,"SELECT "&amp;COUNTIF($Q$1:$T17,"&gt;0")+1&amp;", "&amp;$A18&amp;", "&amp;Q18&amp;" UNION ALL","")</f>
        <v>SELECT 20, 20, 4 UNION ALL</v>
      </c>
      <c r="V18" s="6" t="str">
        <f ca="1">IF(R18&gt;0,"SELECT "&amp;COUNTIF($Q$1:$T17,"&gt;0")+COUNTIF($Q18:Q18,"&gt;0")+1&amp;", "&amp;$A18&amp;", "&amp;R18&amp;" UNION ALL","")</f>
        <v/>
      </c>
      <c r="W18" s="6" t="str">
        <f>IF(S18&gt;0,"SELECT "&amp;COUNTIF($Q$1:$T17,"&gt;0")+COUNTIF($Q18:R18,"&gt;0")+1&amp;", "&amp;$A18&amp;", "&amp;S18&amp;" UNION ALL","")</f>
        <v/>
      </c>
      <c r="X18" s="6" t="str">
        <f>IF(T18&gt;0,"SELECT "&amp;COUNTIF($Q$1:$T17,"&gt;0")+COUNTIF($Q18:S18,"&gt;0")+1&amp;", "&amp;$A18&amp;", "&amp;T18&amp;" UNION ALL","")</f>
        <v/>
      </c>
      <c r="Y18" s="5" t="str">
        <f t="shared" ca="1" si="6"/>
        <v>SELECT 20, 20, 4 UNION ALL</v>
      </c>
    </row>
    <row r="19" spans="1:25">
      <c r="A19">
        <v>21</v>
      </c>
      <c r="B19" t="s">
        <v>243</v>
      </c>
      <c r="C19">
        <v>1</v>
      </c>
      <c r="D19">
        <v>7</v>
      </c>
      <c r="E19">
        <v>1</v>
      </c>
      <c r="F19">
        <v>1</v>
      </c>
      <c r="G19" t="s">
        <v>237</v>
      </c>
      <c r="H19">
        <v>0</v>
      </c>
      <c r="I19">
        <v>0</v>
      </c>
      <c r="J19">
        <v>0</v>
      </c>
      <c r="L19" t="str">
        <f t="shared" si="2"/>
        <v>SELECT 21, N'Chorwacja', 1, 7 UNION ALL</v>
      </c>
      <c r="M19" t="s">
        <v>555</v>
      </c>
      <c r="Q19" s="6">
        <f t="shared" ca="1" si="3"/>
        <v>4</v>
      </c>
      <c r="R19" s="6">
        <f t="shared" ca="1" si="4"/>
        <v>0</v>
      </c>
      <c r="U19" s="6" t="str">
        <f ca="1">IF(Q19&gt;0,"SELECT "&amp;COUNTIF($Q$1:$T18,"&gt;0")+1&amp;", "&amp;$A19&amp;", "&amp;Q19&amp;" UNION ALL","")</f>
        <v>SELECT 21, 21, 4 UNION ALL</v>
      </c>
      <c r="V19" s="6" t="str">
        <f ca="1">IF(R19&gt;0,"SELECT "&amp;COUNTIF($Q$1:$T18,"&gt;0")+COUNTIF($Q19:Q19,"&gt;0")+1&amp;", "&amp;$A19&amp;", "&amp;R19&amp;" UNION ALL","")</f>
        <v/>
      </c>
      <c r="W19" s="6" t="str">
        <f>IF(S19&gt;0,"SELECT "&amp;COUNTIF($Q$1:$T18,"&gt;0")+COUNTIF($Q19:R19,"&gt;0")+1&amp;", "&amp;$A19&amp;", "&amp;S19&amp;" UNION ALL","")</f>
        <v/>
      </c>
      <c r="X19" s="6" t="str">
        <f>IF(T19&gt;0,"SELECT "&amp;COUNTIF($Q$1:$T18,"&gt;0")+COUNTIF($Q19:S19,"&gt;0")+1&amp;", "&amp;$A19&amp;", "&amp;T19&amp;" UNION ALL","")</f>
        <v/>
      </c>
      <c r="Y19" s="5" t="str">
        <f t="shared" ca="1" si="6"/>
        <v>SELECT 21, 21, 4 UNION ALL</v>
      </c>
    </row>
    <row r="20" spans="1:25" ht="30">
      <c r="A20">
        <v>22</v>
      </c>
      <c r="B20" t="s">
        <v>244</v>
      </c>
      <c r="C20">
        <v>1</v>
      </c>
      <c r="D20">
        <v>6</v>
      </c>
      <c r="E20">
        <v>1</v>
      </c>
      <c r="F20">
        <v>1</v>
      </c>
      <c r="G20" t="s">
        <v>237</v>
      </c>
      <c r="H20">
        <v>0</v>
      </c>
      <c r="I20">
        <v>0</v>
      </c>
      <c r="J20">
        <v>0</v>
      </c>
      <c r="L20" t="str">
        <f t="shared" si="2"/>
        <v>SELECT 22, N'Cypr', 1, 6 UNION ALL</v>
      </c>
      <c r="M20" t="s">
        <v>555</v>
      </c>
      <c r="N20" t="s">
        <v>553</v>
      </c>
      <c r="Q20" s="6">
        <f t="shared" ca="1" si="3"/>
        <v>4</v>
      </c>
      <c r="R20" s="6">
        <f t="shared" ca="1" si="4"/>
        <v>42</v>
      </c>
      <c r="U20" s="6" t="str">
        <f ca="1">IF(Q20&gt;0,"SELECT "&amp;COUNTIF($Q$1:$T19,"&gt;0")+1&amp;", "&amp;$A20&amp;", "&amp;Q20&amp;" UNION ALL","")</f>
        <v>SELECT 22, 22, 4 UNION ALL</v>
      </c>
      <c r="V20" s="6" t="str">
        <f ca="1">IF(R20&gt;0,"SELECT "&amp;COUNTIF($Q$1:$T19,"&gt;0")+COUNTIF($Q20:Q20,"&gt;0")+1&amp;", "&amp;$A20&amp;", "&amp;R20&amp;" UNION ALL","")</f>
        <v>SELECT 23, 22, 42 UNION ALL</v>
      </c>
      <c r="W20" s="6" t="str">
        <f>IF(S20&gt;0,"SELECT "&amp;COUNTIF($Q$1:$T19,"&gt;0")+COUNTIF($Q20:R20,"&gt;0")+1&amp;", "&amp;$A20&amp;", "&amp;S20&amp;" UNION ALL","")</f>
        <v/>
      </c>
      <c r="X20" s="6" t="str">
        <f>IF(T20&gt;0,"SELECT "&amp;COUNTIF($Q$1:$T19,"&gt;0")+COUNTIF($Q20:S20,"&gt;0")+1&amp;", "&amp;$A20&amp;", "&amp;T20&amp;" UNION ALL","")</f>
        <v/>
      </c>
      <c r="Y20" s="5" t="str">
        <f t="shared" ca="1" si="6"/>
        <v>SELECT 22, 22, 4 UNION ALL
SELECT 23, 22, 42 UNION ALL</v>
      </c>
    </row>
    <row r="21" spans="1:25">
      <c r="A21">
        <v>23</v>
      </c>
      <c r="B21" t="s">
        <v>245</v>
      </c>
      <c r="C21">
        <v>1</v>
      </c>
      <c r="D21">
        <v>9</v>
      </c>
      <c r="E21">
        <v>1</v>
      </c>
      <c r="F21">
        <v>1</v>
      </c>
      <c r="G21" t="s">
        <v>237</v>
      </c>
      <c r="H21">
        <v>0</v>
      </c>
      <c r="I21">
        <v>0</v>
      </c>
      <c r="J21">
        <v>0</v>
      </c>
      <c r="L21" t="str">
        <f t="shared" si="2"/>
        <v>SELECT 23, N'Czechy', 1, 9 UNION ALL</v>
      </c>
      <c r="M21" t="s">
        <v>555</v>
      </c>
      <c r="Q21" s="6">
        <f t="shared" ca="1" si="3"/>
        <v>4</v>
      </c>
      <c r="R21" s="6">
        <f t="shared" ca="1" si="4"/>
        <v>0</v>
      </c>
      <c r="U21" s="6" t="str">
        <f ca="1">IF(Q21&gt;0,"SELECT "&amp;COUNTIF($Q$1:$T20,"&gt;0")+1&amp;", "&amp;$A21&amp;", "&amp;Q21&amp;" UNION ALL","")</f>
        <v>SELECT 24, 23, 4 UNION ALL</v>
      </c>
      <c r="V21" s="6" t="str">
        <f ca="1">IF(R21&gt;0,"SELECT "&amp;COUNTIF($Q$1:$T20,"&gt;0")+COUNTIF($Q21:Q21,"&gt;0")+1&amp;", "&amp;$A21&amp;", "&amp;R21&amp;" UNION ALL","")</f>
        <v/>
      </c>
      <c r="W21" s="6" t="str">
        <f>IF(S21&gt;0,"SELECT "&amp;COUNTIF($Q$1:$T20,"&gt;0")+COUNTIF($Q21:R21,"&gt;0")+1&amp;", "&amp;$A21&amp;", "&amp;S21&amp;" UNION ALL","")</f>
        <v/>
      </c>
      <c r="X21" s="6" t="str">
        <f>IF(T21&gt;0,"SELECT "&amp;COUNTIF($Q$1:$T20,"&gt;0")+COUNTIF($Q21:S21,"&gt;0")+1&amp;", "&amp;$A21&amp;", "&amp;T21&amp;" UNION ALL","")</f>
        <v/>
      </c>
      <c r="Y21" s="5" t="str">
        <f t="shared" ca="1" si="6"/>
        <v>SELECT 24, 23, 4 UNION ALL</v>
      </c>
    </row>
    <row r="22" spans="1:25">
      <c r="A22">
        <v>24</v>
      </c>
      <c r="B22" t="s">
        <v>246</v>
      </c>
      <c r="C22">
        <v>1</v>
      </c>
      <c r="D22">
        <v>9</v>
      </c>
      <c r="E22">
        <v>1</v>
      </c>
      <c r="F22">
        <v>1</v>
      </c>
      <c r="G22" t="s">
        <v>237</v>
      </c>
      <c r="H22">
        <v>0</v>
      </c>
      <c r="I22">
        <v>0</v>
      </c>
      <c r="J22">
        <v>0</v>
      </c>
      <c r="L22" t="str">
        <f t="shared" si="2"/>
        <v>SELECT 24, N'Dania', 1, 9 UNION ALL</v>
      </c>
      <c r="M22" t="s">
        <v>555</v>
      </c>
      <c r="Q22" s="6">
        <f t="shared" ca="1" si="3"/>
        <v>4</v>
      </c>
      <c r="R22" s="6">
        <f t="shared" ca="1" si="4"/>
        <v>0</v>
      </c>
      <c r="U22" s="6" t="str">
        <f ca="1">IF(Q22&gt;0,"SELECT "&amp;COUNTIF($Q$1:$T21,"&gt;0")+1&amp;", "&amp;$A22&amp;", "&amp;Q22&amp;" UNION ALL","")</f>
        <v>SELECT 25, 24, 4 UNION ALL</v>
      </c>
      <c r="V22" s="6" t="str">
        <f ca="1">IF(R22&gt;0,"SELECT "&amp;COUNTIF($Q$1:$T21,"&gt;0")+COUNTIF($Q22:Q22,"&gt;0")+1&amp;", "&amp;$A22&amp;", "&amp;R22&amp;" UNION ALL","")</f>
        <v/>
      </c>
      <c r="W22" s="6" t="str">
        <f>IF(S22&gt;0,"SELECT "&amp;COUNTIF($Q$1:$T21,"&gt;0")+COUNTIF($Q22:R22,"&gt;0")+1&amp;", "&amp;$A22&amp;", "&amp;S22&amp;" UNION ALL","")</f>
        <v/>
      </c>
      <c r="X22" s="6" t="str">
        <f>IF(T22&gt;0,"SELECT "&amp;COUNTIF($Q$1:$T21,"&gt;0")+COUNTIF($Q22:S22,"&gt;0")+1&amp;", "&amp;$A22&amp;", "&amp;T22&amp;" UNION ALL","")</f>
        <v/>
      </c>
      <c r="Y22" s="5" t="str">
        <f t="shared" ca="1" si="6"/>
        <v>SELECT 25, 24, 4 UNION ALL</v>
      </c>
    </row>
    <row r="23" spans="1:25">
      <c r="A23">
        <v>25</v>
      </c>
      <c r="B23" t="s">
        <v>247</v>
      </c>
      <c r="C23">
        <v>1</v>
      </c>
      <c r="D23">
        <v>6</v>
      </c>
      <c r="E23">
        <v>1</v>
      </c>
      <c r="F23">
        <v>1</v>
      </c>
      <c r="G23" t="s">
        <v>237</v>
      </c>
      <c r="H23">
        <v>0</v>
      </c>
      <c r="I23">
        <v>0</v>
      </c>
      <c r="J23">
        <v>0</v>
      </c>
      <c r="L23" t="str">
        <f t="shared" si="2"/>
        <v>SELECT 25, N'Estonia', 1, 6 UNION ALL</v>
      </c>
      <c r="M23" t="s">
        <v>555</v>
      </c>
      <c r="Q23" s="6">
        <f t="shared" ca="1" si="3"/>
        <v>4</v>
      </c>
      <c r="R23" s="6">
        <f t="shared" ca="1" si="4"/>
        <v>0</v>
      </c>
      <c r="U23" s="6" t="str">
        <f ca="1">IF(Q23&gt;0,"SELECT "&amp;COUNTIF($Q$1:$T22,"&gt;0")+1&amp;", "&amp;$A23&amp;", "&amp;Q23&amp;" UNION ALL","")</f>
        <v>SELECT 26, 25, 4 UNION ALL</v>
      </c>
      <c r="V23" s="6" t="str">
        <f ca="1">IF(R23&gt;0,"SELECT "&amp;COUNTIF($Q$1:$T22,"&gt;0")+COUNTIF($Q23:Q23,"&gt;0")+1&amp;", "&amp;$A23&amp;", "&amp;R23&amp;" UNION ALL","")</f>
        <v/>
      </c>
      <c r="W23" s="6" t="str">
        <f>IF(S23&gt;0,"SELECT "&amp;COUNTIF($Q$1:$T22,"&gt;0")+COUNTIF($Q23:R23,"&gt;0")+1&amp;", "&amp;$A23&amp;", "&amp;S23&amp;" UNION ALL","")</f>
        <v/>
      </c>
      <c r="X23" s="6" t="str">
        <f>IF(T23&gt;0,"SELECT "&amp;COUNTIF($Q$1:$T22,"&gt;0")+COUNTIF($Q23:S23,"&gt;0")+1&amp;", "&amp;$A23&amp;", "&amp;T23&amp;" UNION ALL","")</f>
        <v/>
      </c>
      <c r="Y23" s="5" t="str">
        <f t="shared" ca="1" si="6"/>
        <v>SELECT 26, 25, 4 UNION ALL</v>
      </c>
    </row>
    <row r="24" spans="1:25">
      <c r="A24">
        <v>26</v>
      </c>
      <c r="B24" t="s">
        <v>248</v>
      </c>
      <c r="C24">
        <v>1</v>
      </c>
      <c r="D24">
        <v>8</v>
      </c>
      <c r="E24">
        <v>1</v>
      </c>
      <c r="F24">
        <v>1</v>
      </c>
      <c r="G24" t="s">
        <v>237</v>
      </c>
      <c r="H24">
        <v>0</v>
      </c>
      <c r="I24">
        <v>0</v>
      </c>
      <c r="J24">
        <v>0</v>
      </c>
      <c r="L24" t="str">
        <f t="shared" si="2"/>
        <v>SELECT 26, N'Finlandia', 1, 8 UNION ALL</v>
      </c>
      <c r="M24" t="s">
        <v>555</v>
      </c>
      <c r="Q24" s="6">
        <f t="shared" ca="1" si="3"/>
        <v>4</v>
      </c>
      <c r="R24" s="6">
        <f t="shared" ca="1" si="4"/>
        <v>0</v>
      </c>
      <c r="U24" s="6" t="str">
        <f ca="1">IF(Q24&gt;0,"SELECT "&amp;COUNTIF($Q$1:$T23,"&gt;0")+1&amp;", "&amp;$A24&amp;", "&amp;Q24&amp;" UNION ALL","")</f>
        <v>SELECT 27, 26, 4 UNION ALL</v>
      </c>
      <c r="V24" s="6" t="str">
        <f ca="1">IF(R24&gt;0,"SELECT "&amp;COUNTIF($Q$1:$T23,"&gt;0")+COUNTIF($Q24:Q24,"&gt;0")+1&amp;", "&amp;$A24&amp;", "&amp;R24&amp;" UNION ALL","")</f>
        <v/>
      </c>
      <c r="W24" s="6" t="str">
        <f>IF(S24&gt;0,"SELECT "&amp;COUNTIF($Q$1:$T23,"&gt;0")+COUNTIF($Q24:R24,"&gt;0")+1&amp;", "&amp;$A24&amp;", "&amp;S24&amp;" UNION ALL","")</f>
        <v/>
      </c>
      <c r="X24" s="6" t="str">
        <f>IF(T24&gt;0,"SELECT "&amp;COUNTIF($Q$1:$T23,"&gt;0")+COUNTIF($Q24:S24,"&gt;0")+1&amp;", "&amp;$A24&amp;", "&amp;T24&amp;" UNION ALL","")</f>
        <v/>
      </c>
      <c r="Y24" s="5" t="str">
        <f t="shared" ca="1" si="6"/>
        <v>SELECT 27, 26, 4 UNION ALL</v>
      </c>
    </row>
    <row r="25" spans="1:25">
      <c r="A25">
        <v>27</v>
      </c>
      <c r="B25" t="s">
        <v>249</v>
      </c>
      <c r="C25">
        <v>1</v>
      </c>
      <c r="D25">
        <v>5</v>
      </c>
      <c r="E25">
        <v>1</v>
      </c>
      <c r="F25">
        <v>1</v>
      </c>
      <c r="G25" t="s">
        <v>237</v>
      </c>
      <c r="H25">
        <v>0</v>
      </c>
      <c r="I25">
        <v>0</v>
      </c>
      <c r="J25">
        <v>0</v>
      </c>
      <c r="L25" t="str">
        <f t="shared" si="2"/>
        <v>SELECT 27, N'Gruzja', 1, 5 UNION ALL</v>
      </c>
      <c r="M25" t="s">
        <v>555</v>
      </c>
      <c r="Q25" s="6">
        <f t="shared" ca="1" si="3"/>
        <v>4</v>
      </c>
      <c r="R25" s="6">
        <f t="shared" ca="1" si="4"/>
        <v>0</v>
      </c>
      <c r="U25" s="6" t="str">
        <f ca="1">IF(Q25&gt;0,"SELECT "&amp;COUNTIF($Q$1:$T24,"&gt;0")+1&amp;", "&amp;$A25&amp;", "&amp;Q25&amp;" UNION ALL","")</f>
        <v>SELECT 28, 27, 4 UNION ALL</v>
      </c>
      <c r="V25" s="6" t="str">
        <f ca="1">IF(R25&gt;0,"SELECT "&amp;COUNTIF($Q$1:$T24,"&gt;0")+COUNTIF($Q25:Q25,"&gt;0")+1&amp;", "&amp;$A25&amp;", "&amp;R25&amp;" UNION ALL","")</f>
        <v/>
      </c>
      <c r="W25" s="6" t="str">
        <f>IF(S25&gt;0,"SELECT "&amp;COUNTIF($Q$1:$T24,"&gt;0")+COUNTIF($Q25:R25,"&gt;0")+1&amp;", "&amp;$A25&amp;", "&amp;S25&amp;" UNION ALL","")</f>
        <v/>
      </c>
      <c r="X25" s="6" t="str">
        <f>IF(T25&gt;0,"SELECT "&amp;COUNTIF($Q$1:$T24,"&gt;0")+COUNTIF($Q25:S25,"&gt;0")+1&amp;", "&amp;$A25&amp;", "&amp;T25&amp;" UNION ALL","")</f>
        <v/>
      </c>
      <c r="Y25" s="5" t="str">
        <f t="shared" ca="1" si="6"/>
        <v>SELECT 28, 27, 4 UNION ALL</v>
      </c>
    </row>
    <row r="26" spans="1:25">
      <c r="A26">
        <v>28</v>
      </c>
      <c r="B26" t="s">
        <v>250</v>
      </c>
      <c r="C26">
        <v>1</v>
      </c>
      <c r="D26">
        <v>9</v>
      </c>
      <c r="E26">
        <v>1</v>
      </c>
      <c r="F26">
        <v>1</v>
      </c>
      <c r="G26" t="s">
        <v>237</v>
      </c>
      <c r="H26">
        <v>0</v>
      </c>
      <c r="I26">
        <v>0</v>
      </c>
      <c r="J26">
        <v>0</v>
      </c>
      <c r="L26" t="str">
        <f t="shared" si="2"/>
        <v>SELECT 28, N'Grecja', 1, 9 UNION ALL</v>
      </c>
      <c r="M26" t="s">
        <v>555</v>
      </c>
      <c r="Q26" s="6">
        <f t="shared" ca="1" si="3"/>
        <v>4</v>
      </c>
      <c r="R26" s="6">
        <f t="shared" ca="1" si="4"/>
        <v>0</v>
      </c>
      <c r="U26" s="6" t="str">
        <f ca="1">IF(Q26&gt;0,"SELECT "&amp;COUNTIF($Q$1:$T25,"&gt;0")+1&amp;", "&amp;$A26&amp;", "&amp;Q26&amp;" UNION ALL","")</f>
        <v>SELECT 29, 28, 4 UNION ALL</v>
      </c>
      <c r="V26" s="6" t="str">
        <f ca="1">IF(R26&gt;0,"SELECT "&amp;COUNTIF($Q$1:$T25,"&gt;0")+COUNTIF($Q26:Q26,"&gt;0")+1&amp;", "&amp;$A26&amp;", "&amp;R26&amp;" UNION ALL","")</f>
        <v/>
      </c>
      <c r="W26" s="6" t="str">
        <f>IF(S26&gt;0,"SELECT "&amp;COUNTIF($Q$1:$T25,"&gt;0")+COUNTIF($Q26:R26,"&gt;0")+1&amp;", "&amp;$A26&amp;", "&amp;S26&amp;" UNION ALL","")</f>
        <v/>
      </c>
      <c r="X26" s="6" t="str">
        <f>IF(T26&gt;0,"SELECT "&amp;COUNTIF($Q$1:$T25,"&gt;0")+COUNTIF($Q26:S26,"&gt;0")+1&amp;", "&amp;$A26&amp;", "&amp;T26&amp;" UNION ALL","")</f>
        <v/>
      </c>
      <c r="Y26" s="5" t="str">
        <f t="shared" ca="1" si="6"/>
        <v>SELECT 29, 28, 4 UNION ALL</v>
      </c>
    </row>
    <row r="27" spans="1:25">
      <c r="A27">
        <v>29</v>
      </c>
      <c r="B27" t="s">
        <v>251</v>
      </c>
      <c r="C27">
        <v>1</v>
      </c>
      <c r="D27">
        <v>8</v>
      </c>
      <c r="E27">
        <v>1</v>
      </c>
      <c r="F27">
        <v>1</v>
      </c>
      <c r="G27" t="s">
        <v>237</v>
      </c>
      <c r="H27">
        <v>0</v>
      </c>
      <c r="I27">
        <v>0</v>
      </c>
      <c r="J27">
        <v>0</v>
      </c>
      <c r="L27" t="str">
        <f t="shared" si="2"/>
        <v>SELECT 29, N'Węgry', 1, 8 UNION ALL</v>
      </c>
      <c r="M27" t="s">
        <v>555</v>
      </c>
      <c r="Q27" s="6">
        <f t="shared" ca="1" si="3"/>
        <v>4</v>
      </c>
      <c r="R27" s="6">
        <f t="shared" ca="1" si="4"/>
        <v>0</v>
      </c>
      <c r="U27" s="6" t="str">
        <f ca="1">IF(Q27&gt;0,"SELECT "&amp;COUNTIF($Q$1:$T26,"&gt;0")+1&amp;", "&amp;$A27&amp;", "&amp;Q27&amp;" UNION ALL","")</f>
        <v>SELECT 30, 29, 4 UNION ALL</v>
      </c>
      <c r="V27" s="6" t="str">
        <f ca="1">IF(R27&gt;0,"SELECT "&amp;COUNTIF($Q$1:$T26,"&gt;0")+COUNTIF($Q27:Q27,"&gt;0")+1&amp;", "&amp;$A27&amp;", "&amp;R27&amp;" UNION ALL","")</f>
        <v/>
      </c>
      <c r="W27" s="6" t="str">
        <f>IF(S27&gt;0,"SELECT "&amp;COUNTIF($Q$1:$T26,"&gt;0")+COUNTIF($Q27:R27,"&gt;0")+1&amp;", "&amp;$A27&amp;", "&amp;S27&amp;" UNION ALL","")</f>
        <v/>
      </c>
      <c r="X27" s="6" t="str">
        <f>IF(T27&gt;0,"SELECT "&amp;COUNTIF($Q$1:$T26,"&gt;0")+COUNTIF($Q27:S27,"&gt;0")+1&amp;", "&amp;$A27&amp;", "&amp;T27&amp;" UNION ALL","")</f>
        <v/>
      </c>
      <c r="Y27" s="5" t="str">
        <f t="shared" ca="1" si="6"/>
        <v>SELECT 30, 29, 4 UNION ALL</v>
      </c>
    </row>
    <row r="28" spans="1:25" ht="30">
      <c r="A28">
        <v>30</v>
      </c>
      <c r="B28" t="s">
        <v>252</v>
      </c>
      <c r="C28">
        <v>1</v>
      </c>
      <c r="D28">
        <v>6</v>
      </c>
      <c r="E28">
        <v>1</v>
      </c>
      <c r="F28">
        <v>1</v>
      </c>
      <c r="G28" t="s">
        <v>237</v>
      </c>
      <c r="H28">
        <v>0</v>
      </c>
      <c r="I28">
        <v>0</v>
      </c>
      <c r="J28">
        <v>0</v>
      </c>
      <c r="L28" t="str">
        <f t="shared" si="2"/>
        <v>SELECT 30, N'Islandia', 1, 6 UNION ALL</v>
      </c>
      <c r="M28" t="s">
        <v>555</v>
      </c>
      <c r="N28" t="s">
        <v>553</v>
      </c>
      <c r="Q28" s="6">
        <f t="shared" ca="1" si="3"/>
        <v>4</v>
      </c>
      <c r="R28" s="6">
        <f t="shared" ca="1" si="4"/>
        <v>42</v>
      </c>
      <c r="U28" s="6" t="str">
        <f ca="1">IF(Q28&gt;0,"SELECT "&amp;COUNTIF($Q$1:$T27,"&gt;0")+1&amp;", "&amp;$A28&amp;", "&amp;Q28&amp;" UNION ALL","")</f>
        <v>SELECT 31, 30, 4 UNION ALL</v>
      </c>
      <c r="V28" s="6" t="str">
        <f ca="1">IF(R28&gt;0,"SELECT "&amp;COUNTIF($Q$1:$T27,"&gt;0")+COUNTIF($Q28:Q28,"&gt;0")+1&amp;", "&amp;$A28&amp;", "&amp;R28&amp;" UNION ALL","")</f>
        <v>SELECT 32, 30, 42 UNION ALL</v>
      </c>
      <c r="W28" s="6" t="str">
        <f>IF(S28&gt;0,"SELECT "&amp;COUNTIF($Q$1:$T27,"&gt;0")+COUNTIF($Q28:R28,"&gt;0")+1&amp;", "&amp;$A28&amp;", "&amp;S28&amp;" UNION ALL","")</f>
        <v/>
      </c>
      <c r="X28" s="6" t="str">
        <f>IF(T28&gt;0,"SELECT "&amp;COUNTIF($Q$1:$T27,"&gt;0")+COUNTIF($Q28:S28,"&gt;0")+1&amp;", "&amp;$A28&amp;", "&amp;T28&amp;" UNION ALL","")</f>
        <v/>
      </c>
      <c r="Y28" s="5" t="str">
        <f t="shared" ca="1" si="6"/>
        <v>SELECT 31, 30, 4 UNION ALL
SELECT 32, 30, 42 UNION ALL</v>
      </c>
    </row>
    <row r="29" spans="1:25" ht="30">
      <c r="A29">
        <v>31</v>
      </c>
      <c r="B29" t="s">
        <v>253</v>
      </c>
      <c r="C29">
        <v>1</v>
      </c>
      <c r="D29">
        <v>7</v>
      </c>
      <c r="E29">
        <v>1</v>
      </c>
      <c r="F29">
        <v>1</v>
      </c>
      <c r="G29" t="s">
        <v>237</v>
      </c>
      <c r="H29">
        <v>0</v>
      </c>
      <c r="I29">
        <v>0</v>
      </c>
      <c r="J29">
        <v>0</v>
      </c>
      <c r="L29" t="str">
        <f t="shared" si="2"/>
        <v>SELECT 31, N'Irlandia', 1, 7 UNION ALL</v>
      </c>
      <c r="M29" t="s">
        <v>555</v>
      </c>
      <c r="N29" t="s">
        <v>553</v>
      </c>
      <c r="Q29" s="6">
        <f t="shared" ca="1" si="3"/>
        <v>4</v>
      </c>
      <c r="R29" s="6">
        <f t="shared" ca="1" si="4"/>
        <v>42</v>
      </c>
      <c r="U29" s="6" t="str">
        <f ca="1">IF(Q29&gt;0,"SELECT "&amp;COUNTIF($Q$1:$T28,"&gt;0")+1&amp;", "&amp;$A29&amp;", "&amp;Q29&amp;" UNION ALL","")</f>
        <v>SELECT 33, 31, 4 UNION ALL</v>
      </c>
      <c r="V29" s="6" t="str">
        <f ca="1">IF(R29&gt;0,"SELECT "&amp;COUNTIF($Q$1:$T28,"&gt;0")+COUNTIF($Q29:Q29,"&gt;0")+1&amp;", "&amp;$A29&amp;", "&amp;R29&amp;" UNION ALL","")</f>
        <v>SELECT 34, 31, 42 UNION ALL</v>
      </c>
      <c r="W29" s="6" t="str">
        <f>IF(S29&gt;0,"SELECT "&amp;COUNTIF($Q$1:$T28,"&gt;0")+COUNTIF($Q29:R29,"&gt;0")+1&amp;", "&amp;$A29&amp;", "&amp;S29&amp;" UNION ALL","")</f>
        <v/>
      </c>
      <c r="X29" s="6" t="str">
        <f>IF(T29&gt;0,"SELECT "&amp;COUNTIF($Q$1:$T28,"&gt;0")+COUNTIF($Q29:S29,"&gt;0")+1&amp;", "&amp;$A29&amp;", "&amp;T29&amp;" UNION ALL","")</f>
        <v/>
      </c>
      <c r="Y29" s="5" t="str">
        <f t="shared" ca="1" si="6"/>
        <v>SELECT 33, 31, 4 UNION ALL
SELECT 34, 31, 42 UNION ALL</v>
      </c>
    </row>
    <row r="30" spans="1:25">
      <c r="A30">
        <v>32</v>
      </c>
      <c r="B30" t="s">
        <v>254</v>
      </c>
      <c r="C30">
        <v>1</v>
      </c>
      <c r="D30">
        <v>5</v>
      </c>
      <c r="E30">
        <v>1</v>
      </c>
      <c r="F30">
        <v>1</v>
      </c>
      <c r="G30" t="s">
        <v>237</v>
      </c>
      <c r="H30">
        <v>0</v>
      </c>
      <c r="I30">
        <v>0</v>
      </c>
      <c r="J30">
        <v>0</v>
      </c>
      <c r="L30" t="str">
        <f t="shared" si="2"/>
        <v>SELECT 32, N'Kazachstan', 1, 5 UNION ALL</v>
      </c>
      <c r="M30" t="s">
        <v>555</v>
      </c>
      <c r="Q30" s="6">
        <f t="shared" ca="1" si="3"/>
        <v>4</v>
      </c>
      <c r="R30" s="6">
        <f t="shared" ca="1" si="4"/>
        <v>0</v>
      </c>
      <c r="U30" s="6" t="str">
        <f ca="1">IF(Q30&gt;0,"SELECT "&amp;COUNTIF($Q$1:$T29,"&gt;0")+1&amp;", "&amp;$A30&amp;", "&amp;Q30&amp;" UNION ALL","")</f>
        <v>SELECT 35, 32, 4 UNION ALL</v>
      </c>
      <c r="V30" s="6" t="str">
        <f ca="1">IF(R30&gt;0,"SELECT "&amp;COUNTIF($Q$1:$T29,"&gt;0")+COUNTIF($Q30:Q30,"&gt;0")+1&amp;", "&amp;$A30&amp;", "&amp;R30&amp;" UNION ALL","")</f>
        <v/>
      </c>
      <c r="W30" s="6" t="str">
        <f>IF(S30&gt;0,"SELECT "&amp;COUNTIF($Q$1:$T29,"&gt;0")+COUNTIF($Q30:R30,"&gt;0")+1&amp;", "&amp;$A30&amp;", "&amp;S30&amp;" UNION ALL","")</f>
        <v/>
      </c>
      <c r="X30" s="6" t="str">
        <f>IF(T30&gt;0,"SELECT "&amp;COUNTIF($Q$1:$T29,"&gt;0")+COUNTIF($Q30:S30,"&gt;0")+1&amp;", "&amp;$A30&amp;", "&amp;T30&amp;" UNION ALL","")</f>
        <v/>
      </c>
      <c r="Y30" s="5" t="str">
        <f t="shared" ca="1" si="6"/>
        <v>SELECT 35, 32, 4 UNION ALL</v>
      </c>
    </row>
    <row r="31" spans="1:25">
      <c r="A31">
        <v>33</v>
      </c>
      <c r="B31" t="s">
        <v>255</v>
      </c>
      <c r="C31">
        <v>1</v>
      </c>
      <c r="D31">
        <v>5</v>
      </c>
      <c r="E31">
        <v>1</v>
      </c>
      <c r="F31">
        <v>1</v>
      </c>
      <c r="G31" t="s">
        <v>237</v>
      </c>
      <c r="H31">
        <v>0</v>
      </c>
      <c r="I31">
        <v>0</v>
      </c>
      <c r="J31">
        <v>0</v>
      </c>
      <c r="L31" t="str">
        <f t="shared" si="2"/>
        <v>SELECT 33, N'Łotwa', 1, 5 UNION ALL</v>
      </c>
      <c r="M31" t="s">
        <v>555</v>
      </c>
      <c r="Q31" s="6">
        <f t="shared" ca="1" si="3"/>
        <v>4</v>
      </c>
      <c r="R31" s="6">
        <f t="shared" ca="1" si="4"/>
        <v>0</v>
      </c>
      <c r="U31" s="6" t="str">
        <f ca="1">IF(Q31&gt;0,"SELECT "&amp;COUNTIF($Q$1:$T30,"&gt;0")+1&amp;", "&amp;$A31&amp;", "&amp;Q31&amp;" UNION ALL","")</f>
        <v>SELECT 36, 33, 4 UNION ALL</v>
      </c>
      <c r="V31" s="6" t="str">
        <f ca="1">IF(R31&gt;0,"SELECT "&amp;COUNTIF($Q$1:$T30,"&gt;0")+COUNTIF($Q31:Q31,"&gt;0")+1&amp;", "&amp;$A31&amp;", "&amp;R31&amp;" UNION ALL","")</f>
        <v/>
      </c>
      <c r="W31" s="6" t="str">
        <f>IF(S31&gt;0,"SELECT "&amp;COUNTIF($Q$1:$T30,"&gt;0")+COUNTIF($Q31:R31,"&gt;0")+1&amp;", "&amp;$A31&amp;", "&amp;S31&amp;" UNION ALL","")</f>
        <v/>
      </c>
      <c r="X31" s="6" t="str">
        <f>IF(T31&gt;0,"SELECT "&amp;COUNTIF($Q$1:$T30,"&gt;0")+COUNTIF($Q31:S31,"&gt;0")+1&amp;", "&amp;$A31&amp;", "&amp;T31&amp;" UNION ALL","")</f>
        <v/>
      </c>
      <c r="Y31" s="5" t="str">
        <f t="shared" ca="1" si="6"/>
        <v>SELECT 36, 33, 4 UNION ALL</v>
      </c>
    </row>
    <row r="32" spans="1:25">
      <c r="A32">
        <v>34</v>
      </c>
      <c r="B32" t="s">
        <v>256</v>
      </c>
      <c r="C32">
        <v>1</v>
      </c>
      <c r="D32">
        <v>2</v>
      </c>
      <c r="E32">
        <v>1</v>
      </c>
      <c r="F32">
        <v>1</v>
      </c>
      <c r="G32" t="s">
        <v>237</v>
      </c>
      <c r="H32">
        <v>0</v>
      </c>
      <c r="I32">
        <v>0</v>
      </c>
      <c r="J32">
        <v>0</v>
      </c>
      <c r="L32" t="str">
        <f t="shared" si="2"/>
        <v>SELECT 34, N'Liechtenstein', 1, 2 UNION ALL</v>
      </c>
      <c r="M32" t="s">
        <v>555</v>
      </c>
      <c r="Q32" s="6">
        <f t="shared" ca="1" si="3"/>
        <v>4</v>
      </c>
      <c r="R32" s="6">
        <f t="shared" ca="1" si="4"/>
        <v>0</v>
      </c>
      <c r="U32" s="6" t="str">
        <f ca="1">IF(Q32&gt;0,"SELECT "&amp;COUNTIF($Q$1:$T31,"&gt;0")+1&amp;", "&amp;$A32&amp;", "&amp;Q32&amp;" UNION ALL","")</f>
        <v>SELECT 37, 34, 4 UNION ALL</v>
      </c>
      <c r="V32" s="6" t="str">
        <f ca="1">IF(R32&gt;0,"SELECT "&amp;COUNTIF($Q$1:$T31,"&gt;0")+COUNTIF($Q32:Q32,"&gt;0")+1&amp;", "&amp;$A32&amp;", "&amp;R32&amp;" UNION ALL","")</f>
        <v/>
      </c>
      <c r="W32" s="6" t="str">
        <f>IF(S32&gt;0,"SELECT "&amp;COUNTIF($Q$1:$T31,"&gt;0")+COUNTIF($Q32:R32,"&gt;0")+1&amp;", "&amp;$A32&amp;", "&amp;S32&amp;" UNION ALL","")</f>
        <v/>
      </c>
      <c r="X32" s="6" t="str">
        <f>IF(T32&gt;0,"SELECT "&amp;COUNTIF($Q$1:$T31,"&gt;0")+COUNTIF($Q32:S32,"&gt;0")+1&amp;", "&amp;$A32&amp;", "&amp;T32&amp;" UNION ALL","")</f>
        <v/>
      </c>
      <c r="Y32" s="5" t="str">
        <f t="shared" ca="1" si="6"/>
        <v>SELECT 37, 34, 4 UNION ALL</v>
      </c>
    </row>
    <row r="33" spans="1:25">
      <c r="A33">
        <v>35</v>
      </c>
      <c r="B33" t="s">
        <v>257</v>
      </c>
      <c r="C33">
        <v>1</v>
      </c>
      <c r="D33">
        <v>6</v>
      </c>
      <c r="E33">
        <v>1</v>
      </c>
      <c r="F33">
        <v>1</v>
      </c>
      <c r="G33" t="s">
        <v>237</v>
      </c>
      <c r="H33">
        <v>0</v>
      </c>
      <c r="I33">
        <v>0</v>
      </c>
      <c r="J33">
        <v>0</v>
      </c>
      <c r="L33" t="str">
        <f t="shared" si="2"/>
        <v>SELECT 35, N'Litwa', 1, 6 UNION ALL</v>
      </c>
      <c r="M33" t="s">
        <v>555</v>
      </c>
      <c r="Q33" s="6">
        <f t="shared" ca="1" si="3"/>
        <v>4</v>
      </c>
      <c r="R33" s="6">
        <f t="shared" ca="1" si="4"/>
        <v>0</v>
      </c>
      <c r="U33" s="6" t="str">
        <f ca="1">IF(Q33&gt;0,"SELECT "&amp;COUNTIF($Q$1:$T32,"&gt;0")+1&amp;", "&amp;$A33&amp;", "&amp;Q33&amp;" UNION ALL","")</f>
        <v>SELECT 38, 35, 4 UNION ALL</v>
      </c>
      <c r="V33" s="6" t="str">
        <f ca="1">IF(R33&gt;0,"SELECT "&amp;COUNTIF($Q$1:$T32,"&gt;0")+COUNTIF($Q33:Q33,"&gt;0")+1&amp;", "&amp;$A33&amp;", "&amp;R33&amp;" UNION ALL","")</f>
        <v/>
      </c>
      <c r="W33" s="6" t="str">
        <f>IF(S33&gt;0,"SELECT "&amp;COUNTIF($Q$1:$T32,"&gt;0")+COUNTIF($Q33:R33,"&gt;0")+1&amp;", "&amp;$A33&amp;", "&amp;S33&amp;" UNION ALL","")</f>
        <v/>
      </c>
      <c r="X33" s="6" t="str">
        <f>IF(T33&gt;0,"SELECT "&amp;COUNTIF($Q$1:$T32,"&gt;0")+COUNTIF($Q33:S33,"&gt;0")+1&amp;", "&amp;$A33&amp;", "&amp;T33&amp;" UNION ALL","")</f>
        <v/>
      </c>
      <c r="Y33" s="5" t="str">
        <f t="shared" ca="1" si="6"/>
        <v>SELECT 38, 35, 4 UNION ALL</v>
      </c>
    </row>
    <row r="34" spans="1:25">
      <c r="A34">
        <v>36</v>
      </c>
      <c r="B34" t="s">
        <v>258</v>
      </c>
      <c r="C34">
        <v>1</v>
      </c>
      <c r="D34">
        <v>6</v>
      </c>
      <c r="E34">
        <v>1</v>
      </c>
      <c r="F34">
        <v>1</v>
      </c>
      <c r="G34" t="s">
        <v>237</v>
      </c>
      <c r="H34">
        <v>0</v>
      </c>
      <c r="I34">
        <v>0</v>
      </c>
      <c r="J34">
        <v>0</v>
      </c>
      <c r="L34" t="str">
        <f t="shared" si="2"/>
        <v>SELECT 36, N'Luksemburg', 1, 6 UNION ALL</v>
      </c>
      <c r="M34" t="s">
        <v>555</v>
      </c>
      <c r="Q34" s="6">
        <f t="shared" ca="1" si="3"/>
        <v>4</v>
      </c>
      <c r="R34" s="6">
        <f t="shared" ca="1" si="4"/>
        <v>0</v>
      </c>
      <c r="U34" s="6" t="str">
        <f ca="1">IF(Q34&gt;0,"SELECT "&amp;COUNTIF($Q$1:$T33,"&gt;0")+1&amp;", "&amp;$A34&amp;", "&amp;Q34&amp;" UNION ALL","")</f>
        <v>SELECT 39, 36, 4 UNION ALL</v>
      </c>
      <c r="V34" s="6" t="str">
        <f ca="1">IF(R34&gt;0,"SELECT "&amp;COUNTIF($Q$1:$T33,"&gt;0")+COUNTIF($Q34:Q34,"&gt;0")+1&amp;", "&amp;$A34&amp;", "&amp;R34&amp;" UNION ALL","")</f>
        <v/>
      </c>
      <c r="W34" s="6" t="str">
        <f>IF(S34&gt;0,"SELECT "&amp;COUNTIF($Q$1:$T33,"&gt;0")+COUNTIF($Q34:R34,"&gt;0")+1&amp;", "&amp;$A34&amp;", "&amp;S34&amp;" UNION ALL","")</f>
        <v/>
      </c>
      <c r="X34" s="6" t="str">
        <f>IF(T34&gt;0,"SELECT "&amp;COUNTIF($Q$1:$T33,"&gt;0")+COUNTIF($Q34:S34,"&gt;0")+1&amp;", "&amp;$A34&amp;", "&amp;T34&amp;" UNION ALL","")</f>
        <v/>
      </c>
      <c r="Y34" s="5" t="str">
        <f t="shared" ca="1" si="6"/>
        <v>SELECT 39, 36, 4 UNION ALL</v>
      </c>
    </row>
    <row r="35" spans="1:25">
      <c r="A35">
        <v>37</v>
      </c>
      <c r="B35" t="s">
        <v>259</v>
      </c>
      <c r="C35">
        <v>1</v>
      </c>
      <c r="D35">
        <v>5</v>
      </c>
      <c r="E35">
        <v>1</v>
      </c>
      <c r="F35">
        <v>1</v>
      </c>
      <c r="G35" t="s">
        <v>237</v>
      </c>
      <c r="H35">
        <v>0</v>
      </c>
      <c r="I35">
        <v>0</v>
      </c>
      <c r="J35">
        <v>0</v>
      </c>
      <c r="L35" t="str">
        <f t="shared" si="2"/>
        <v>SELECT 37, N'Macedonia', 1, 5 UNION ALL</v>
      </c>
      <c r="M35" t="s">
        <v>555</v>
      </c>
      <c r="Q35" s="6">
        <f t="shared" ca="1" si="3"/>
        <v>4</v>
      </c>
      <c r="R35" s="6">
        <f t="shared" ca="1" si="4"/>
        <v>0</v>
      </c>
      <c r="U35" s="6" t="str">
        <f ca="1">IF(Q35&gt;0,"SELECT "&amp;COUNTIF($Q$1:$T34,"&gt;0")+1&amp;", "&amp;$A35&amp;", "&amp;Q35&amp;" UNION ALL","")</f>
        <v>SELECT 40, 37, 4 UNION ALL</v>
      </c>
      <c r="V35" s="6" t="str">
        <f ca="1">IF(R35&gt;0,"SELECT "&amp;COUNTIF($Q$1:$T34,"&gt;0")+COUNTIF($Q35:Q35,"&gt;0")+1&amp;", "&amp;$A35&amp;", "&amp;R35&amp;" UNION ALL","")</f>
        <v/>
      </c>
      <c r="W35" s="6" t="str">
        <f>IF(S35&gt;0,"SELECT "&amp;COUNTIF($Q$1:$T34,"&gt;0")+COUNTIF($Q35:R35,"&gt;0")+1&amp;", "&amp;$A35&amp;", "&amp;S35&amp;" UNION ALL","")</f>
        <v/>
      </c>
      <c r="X35" s="6" t="str">
        <f>IF(T35&gt;0,"SELECT "&amp;COUNTIF($Q$1:$T34,"&gt;0")+COUNTIF($Q35:S35,"&gt;0")+1&amp;", "&amp;$A35&amp;", "&amp;T35&amp;" UNION ALL","")</f>
        <v/>
      </c>
      <c r="Y35" s="5" t="str">
        <f t="shared" ca="1" si="6"/>
        <v>SELECT 40, 37, 4 UNION ALL</v>
      </c>
    </row>
    <row r="36" spans="1:25" ht="30">
      <c r="A36">
        <v>38</v>
      </c>
      <c r="B36" t="s">
        <v>260</v>
      </c>
      <c r="C36">
        <v>1</v>
      </c>
      <c r="D36">
        <v>6</v>
      </c>
      <c r="E36">
        <v>1</v>
      </c>
      <c r="F36">
        <v>1</v>
      </c>
      <c r="G36" t="s">
        <v>237</v>
      </c>
      <c r="H36">
        <v>0</v>
      </c>
      <c r="I36">
        <v>0</v>
      </c>
      <c r="J36">
        <v>0</v>
      </c>
      <c r="L36" t="str">
        <f t="shared" si="2"/>
        <v>SELECT 38, N'Malta', 1, 6 UNION ALL</v>
      </c>
      <c r="M36" t="s">
        <v>555</v>
      </c>
      <c r="N36" t="s">
        <v>553</v>
      </c>
      <c r="Q36" s="6">
        <f t="shared" ca="1" si="3"/>
        <v>4</v>
      </c>
      <c r="R36" s="6">
        <f t="shared" ca="1" si="4"/>
        <v>42</v>
      </c>
      <c r="U36" s="6" t="str">
        <f ca="1">IF(Q36&gt;0,"SELECT "&amp;COUNTIF($Q$1:$T35,"&gt;0")+1&amp;", "&amp;$A36&amp;", "&amp;Q36&amp;" UNION ALL","")</f>
        <v>SELECT 41, 38, 4 UNION ALL</v>
      </c>
      <c r="V36" s="6" t="str">
        <f ca="1">IF(R36&gt;0,"SELECT "&amp;COUNTIF($Q$1:$T35,"&gt;0")+COUNTIF($Q36:Q36,"&gt;0")+1&amp;", "&amp;$A36&amp;", "&amp;R36&amp;" UNION ALL","")</f>
        <v>SELECT 42, 38, 42 UNION ALL</v>
      </c>
      <c r="W36" s="6" t="str">
        <f>IF(S36&gt;0,"SELECT "&amp;COUNTIF($Q$1:$T35,"&gt;0")+COUNTIF($Q36:R36,"&gt;0")+1&amp;", "&amp;$A36&amp;", "&amp;S36&amp;" UNION ALL","")</f>
        <v/>
      </c>
      <c r="X36" s="6" t="str">
        <f>IF(T36&gt;0,"SELECT "&amp;COUNTIF($Q$1:$T35,"&gt;0")+COUNTIF($Q36:S36,"&gt;0")+1&amp;", "&amp;$A36&amp;", "&amp;T36&amp;" UNION ALL","")</f>
        <v/>
      </c>
      <c r="Y36" s="5" t="str">
        <f t="shared" ca="1" si="6"/>
        <v>SELECT 41, 38, 4 UNION ALL
SELECT 42, 38, 42 UNION ALL</v>
      </c>
    </row>
    <row r="37" spans="1:25">
      <c r="A37">
        <v>39</v>
      </c>
      <c r="B37" t="s">
        <v>261</v>
      </c>
      <c r="C37">
        <v>1</v>
      </c>
      <c r="D37">
        <v>4</v>
      </c>
      <c r="E37">
        <v>1</v>
      </c>
      <c r="F37">
        <v>1</v>
      </c>
      <c r="G37" t="s">
        <v>237</v>
      </c>
      <c r="H37">
        <v>0</v>
      </c>
      <c r="I37">
        <v>0</v>
      </c>
      <c r="J37">
        <v>0</v>
      </c>
      <c r="L37" t="str">
        <f t="shared" si="2"/>
        <v>SELECT 39, N'Mołdawia', 1, 4 UNION ALL</v>
      </c>
      <c r="M37" t="s">
        <v>555</v>
      </c>
      <c r="Q37" s="6">
        <f t="shared" ca="1" si="3"/>
        <v>4</v>
      </c>
      <c r="R37" s="6">
        <f t="shared" ca="1" si="4"/>
        <v>0</v>
      </c>
      <c r="U37" s="6" t="str">
        <f ca="1">IF(Q37&gt;0,"SELECT "&amp;COUNTIF($Q$1:$T36,"&gt;0")+1&amp;", "&amp;$A37&amp;", "&amp;Q37&amp;" UNION ALL","")</f>
        <v>SELECT 43, 39, 4 UNION ALL</v>
      </c>
      <c r="V37" s="6" t="str">
        <f ca="1">IF(R37&gt;0,"SELECT "&amp;COUNTIF($Q$1:$T36,"&gt;0")+COUNTIF($Q37:Q37,"&gt;0")+1&amp;", "&amp;$A37&amp;", "&amp;R37&amp;" UNION ALL","")</f>
        <v/>
      </c>
      <c r="W37" s="6" t="str">
        <f>IF(S37&gt;0,"SELECT "&amp;COUNTIF($Q$1:$T36,"&gt;0")+COUNTIF($Q37:R37,"&gt;0")+1&amp;", "&amp;$A37&amp;", "&amp;S37&amp;" UNION ALL","")</f>
        <v/>
      </c>
      <c r="X37" s="6" t="str">
        <f>IF(T37&gt;0,"SELECT "&amp;COUNTIF($Q$1:$T36,"&gt;0")+COUNTIF($Q37:S37,"&gt;0")+1&amp;", "&amp;$A37&amp;", "&amp;T37&amp;" UNION ALL","")</f>
        <v/>
      </c>
      <c r="Y37" s="5" t="str">
        <f t="shared" ca="1" si="6"/>
        <v>SELECT 43, 39, 4 UNION ALL</v>
      </c>
    </row>
    <row r="38" spans="1:25">
      <c r="A38">
        <v>40</v>
      </c>
      <c r="B38" t="s">
        <v>262</v>
      </c>
      <c r="C38">
        <v>1</v>
      </c>
      <c r="D38">
        <v>3</v>
      </c>
      <c r="E38">
        <v>1</v>
      </c>
      <c r="F38">
        <v>1</v>
      </c>
      <c r="G38" t="s">
        <v>237</v>
      </c>
      <c r="H38">
        <v>0</v>
      </c>
      <c r="I38">
        <v>0</v>
      </c>
      <c r="J38">
        <v>0</v>
      </c>
      <c r="L38" t="str">
        <f t="shared" si="2"/>
        <v>SELECT 40, N'Monako', 1, 3 UNION ALL</v>
      </c>
      <c r="M38" t="s">
        <v>555</v>
      </c>
      <c r="Q38" s="6">
        <f t="shared" ca="1" si="3"/>
        <v>4</v>
      </c>
      <c r="R38" s="6">
        <f t="shared" ca="1" si="4"/>
        <v>0</v>
      </c>
      <c r="U38" s="6" t="str">
        <f ca="1">IF(Q38&gt;0,"SELECT "&amp;COUNTIF($Q$1:$T37,"&gt;0")+1&amp;", "&amp;$A38&amp;", "&amp;Q38&amp;" UNION ALL","")</f>
        <v>SELECT 44, 40, 4 UNION ALL</v>
      </c>
      <c r="V38" s="6" t="str">
        <f ca="1">IF(R38&gt;0,"SELECT "&amp;COUNTIF($Q$1:$T37,"&gt;0")+COUNTIF($Q38:Q38,"&gt;0")+1&amp;", "&amp;$A38&amp;", "&amp;R38&amp;" UNION ALL","")</f>
        <v/>
      </c>
      <c r="W38" s="6" t="str">
        <f>IF(S38&gt;0,"SELECT "&amp;COUNTIF($Q$1:$T37,"&gt;0")+COUNTIF($Q38:R38,"&gt;0")+1&amp;", "&amp;$A38&amp;", "&amp;S38&amp;" UNION ALL","")</f>
        <v/>
      </c>
      <c r="X38" s="6" t="str">
        <f>IF(T38&gt;0,"SELECT "&amp;COUNTIF($Q$1:$T37,"&gt;0")+COUNTIF($Q38:S38,"&gt;0")+1&amp;", "&amp;$A38&amp;", "&amp;T38&amp;" UNION ALL","")</f>
        <v/>
      </c>
      <c r="Y38" s="5" t="str">
        <f t="shared" ca="1" si="6"/>
        <v>SELECT 44, 40, 4 UNION ALL</v>
      </c>
    </row>
    <row r="39" spans="1:25">
      <c r="A39">
        <v>41</v>
      </c>
      <c r="B39" t="s">
        <v>263</v>
      </c>
      <c r="C39">
        <v>1</v>
      </c>
      <c r="D39">
        <v>6</v>
      </c>
      <c r="E39">
        <v>1</v>
      </c>
      <c r="F39">
        <v>1</v>
      </c>
      <c r="G39" t="s">
        <v>237</v>
      </c>
      <c r="H39">
        <v>0</v>
      </c>
      <c r="I39">
        <v>0</v>
      </c>
      <c r="J39">
        <v>0</v>
      </c>
      <c r="L39" t="str">
        <f t="shared" si="2"/>
        <v>SELECT 41, N'Czarnogóra', 1, 6 UNION ALL</v>
      </c>
      <c r="M39" t="s">
        <v>555</v>
      </c>
      <c r="Q39" s="6">
        <f t="shared" ca="1" si="3"/>
        <v>4</v>
      </c>
      <c r="R39" s="6">
        <f t="shared" ca="1" si="4"/>
        <v>0</v>
      </c>
      <c r="U39" s="6" t="str">
        <f ca="1">IF(Q39&gt;0,"SELECT "&amp;COUNTIF($Q$1:$T38,"&gt;0")+1&amp;", "&amp;$A39&amp;", "&amp;Q39&amp;" UNION ALL","")</f>
        <v>SELECT 45, 41, 4 UNION ALL</v>
      </c>
      <c r="V39" s="6" t="str">
        <f ca="1">IF(R39&gt;0,"SELECT "&amp;COUNTIF($Q$1:$T38,"&gt;0")+COUNTIF($Q39:Q39,"&gt;0")+1&amp;", "&amp;$A39&amp;", "&amp;R39&amp;" UNION ALL","")</f>
        <v/>
      </c>
      <c r="W39" s="6" t="str">
        <f>IF(S39&gt;0,"SELECT "&amp;COUNTIF($Q$1:$T38,"&gt;0")+COUNTIF($Q39:R39,"&gt;0")+1&amp;", "&amp;$A39&amp;", "&amp;S39&amp;" UNION ALL","")</f>
        <v/>
      </c>
      <c r="X39" s="6" t="str">
        <f>IF(T39&gt;0,"SELECT "&amp;COUNTIF($Q$1:$T38,"&gt;0")+COUNTIF($Q39:S39,"&gt;0")+1&amp;", "&amp;$A39&amp;", "&amp;T39&amp;" UNION ALL","")</f>
        <v/>
      </c>
      <c r="Y39" s="5" t="str">
        <f t="shared" ca="1" si="6"/>
        <v>SELECT 45, 41, 4 UNION ALL</v>
      </c>
    </row>
    <row r="40" spans="1:25">
      <c r="A40">
        <v>42</v>
      </c>
      <c r="B40" t="s">
        <v>264</v>
      </c>
      <c r="C40">
        <v>1</v>
      </c>
      <c r="D40">
        <v>10</v>
      </c>
      <c r="E40">
        <v>1</v>
      </c>
      <c r="F40">
        <v>1</v>
      </c>
      <c r="G40" t="s">
        <v>237</v>
      </c>
      <c r="H40">
        <v>0</v>
      </c>
      <c r="I40">
        <v>0</v>
      </c>
      <c r="J40">
        <v>0</v>
      </c>
      <c r="L40" t="str">
        <f t="shared" si="2"/>
        <v>SELECT 42, N'Holandia', 1, 10 UNION ALL</v>
      </c>
      <c r="M40" t="s">
        <v>555</v>
      </c>
      <c r="Q40" s="6">
        <f t="shared" ca="1" si="3"/>
        <v>4</v>
      </c>
      <c r="R40" s="6">
        <f t="shared" ca="1" si="4"/>
        <v>0</v>
      </c>
      <c r="U40" s="6" t="str">
        <f ca="1">IF(Q40&gt;0,"SELECT "&amp;COUNTIF($Q$1:$T39,"&gt;0")+1&amp;", "&amp;$A40&amp;", "&amp;Q40&amp;" UNION ALL","")</f>
        <v>SELECT 46, 42, 4 UNION ALL</v>
      </c>
      <c r="V40" s="6" t="str">
        <f ca="1">IF(R40&gt;0,"SELECT "&amp;COUNTIF($Q$1:$T39,"&gt;0")+COUNTIF($Q40:Q40,"&gt;0")+1&amp;", "&amp;$A40&amp;", "&amp;R40&amp;" UNION ALL","")</f>
        <v/>
      </c>
      <c r="W40" s="6" t="str">
        <f>IF(S40&gt;0,"SELECT "&amp;COUNTIF($Q$1:$T39,"&gt;0")+COUNTIF($Q40:R40,"&gt;0")+1&amp;", "&amp;$A40&amp;", "&amp;S40&amp;" UNION ALL","")</f>
        <v/>
      </c>
      <c r="X40" s="6" t="str">
        <f>IF(T40&gt;0,"SELECT "&amp;COUNTIF($Q$1:$T39,"&gt;0")+COUNTIF($Q40:S40,"&gt;0")+1&amp;", "&amp;$A40&amp;", "&amp;T40&amp;" UNION ALL","")</f>
        <v/>
      </c>
      <c r="Y40" s="5" t="str">
        <f t="shared" ca="1" si="6"/>
        <v>SELECT 46, 42, 4 UNION ALL</v>
      </c>
    </row>
    <row r="41" spans="1:25">
      <c r="A41">
        <v>43</v>
      </c>
      <c r="B41" t="s">
        <v>265</v>
      </c>
      <c r="C41">
        <v>1</v>
      </c>
      <c r="D41">
        <v>9</v>
      </c>
      <c r="E41">
        <v>1</v>
      </c>
      <c r="F41">
        <v>1</v>
      </c>
      <c r="G41" t="s">
        <v>237</v>
      </c>
      <c r="H41">
        <v>0</v>
      </c>
      <c r="I41">
        <v>0</v>
      </c>
      <c r="J41">
        <v>0</v>
      </c>
      <c r="L41" t="str">
        <f t="shared" si="2"/>
        <v>SELECT 43, N'Norwegia', 1, 9 UNION ALL</v>
      </c>
      <c r="M41" t="s">
        <v>555</v>
      </c>
      <c r="Q41" s="6">
        <f t="shared" ca="1" si="3"/>
        <v>4</v>
      </c>
      <c r="R41" s="6">
        <f t="shared" ca="1" si="4"/>
        <v>0</v>
      </c>
      <c r="U41" s="6" t="str">
        <f ca="1">IF(Q41&gt;0,"SELECT "&amp;COUNTIF($Q$1:$T40,"&gt;0")+1&amp;", "&amp;$A41&amp;", "&amp;Q41&amp;" UNION ALL","")</f>
        <v>SELECT 47, 43, 4 UNION ALL</v>
      </c>
      <c r="V41" s="6" t="str">
        <f ca="1">IF(R41&gt;0,"SELECT "&amp;COUNTIF($Q$1:$T40,"&gt;0")+COUNTIF($Q41:Q41,"&gt;0")+1&amp;", "&amp;$A41&amp;", "&amp;R41&amp;" UNION ALL","")</f>
        <v/>
      </c>
      <c r="W41" s="6" t="str">
        <f>IF(S41&gt;0,"SELECT "&amp;COUNTIF($Q$1:$T40,"&gt;0")+COUNTIF($Q41:R41,"&gt;0")+1&amp;", "&amp;$A41&amp;", "&amp;S41&amp;" UNION ALL","")</f>
        <v/>
      </c>
      <c r="X41" s="6" t="str">
        <f>IF(T41&gt;0,"SELECT "&amp;COUNTIF($Q$1:$T40,"&gt;0")+COUNTIF($Q41:S41,"&gt;0")+1&amp;", "&amp;$A41&amp;", "&amp;T41&amp;" UNION ALL","")</f>
        <v/>
      </c>
      <c r="Y41" s="5" t="str">
        <f t="shared" ca="1" si="6"/>
        <v>SELECT 47, 43, 4 UNION ALL</v>
      </c>
    </row>
    <row r="42" spans="1:25">
      <c r="A42">
        <v>44</v>
      </c>
      <c r="B42" t="s">
        <v>266</v>
      </c>
      <c r="C42">
        <v>1</v>
      </c>
      <c r="D42">
        <v>9</v>
      </c>
      <c r="E42">
        <v>1</v>
      </c>
      <c r="F42">
        <v>1</v>
      </c>
      <c r="G42" t="s">
        <v>237</v>
      </c>
      <c r="H42">
        <v>0</v>
      </c>
      <c r="I42">
        <v>0</v>
      </c>
      <c r="J42">
        <v>0</v>
      </c>
      <c r="L42" t="str">
        <f t="shared" si="2"/>
        <v>SELECT 44, N'Portugalia', 1, 9 UNION ALL</v>
      </c>
      <c r="M42" t="s">
        <v>555</v>
      </c>
      <c r="Q42" s="6">
        <f t="shared" ca="1" si="3"/>
        <v>4</v>
      </c>
      <c r="R42" s="6">
        <f t="shared" ca="1" si="4"/>
        <v>0</v>
      </c>
      <c r="U42" s="6" t="str">
        <f ca="1">IF(Q42&gt;0,"SELECT "&amp;COUNTIF($Q$1:$T41,"&gt;0")+1&amp;", "&amp;$A42&amp;", "&amp;Q42&amp;" UNION ALL","")</f>
        <v>SELECT 48, 44, 4 UNION ALL</v>
      </c>
      <c r="V42" s="6" t="str">
        <f ca="1">IF(R42&gt;0,"SELECT "&amp;COUNTIF($Q$1:$T41,"&gt;0")+COUNTIF($Q42:Q42,"&gt;0")+1&amp;", "&amp;$A42&amp;", "&amp;R42&amp;" UNION ALL","")</f>
        <v/>
      </c>
      <c r="W42" s="6" t="str">
        <f>IF(S42&gt;0,"SELECT "&amp;COUNTIF($Q$1:$T41,"&gt;0")+COUNTIF($Q42:R42,"&gt;0")+1&amp;", "&amp;$A42&amp;", "&amp;S42&amp;" UNION ALL","")</f>
        <v/>
      </c>
      <c r="X42" s="6" t="str">
        <f>IF(T42&gt;0,"SELECT "&amp;COUNTIF($Q$1:$T41,"&gt;0")+COUNTIF($Q42:S42,"&gt;0")+1&amp;", "&amp;$A42&amp;", "&amp;T42&amp;" UNION ALL","")</f>
        <v/>
      </c>
      <c r="Y42" s="5" t="str">
        <f t="shared" ca="1" si="6"/>
        <v>SELECT 48, 44, 4 UNION ALL</v>
      </c>
    </row>
    <row r="43" spans="1:25">
      <c r="A43">
        <v>45</v>
      </c>
      <c r="B43" t="s">
        <v>267</v>
      </c>
      <c r="C43">
        <v>1</v>
      </c>
      <c r="D43">
        <v>8</v>
      </c>
      <c r="E43">
        <v>1</v>
      </c>
      <c r="F43">
        <v>1</v>
      </c>
      <c r="G43" t="s">
        <v>237</v>
      </c>
      <c r="H43">
        <v>0</v>
      </c>
      <c r="I43">
        <v>0</v>
      </c>
      <c r="J43">
        <v>0</v>
      </c>
      <c r="L43" t="str">
        <f t="shared" si="2"/>
        <v>SELECT 45, N'Rumunia', 1, 8 UNION ALL</v>
      </c>
      <c r="M43" t="s">
        <v>555</v>
      </c>
      <c r="Q43" s="6">
        <f t="shared" ca="1" si="3"/>
        <v>4</v>
      </c>
      <c r="R43" s="6">
        <f t="shared" ca="1" si="4"/>
        <v>0</v>
      </c>
      <c r="U43" s="6" t="str">
        <f ca="1">IF(Q43&gt;0,"SELECT "&amp;COUNTIF($Q$1:$T42,"&gt;0")+1&amp;", "&amp;$A43&amp;", "&amp;Q43&amp;" UNION ALL","")</f>
        <v>SELECT 49, 45, 4 UNION ALL</v>
      </c>
      <c r="V43" s="6" t="str">
        <f ca="1">IF(R43&gt;0,"SELECT "&amp;COUNTIF($Q$1:$T42,"&gt;0")+COUNTIF($Q43:Q43,"&gt;0")+1&amp;", "&amp;$A43&amp;", "&amp;R43&amp;" UNION ALL","")</f>
        <v/>
      </c>
      <c r="W43" s="6" t="str">
        <f>IF(S43&gt;0,"SELECT "&amp;COUNTIF($Q$1:$T42,"&gt;0")+COUNTIF($Q43:R43,"&gt;0")+1&amp;", "&amp;$A43&amp;", "&amp;S43&amp;" UNION ALL","")</f>
        <v/>
      </c>
      <c r="X43" s="6" t="str">
        <f>IF(T43&gt;0,"SELECT "&amp;COUNTIF($Q$1:$T42,"&gt;0")+COUNTIF($Q43:S43,"&gt;0")+1&amp;", "&amp;$A43&amp;", "&amp;T43&amp;" UNION ALL","")</f>
        <v/>
      </c>
      <c r="Y43" s="5" t="str">
        <f t="shared" ca="1" si="6"/>
        <v>SELECT 49, 45, 4 UNION ALL</v>
      </c>
    </row>
    <row r="44" spans="1:25">
      <c r="A44">
        <v>46</v>
      </c>
      <c r="B44" t="s">
        <v>268</v>
      </c>
      <c r="C44">
        <v>1</v>
      </c>
      <c r="D44">
        <v>2</v>
      </c>
      <c r="E44">
        <v>1</v>
      </c>
      <c r="F44">
        <v>1</v>
      </c>
      <c r="G44" t="s">
        <v>237</v>
      </c>
      <c r="H44">
        <v>0</v>
      </c>
      <c r="I44">
        <v>0</v>
      </c>
      <c r="J44">
        <v>0</v>
      </c>
      <c r="L44" t="str">
        <f t="shared" si="2"/>
        <v>SELECT 46, N'San Marino', 1, 2 UNION ALL</v>
      </c>
      <c r="M44" t="s">
        <v>555</v>
      </c>
      <c r="Q44" s="6">
        <f t="shared" ca="1" si="3"/>
        <v>4</v>
      </c>
      <c r="R44" s="6">
        <f t="shared" ca="1" si="4"/>
        <v>0</v>
      </c>
      <c r="U44" s="6" t="str">
        <f ca="1">IF(Q44&gt;0,"SELECT "&amp;COUNTIF($Q$1:$T43,"&gt;0")+1&amp;", "&amp;$A44&amp;", "&amp;Q44&amp;" UNION ALL","")</f>
        <v>SELECT 50, 46, 4 UNION ALL</v>
      </c>
      <c r="V44" s="6" t="str">
        <f ca="1">IF(R44&gt;0,"SELECT "&amp;COUNTIF($Q$1:$T43,"&gt;0")+COUNTIF($Q44:Q44,"&gt;0")+1&amp;", "&amp;$A44&amp;", "&amp;R44&amp;" UNION ALL","")</f>
        <v/>
      </c>
      <c r="W44" s="6" t="str">
        <f>IF(S44&gt;0,"SELECT "&amp;COUNTIF($Q$1:$T43,"&gt;0")+COUNTIF($Q44:R44,"&gt;0")+1&amp;", "&amp;$A44&amp;", "&amp;S44&amp;" UNION ALL","")</f>
        <v/>
      </c>
      <c r="X44" s="6" t="str">
        <f>IF(T44&gt;0,"SELECT "&amp;COUNTIF($Q$1:$T43,"&gt;0")+COUNTIF($Q44:S44,"&gt;0")+1&amp;", "&amp;$A44&amp;", "&amp;T44&amp;" UNION ALL","")</f>
        <v/>
      </c>
      <c r="Y44" s="5" t="str">
        <f t="shared" ca="1" si="6"/>
        <v>SELECT 50, 46, 4 UNION ALL</v>
      </c>
    </row>
    <row r="45" spans="1:25">
      <c r="A45">
        <v>47</v>
      </c>
      <c r="B45" t="s">
        <v>269</v>
      </c>
      <c r="C45">
        <v>1</v>
      </c>
      <c r="D45">
        <v>7</v>
      </c>
      <c r="E45">
        <v>1</v>
      </c>
      <c r="F45">
        <v>1</v>
      </c>
      <c r="G45" t="s">
        <v>237</v>
      </c>
      <c r="H45">
        <v>0</v>
      </c>
      <c r="I45">
        <v>0</v>
      </c>
      <c r="J45">
        <v>0</v>
      </c>
      <c r="L45" t="str">
        <f t="shared" si="2"/>
        <v>SELECT 47, N'Serbia', 1, 7 UNION ALL</v>
      </c>
      <c r="M45" t="s">
        <v>555</v>
      </c>
      <c r="Q45" s="6">
        <f t="shared" ca="1" si="3"/>
        <v>4</v>
      </c>
      <c r="R45" s="6">
        <f t="shared" ca="1" si="4"/>
        <v>0</v>
      </c>
      <c r="U45" s="6" t="str">
        <f ca="1">IF(Q45&gt;0,"SELECT "&amp;COUNTIF($Q$1:$T44,"&gt;0")+1&amp;", "&amp;$A45&amp;", "&amp;Q45&amp;" UNION ALL","")</f>
        <v>SELECT 51, 47, 4 UNION ALL</v>
      </c>
      <c r="V45" s="6" t="str">
        <f ca="1">IF(R45&gt;0,"SELECT "&amp;COUNTIF($Q$1:$T44,"&gt;0")+COUNTIF($Q45:Q45,"&gt;0")+1&amp;", "&amp;$A45&amp;", "&amp;R45&amp;" UNION ALL","")</f>
        <v/>
      </c>
      <c r="W45" s="6" t="str">
        <f>IF(S45&gt;0,"SELECT "&amp;COUNTIF($Q$1:$T44,"&gt;0")+COUNTIF($Q45:R45,"&gt;0")+1&amp;", "&amp;$A45&amp;", "&amp;S45&amp;" UNION ALL","")</f>
        <v/>
      </c>
      <c r="X45" s="6" t="str">
        <f>IF(T45&gt;0,"SELECT "&amp;COUNTIF($Q$1:$T44,"&gt;0")+COUNTIF($Q45:S45,"&gt;0")+1&amp;", "&amp;$A45&amp;", "&amp;T45&amp;" UNION ALL","")</f>
        <v/>
      </c>
      <c r="Y45" s="5" t="str">
        <f t="shared" ca="1" si="6"/>
        <v>SELECT 51, 47, 4 UNION ALL</v>
      </c>
    </row>
    <row r="46" spans="1:25">
      <c r="A46">
        <v>48</v>
      </c>
      <c r="B46" t="s">
        <v>270</v>
      </c>
      <c r="C46">
        <v>1</v>
      </c>
      <c r="D46">
        <v>7</v>
      </c>
      <c r="E46">
        <v>1</v>
      </c>
      <c r="F46">
        <v>1</v>
      </c>
      <c r="G46" t="s">
        <v>237</v>
      </c>
      <c r="H46">
        <v>0</v>
      </c>
      <c r="I46">
        <v>0</v>
      </c>
      <c r="J46">
        <v>0</v>
      </c>
      <c r="L46" t="str">
        <f t="shared" si="2"/>
        <v>SELECT 48, N'Słowacja', 1, 7 UNION ALL</v>
      </c>
      <c r="M46" t="s">
        <v>555</v>
      </c>
      <c r="Q46" s="6">
        <f t="shared" ca="1" si="3"/>
        <v>4</v>
      </c>
      <c r="R46" s="6">
        <f t="shared" ca="1" si="4"/>
        <v>0</v>
      </c>
      <c r="U46" s="6" t="str">
        <f ca="1">IF(Q46&gt;0,"SELECT "&amp;COUNTIF($Q$1:$T45,"&gt;0")+1&amp;", "&amp;$A46&amp;", "&amp;Q46&amp;" UNION ALL","")</f>
        <v>SELECT 52, 48, 4 UNION ALL</v>
      </c>
      <c r="V46" s="6" t="str">
        <f ca="1">IF(R46&gt;0,"SELECT "&amp;COUNTIF($Q$1:$T45,"&gt;0")+COUNTIF($Q46:Q46,"&gt;0")+1&amp;", "&amp;$A46&amp;", "&amp;R46&amp;" UNION ALL","")</f>
        <v/>
      </c>
      <c r="W46" s="6" t="str">
        <f>IF(S46&gt;0,"SELECT "&amp;COUNTIF($Q$1:$T45,"&gt;0")+COUNTIF($Q46:R46,"&gt;0")+1&amp;", "&amp;$A46&amp;", "&amp;S46&amp;" UNION ALL","")</f>
        <v/>
      </c>
      <c r="X46" s="6" t="str">
        <f>IF(T46&gt;0,"SELECT "&amp;COUNTIF($Q$1:$T45,"&gt;0")+COUNTIF($Q46:S46,"&gt;0")+1&amp;", "&amp;$A46&amp;", "&amp;T46&amp;" UNION ALL","")</f>
        <v/>
      </c>
      <c r="Y46" s="5" t="str">
        <f t="shared" ca="1" si="6"/>
        <v>SELECT 52, 48, 4 UNION ALL</v>
      </c>
    </row>
    <row r="47" spans="1:25">
      <c r="A47">
        <v>49</v>
      </c>
      <c r="B47" t="s">
        <v>271</v>
      </c>
      <c r="C47">
        <v>1</v>
      </c>
      <c r="D47">
        <v>6</v>
      </c>
      <c r="E47">
        <v>1</v>
      </c>
      <c r="F47">
        <v>1</v>
      </c>
      <c r="G47" t="s">
        <v>237</v>
      </c>
      <c r="H47">
        <v>0</v>
      </c>
      <c r="I47">
        <v>0</v>
      </c>
      <c r="J47">
        <v>0</v>
      </c>
      <c r="L47" t="str">
        <f t="shared" si="2"/>
        <v>SELECT 49, N'Słowenia', 1, 6 UNION ALL</v>
      </c>
      <c r="M47" t="s">
        <v>555</v>
      </c>
      <c r="Q47" s="6">
        <f t="shared" ca="1" si="3"/>
        <v>4</v>
      </c>
      <c r="R47" s="6">
        <f t="shared" ca="1" si="4"/>
        <v>0</v>
      </c>
      <c r="U47" s="6" t="str">
        <f ca="1">IF(Q47&gt;0,"SELECT "&amp;COUNTIF($Q$1:$T46,"&gt;0")+1&amp;", "&amp;$A47&amp;", "&amp;Q47&amp;" UNION ALL","")</f>
        <v>SELECT 53, 49, 4 UNION ALL</v>
      </c>
      <c r="V47" s="6" t="str">
        <f ca="1">IF(R47&gt;0,"SELECT "&amp;COUNTIF($Q$1:$T46,"&gt;0")+COUNTIF($Q47:Q47,"&gt;0")+1&amp;", "&amp;$A47&amp;", "&amp;R47&amp;" UNION ALL","")</f>
        <v/>
      </c>
      <c r="W47" s="6" t="str">
        <f>IF(S47&gt;0,"SELECT "&amp;COUNTIF($Q$1:$T46,"&gt;0")+COUNTIF($Q47:R47,"&gt;0")+1&amp;", "&amp;$A47&amp;", "&amp;S47&amp;" UNION ALL","")</f>
        <v/>
      </c>
      <c r="X47" s="6" t="str">
        <f>IF(T47&gt;0,"SELECT "&amp;COUNTIF($Q$1:$T46,"&gt;0")+COUNTIF($Q47:S47,"&gt;0")+1&amp;", "&amp;$A47&amp;", "&amp;T47&amp;" UNION ALL","")</f>
        <v/>
      </c>
      <c r="Y47" s="5" t="str">
        <f t="shared" ca="1" si="6"/>
        <v>SELECT 53, 49, 4 UNION ALL</v>
      </c>
    </row>
    <row r="48" spans="1:25">
      <c r="A48">
        <v>50</v>
      </c>
      <c r="B48" t="s">
        <v>272</v>
      </c>
      <c r="C48">
        <v>1</v>
      </c>
      <c r="D48">
        <v>9</v>
      </c>
      <c r="E48">
        <v>1</v>
      </c>
      <c r="F48">
        <v>1</v>
      </c>
      <c r="G48" t="s">
        <v>237</v>
      </c>
      <c r="H48">
        <v>0</v>
      </c>
      <c r="I48">
        <v>0</v>
      </c>
      <c r="J48">
        <v>0</v>
      </c>
      <c r="L48" t="str">
        <f t="shared" si="2"/>
        <v>SELECT 50, N'Szwecja', 1, 9 UNION ALL</v>
      </c>
      <c r="M48" t="s">
        <v>555</v>
      </c>
      <c r="Q48" s="6">
        <f t="shared" ca="1" si="3"/>
        <v>4</v>
      </c>
      <c r="R48" s="6">
        <f t="shared" ca="1" si="4"/>
        <v>0</v>
      </c>
      <c r="U48" s="6" t="str">
        <f ca="1">IF(Q48&gt;0,"SELECT "&amp;COUNTIF($Q$1:$T47,"&gt;0")+1&amp;", "&amp;$A48&amp;", "&amp;Q48&amp;" UNION ALL","")</f>
        <v>SELECT 54, 50, 4 UNION ALL</v>
      </c>
      <c r="V48" s="6" t="str">
        <f ca="1">IF(R48&gt;0,"SELECT "&amp;COUNTIF($Q$1:$T47,"&gt;0")+COUNTIF($Q48:Q48,"&gt;0")+1&amp;", "&amp;$A48&amp;", "&amp;R48&amp;" UNION ALL","")</f>
        <v/>
      </c>
      <c r="W48" s="6" t="str">
        <f>IF(S48&gt;0,"SELECT "&amp;COUNTIF($Q$1:$T47,"&gt;0")+COUNTIF($Q48:R48,"&gt;0")+1&amp;", "&amp;$A48&amp;", "&amp;S48&amp;" UNION ALL","")</f>
        <v/>
      </c>
      <c r="X48" s="6" t="str">
        <f>IF(T48&gt;0,"SELECT "&amp;COUNTIF($Q$1:$T47,"&gt;0")+COUNTIF($Q48:S48,"&gt;0")+1&amp;", "&amp;$A48&amp;", "&amp;T48&amp;" UNION ALL","")</f>
        <v/>
      </c>
      <c r="Y48" s="5" t="str">
        <f t="shared" ca="1" si="6"/>
        <v>SELECT 54, 50, 4 UNION ALL</v>
      </c>
    </row>
    <row r="49" spans="1:25">
      <c r="A49">
        <v>51</v>
      </c>
      <c r="B49" t="s">
        <v>273</v>
      </c>
      <c r="C49">
        <v>1</v>
      </c>
      <c r="D49">
        <v>10</v>
      </c>
      <c r="E49">
        <v>1</v>
      </c>
      <c r="F49">
        <v>1</v>
      </c>
      <c r="G49" t="s">
        <v>237</v>
      </c>
      <c r="H49">
        <v>0</v>
      </c>
      <c r="I49">
        <v>0</v>
      </c>
      <c r="J49">
        <v>0</v>
      </c>
      <c r="L49" t="str">
        <f t="shared" si="2"/>
        <v>SELECT 51, N'Szwajcaria', 1, 10 UNION ALL</v>
      </c>
      <c r="M49" t="s">
        <v>555</v>
      </c>
      <c r="Q49" s="6">
        <f t="shared" ca="1" si="3"/>
        <v>4</v>
      </c>
      <c r="R49" s="6">
        <f t="shared" ca="1" si="4"/>
        <v>0</v>
      </c>
      <c r="U49" s="6" t="str">
        <f ca="1">IF(Q49&gt;0,"SELECT "&amp;COUNTIF($Q$1:$T48,"&gt;0")+1&amp;", "&amp;$A49&amp;", "&amp;Q49&amp;" UNION ALL","")</f>
        <v>SELECT 55, 51, 4 UNION ALL</v>
      </c>
      <c r="V49" s="6" t="str">
        <f ca="1">IF(R49&gt;0,"SELECT "&amp;COUNTIF($Q$1:$T48,"&gt;0")+COUNTIF($Q49:Q49,"&gt;0")+1&amp;", "&amp;$A49&amp;", "&amp;R49&amp;" UNION ALL","")</f>
        <v/>
      </c>
      <c r="W49" s="6" t="str">
        <f>IF(S49&gt;0,"SELECT "&amp;COUNTIF($Q$1:$T48,"&gt;0")+COUNTIF($Q49:R49,"&gt;0")+1&amp;", "&amp;$A49&amp;", "&amp;S49&amp;" UNION ALL","")</f>
        <v/>
      </c>
      <c r="X49" s="6" t="str">
        <f>IF(T49&gt;0,"SELECT "&amp;COUNTIF($Q$1:$T48,"&gt;0")+COUNTIF($Q49:S49,"&gt;0")+1&amp;", "&amp;$A49&amp;", "&amp;T49&amp;" UNION ALL","")</f>
        <v/>
      </c>
      <c r="Y49" s="5" t="str">
        <f t="shared" ca="1" si="6"/>
        <v>SELECT 55, 51, 4 UNION ALL</v>
      </c>
    </row>
    <row r="50" spans="1:25" ht="30">
      <c r="A50">
        <v>52</v>
      </c>
      <c r="B50" t="s">
        <v>274</v>
      </c>
      <c r="C50">
        <v>1</v>
      </c>
      <c r="D50">
        <v>9</v>
      </c>
      <c r="E50">
        <v>1</v>
      </c>
      <c r="F50">
        <v>1</v>
      </c>
      <c r="G50" t="s">
        <v>237</v>
      </c>
      <c r="H50">
        <v>0</v>
      </c>
      <c r="I50">
        <v>0</v>
      </c>
      <c r="J50">
        <v>0</v>
      </c>
      <c r="L50" t="str">
        <f t="shared" si="2"/>
        <v>SELECT 52, N'Turcja', 1, 9 UNION ALL</v>
      </c>
      <c r="M50" t="s">
        <v>555</v>
      </c>
      <c r="N50" t="s">
        <v>559</v>
      </c>
      <c r="Q50" s="6">
        <f t="shared" ca="1" si="3"/>
        <v>4</v>
      </c>
      <c r="R50" s="6">
        <f t="shared" ca="1" si="4"/>
        <v>8</v>
      </c>
      <c r="U50" s="6" t="str">
        <f ca="1">IF(Q50&gt;0,"SELECT "&amp;COUNTIF($Q$1:$T49,"&gt;0")+1&amp;", "&amp;$A50&amp;", "&amp;Q50&amp;" UNION ALL","")</f>
        <v>SELECT 56, 52, 4 UNION ALL</v>
      </c>
      <c r="V50" s="6" t="str">
        <f ca="1">IF(R50&gt;0,"SELECT "&amp;COUNTIF($Q$1:$T49,"&gt;0")+COUNTIF($Q50:Q50,"&gt;0")+1&amp;", "&amp;$A50&amp;", "&amp;R50&amp;" UNION ALL","")</f>
        <v>SELECT 57, 52, 8 UNION ALL</v>
      </c>
      <c r="W50" s="6" t="str">
        <f>IF(S50&gt;0,"SELECT "&amp;COUNTIF($Q$1:$T49,"&gt;0")+COUNTIF($Q50:R50,"&gt;0")+1&amp;", "&amp;$A50&amp;", "&amp;S50&amp;" UNION ALL","")</f>
        <v/>
      </c>
      <c r="X50" s="6" t="str">
        <f>IF(T50&gt;0,"SELECT "&amp;COUNTIF($Q$1:$T49,"&gt;0")+COUNTIF($Q50:S50,"&gt;0")+1&amp;", "&amp;$A50&amp;", "&amp;T50&amp;" UNION ALL","")</f>
        <v/>
      </c>
      <c r="Y50" s="5" t="str">
        <f t="shared" ca="1" si="6"/>
        <v>SELECT 56, 52, 4 UNION ALL
SELECT 57, 52, 8 UNION ALL</v>
      </c>
    </row>
    <row r="51" spans="1:25">
      <c r="A51">
        <v>53</v>
      </c>
      <c r="B51" t="s">
        <v>275</v>
      </c>
      <c r="C51">
        <v>1</v>
      </c>
      <c r="D51">
        <v>9</v>
      </c>
      <c r="E51">
        <v>1</v>
      </c>
      <c r="F51">
        <v>1</v>
      </c>
      <c r="G51" t="s">
        <v>237</v>
      </c>
      <c r="H51">
        <v>0</v>
      </c>
      <c r="I51">
        <v>0</v>
      </c>
      <c r="J51">
        <v>0</v>
      </c>
      <c r="L51" t="str">
        <f t="shared" si="2"/>
        <v>SELECT 53, N'Ukraina', 1, 9 UNION ALL</v>
      </c>
      <c r="M51" t="s">
        <v>555</v>
      </c>
      <c r="Q51" s="6">
        <f t="shared" ca="1" si="3"/>
        <v>4</v>
      </c>
      <c r="R51" s="6">
        <f t="shared" ca="1" si="4"/>
        <v>0</v>
      </c>
      <c r="U51" s="6" t="str">
        <f ca="1">IF(Q51&gt;0,"SELECT "&amp;COUNTIF($Q$1:$T50,"&gt;0")+1&amp;", "&amp;$A51&amp;", "&amp;Q51&amp;" UNION ALL","")</f>
        <v>SELECT 58, 53, 4 UNION ALL</v>
      </c>
      <c r="V51" s="6" t="str">
        <f ca="1">IF(R51&gt;0,"SELECT "&amp;COUNTIF($Q$1:$T50,"&gt;0")+COUNTIF($Q51:Q51,"&gt;0")+1&amp;", "&amp;$A51&amp;", "&amp;R51&amp;" UNION ALL","")</f>
        <v/>
      </c>
      <c r="W51" s="6" t="str">
        <f>IF(S51&gt;0,"SELECT "&amp;COUNTIF($Q$1:$T50,"&gt;0")+COUNTIF($Q51:R51,"&gt;0")+1&amp;", "&amp;$A51&amp;", "&amp;S51&amp;" UNION ALL","")</f>
        <v/>
      </c>
      <c r="X51" s="6" t="str">
        <f>IF(T51&gt;0,"SELECT "&amp;COUNTIF($Q$1:$T50,"&gt;0")+COUNTIF($Q51:S51,"&gt;0")+1&amp;", "&amp;$A51&amp;", "&amp;T51&amp;" UNION ALL","")</f>
        <v/>
      </c>
      <c r="Y51" s="5" t="str">
        <f t="shared" ca="1" si="6"/>
        <v>SELECT 58, 53, 4 UNION ALL</v>
      </c>
    </row>
    <row r="52" spans="1:25">
      <c r="A52">
        <v>54</v>
      </c>
      <c r="B52" t="s">
        <v>276</v>
      </c>
      <c r="C52">
        <v>1</v>
      </c>
      <c r="D52">
        <v>9</v>
      </c>
      <c r="E52">
        <v>1</v>
      </c>
      <c r="F52">
        <v>1</v>
      </c>
      <c r="G52" t="s">
        <v>237</v>
      </c>
      <c r="H52">
        <v>0</v>
      </c>
      <c r="I52">
        <v>0</v>
      </c>
      <c r="J52">
        <v>0</v>
      </c>
      <c r="L52" t="str">
        <f t="shared" si="2"/>
        <v>SELECT 54, N'Wielka Brytania', 1, 9 UNION ALL</v>
      </c>
      <c r="M52" t="s">
        <v>555</v>
      </c>
      <c r="Q52" s="6">
        <f t="shared" ca="1" si="3"/>
        <v>4</v>
      </c>
      <c r="R52" s="6">
        <f t="shared" ca="1" si="4"/>
        <v>0</v>
      </c>
      <c r="U52" s="6" t="str">
        <f ca="1">IF(Q52&gt;0,"SELECT "&amp;COUNTIF($Q$1:$T51,"&gt;0")+1&amp;", "&amp;$A52&amp;", "&amp;Q52&amp;" UNION ALL","")</f>
        <v>SELECT 59, 54, 4 UNION ALL</v>
      </c>
      <c r="V52" s="6" t="str">
        <f ca="1">IF(R52&gt;0,"SELECT "&amp;COUNTIF($Q$1:$T51,"&gt;0")+COUNTIF($Q52:Q52,"&gt;0")+1&amp;", "&amp;$A52&amp;", "&amp;R52&amp;" UNION ALL","")</f>
        <v/>
      </c>
      <c r="W52" s="6" t="str">
        <f>IF(S52&gt;0,"SELECT "&amp;COUNTIF($Q$1:$T51,"&gt;0")+COUNTIF($Q52:R52,"&gt;0")+1&amp;", "&amp;$A52&amp;", "&amp;S52&amp;" UNION ALL","")</f>
        <v/>
      </c>
      <c r="X52" s="6" t="str">
        <f>IF(T52&gt;0,"SELECT "&amp;COUNTIF($Q$1:$T51,"&gt;0")+COUNTIF($Q52:S52,"&gt;0")+1&amp;", "&amp;$A52&amp;", "&amp;T52&amp;" UNION ALL","")</f>
        <v/>
      </c>
      <c r="Y52" s="5" t="str">
        <f t="shared" ca="1" si="6"/>
        <v>SELECT 59, 54, 4 UNION ALL</v>
      </c>
    </row>
    <row r="53" spans="1:25">
      <c r="A53">
        <v>55</v>
      </c>
      <c r="B53" t="s">
        <v>277</v>
      </c>
      <c r="C53">
        <v>1</v>
      </c>
      <c r="D53">
        <v>2</v>
      </c>
      <c r="E53">
        <v>1</v>
      </c>
      <c r="F53">
        <v>1</v>
      </c>
      <c r="G53" t="s">
        <v>237</v>
      </c>
      <c r="H53">
        <v>0</v>
      </c>
      <c r="I53">
        <v>0</v>
      </c>
      <c r="J53">
        <v>0</v>
      </c>
      <c r="L53" t="str">
        <f t="shared" si="2"/>
        <v>SELECT 55, N'Watykan', 1, 2 UNION ALL</v>
      </c>
      <c r="M53" t="s">
        <v>555</v>
      </c>
      <c r="Q53" s="6">
        <f t="shared" ca="1" si="3"/>
        <v>4</v>
      </c>
      <c r="R53" s="6">
        <f t="shared" ca="1" si="4"/>
        <v>0</v>
      </c>
      <c r="U53" s="6" t="str">
        <f ca="1">IF(Q53&gt;0,"SELECT "&amp;COUNTIF($Q$1:$T52,"&gt;0")+1&amp;", "&amp;$A53&amp;", "&amp;Q53&amp;" UNION ALL","")</f>
        <v>SELECT 60, 55, 4 UNION ALL</v>
      </c>
      <c r="V53" s="6" t="str">
        <f ca="1">IF(R53&gt;0,"SELECT "&amp;COUNTIF($Q$1:$T52,"&gt;0")+COUNTIF($Q53:Q53,"&gt;0")+1&amp;", "&amp;$A53&amp;", "&amp;R53&amp;" UNION ALL","")</f>
        <v/>
      </c>
      <c r="W53" s="6" t="str">
        <f>IF(S53&gt;0,"SELECT "&amp;COUNTIF($Q$1:$T52,"&gt;0")+COUNTIF($Q53:R53,"&gt;0")+1&amp;", "&amp;$A53&amp;", "&amp;S53&amp;" UNION ALL","")</f>
        <v/>
      </c>
      <c r="X53" s="6" t="str">
        <f>IF(T53&gt;0,"SELECT "&amp;COUNTIF($Q$1:$T52,"&gt;0")+COUNTIF($Q53:S53,"&gt;0")+1&amp;", "&amp;$A53&amp;", "&amp;T53&amp;" UNION ALL","")</f>
        <v/>
      </c>
      <c r="Y53" s="5" t="str">
        <f t="shared" ca="1" si="6"/>
        <v>SELECT 60, 55, 4 UNION ALL</v>
      </c>
    </row>
    <row r="54" spans="1:25">
      <c r="A54">
        <v>56</v>
      </c>
      <c r="B54" t="s">
        <v>278</v>
      </c>
      <c r="C54">
        <v>1</v>
      </c>
      <c r="D54">
        <v>6</v>
      </c>
      <c r="E54">
        <v>1</v>
      </c>
      <c r="F54">
        <v>1</v>
      </c>
      <c r="G54" t="s">
        <v>237</v>
      </c>
      <c r="H54">
        <v>0</v>
      </c>
      <c r="I54">
        <v>0</v>
      </c>
      <c r="J54">
        <v>0</v>
      </c>
      <c r="L54" t="str">
        <f t="shared" si="2"/>
        <v>SELECT 56, N'Szkocja', 1, 6 UNION ALL</v>
      </c>
      <c r="M54" t="s">
        <v>555</v>
      </c>
      <c r="Q54" s="6">
        <f t="shared" ca="1" si="3"/>
        <v>4</v>
      </c>
      <c r="R54" s="6">
        <f t="shared" ca="1" si="4"/>
        <v>0</v>
      </c>
      <c r="U54" s="6" t="str">
        <f ca="1">IF(Q54&gt;0,"SELECT "&amp;COUNTIF($Q$1:$T53,"&gt;0")+1&amp;", "&amp;$A54&amp;", "&amp;Q54&amp;" UNION ALL","")</f>
        <v>SELECT 61, 56, 4 UNION ALL</v>
      </c>
      <c r="V54" s="6" t="str">
        <f ca="1">IF(R54&gt;0,"SELECT "&amp;COUNTIF($Q$1:$T53,"&gt;0")+COUNTIF($Q54:Q54,"&gt;0")+1&amp;", "&amp;$A54&amp;", "&amp;R54&amp;" UNION ALL","")</f>
        <v/>
      </c>
      <c r="W54" s="6" t="str">
        <f>IF(S54&gt;0,"SELECT "&amp;COUNTIF($Q$1:$T53,"&gt;0")+COUNTIF($Q54:R54,"&gt;0")+1&amp;", "&amp;$A54&amp;", "&amp;S54&amp;" UNION ALL","")</f>
        <v/>
      </c>
      <c r="X54" s="6" t="str">
        <f>IF(T54&gt;0,"SELECT "&amp;COUNTIF($Q$1:$T53,"&gt;0")+COUNTIF($Q54:S54,"&gt;0")+1&amp;", "&amp;$A54&amp;", "&amp;T54&amp;" UNION ALL","")</f>
        <v/>
      </c>
      <c r="Y54" s="5" t="str">
        <f t="shared" ca="1" si="6"/>
        <v>SELECT 61, 56, 4 UNION ALL</v>
      </c>
    </row>
    <row r="55" spans="1:25">
      <c r="A55">
        <v>57</v>
      </c>
      <c r="B55" t="s">
        <v>279</v>
      </c>
      <c r="C55">
        <v>1</v>
      </c>
      <c r="D55">
        <v>10</v>
      </c>
      <c r="E55">
        <v>1</v>
      </c>
      <c r="F55">
        <v>1</v>
      </c>
      <c r="G55" t="s">
        <v>280</v>
      </c>
      <c r="H55">
        <v>0</v>
      </c>
      <c r="I55">
        <v>0</v>
      </c>
      <c r="J55">
        <v>0</v>
      </c>
      <c r="L55" t="str">
        <f t="shared" si="2"/>
        <v>SELECT 57, N'Brazylia', 1, 10 UNION ALL</v>
      </c>
      <c r="M55" t="s">
        <v>557</v>
      </c>
      <c r="Q55" s="6">
        <f t="shared" ca="1" si="3"/>
        <v>6</v>
      </c>
      <c r="R55" s="6">
        <f t="shared" ca="1" si="4"/>
        <v>0</v>
      </c>
      <c r="U55" s="6" t="str">
        <f ca="1">IF(Q55&gt;0,"SELECT "&amp;COUNTIF($Q$1:$T54,"&gt;0")+1&amp;", "&amp;$A55&amp;", "&amp;Q55&amp;" UNION ALL","")</f>
        <v>SELECT 62, 57, 6 UNION ALL</v>
      </c>
      <c r="V55" s="6" t="str">
        <f ca="1">IF(R55&gt;0,"SELECT "&amp;COUNTIF($Q$1:$T54,"&gt;0")+COUNTIF($Q55:Q55,"&gt;0")+1&amp;", "&amp;$A55&amp;", "&amp;R55&amp;" UNION ALL","")</f>
        <v/>
      </c>
      <c r="W55" s="6" t="str">
        <f>IF(S55&gt;0,"SELECT "&amp;COUNTIF($Q$1:$T54,"&gt;0")+COUNTIF($Q55:R55,"&gt;0")+1&amp;", "&amp;$A55&amp;", "&amp;S55&amp;" UNION ALL","")</f>
        <v/>
      </c>
      <c r="X55" s="6" t="str">
        <f>IF(T55&gt;0,"SELECT "&amp;COUNTIF($Q$1:$T54,"&gt;0")+COUNTIF($Q55:S55,"&gt;0")+1&amp;", "&amp;$A55&amp;", "&amp;T55&amp;" UNION ALL","")</f>
        <v/>
      </c>
      <c r="Y55" s="5" t="str">
        <f t="shared" ca="1" si="6"/>
        <v>SELECT 62, 57, 6 UNION ALL</v>
      </c>
    </row>
    <row r="56" spans="1:25">
      <c r="A56">
        <v>58</v>
      </c>
      <c r="B56" t="s">
        <v>281</v>
      </c>
      <c r="C56">
        <v>1</v>
      </c>
      <c r="D56">
        <v>9</v>
      </c>
      <c r="E56">
        <v>1</v>
      </c>
      <c r="F56">
        <v>1</v>
      </c>
      <c r="G56" t="s">
        <v>282</v>
      </c>
      <c r="H56">
        <v>0</v>
      </c>
      <c r="I56">
        <v>0</v>
      </c>
      <c r="J56">
        <v>0</v>
      </c>
      <c r="L56" t="str">
        <f t="shared" si="2"/>
        <v>SELECT 58, N'Argentyna', 1, 9 UNION ALL</v>
      </c>
      <c r="M56" t="s">
        <v>557</v>
      </c>
      <c r="Q56" s="6">
        <f t="shared" ca="1" si="3"/>
        <v>6</v>
      </c>
      <c r="R56" s="6">
        <f t="shared" ca="1" si="4"/>
        <v>0</v>
      </c>
      <c r="U56" s="6" t="str">
        <f ca="1">IF(Q56&gt;0,"SELECT "&amp;COUNTIF($Q$1:$T55,"&gt;0")+1&amp;", "&amp;$A56&amp;", "&amp;Q56&amp;" UNION ALL","")</f>
        <v>SELECT 63, 58, 6 UNION ALL</v>
      </c>
      <c r="V56" s="6" t="str">
        <f ca="1">IF(R56&gt;0,"SELECT "&amp;COUNTIF($Q$1:$T55,"&gt;0")+COUNTIF($Q56:Q56,"&gt;0")+1&amp;", "&amp;$A56&amp;", "&amp;R56&amp;" UNION ALL","")</f>
        <v/>
      </c>
      <c r="W56" s="6" t="str">
        <f>IF(S56&gt;0,"SELECT "&amp;COUNTIF($Q$1:$T55,"&gt;0")+COUNTIF($Q56:R56,"&gt;0")+1&amp;", "&amp;$A56&amp;", "&amp;S56&amp;" UNION ALL","")</f>
        <v/>
      </c>
      <c r="X56" s="6" t="str">
        <f>IF(T56&gt;0,"SELECT "&amp;COUNTIF($Q$1:$T55,"&gt;0")+COUNTIF($Q56:S56,"&gt;0")+1&amp;", "&amp;$A56&amp;", "&amp;T56&amp;" UNION ALL","")</f>
        <v/>
      </c>
      <c r="Y56" s="5" t="str">
        <f t="shared" ca="1" si="6"/>
        <v>SELECT 63, 58, 6 UNION ALL</v>
      </c>
    </row>
    <row r="57" spans="1:25">
      <c r="A57">
        <v>63</v>
      </c>
      <c r="B57" t="s">
        <v>283</v>
      </c>
      <c r="C57">
        <v>1</v>
      </c>
      <c r="D57">
        <v>6</v>
      </c>
      <c r="E57">
        <v>1</v>
      </c>
      <c r="F57">
        <v>1</v>
      </c>
      <c r="G57" t="s">
        <v>284</v>
      </c>
      <c r="H57">
        <v>0</v>
      </c>
      <c r="I57">
        <v>0</v>
      </c>
      <c r="J57">
        <v>0</v>
      </c>
      <c r="L57" t="str">
        <f t="shared" si="2"/>
        <v>SELECT 63, N'Peru', 1, 6 UNION ALL</v>
      </c>
      <c r="M57" t="s">
        <v>557</v>
      </c>
      <c r="Q57" s="6">
        <f t="shared" ca="1" si="3"/>
        <v>6</v>
      </c>
      <c r="R57" s="6">
        <f t="shared" ca="1" si="4"/>
        <v>0</v>
      </c>
      <c r="U57" s="6" t="str">
        <f ca="1">IF(Q57&gt;0,"SELECT "&amp;COUNTIF($Q$1:$T56,"&gt;0")+1&amp;", "&amp;$A57&amp;", "&amp;Q57&amp;" UNION ALL","")</f>
        <v>SELECT 64, 63, 6 UNION ALL</v>
      </c>
      <c r="V57" s="6" t="str">
        <f ca="1">IF(R57&gt;0,"SELECT "&amp;COUNTIF($Q$1:$T56,"&gt;0")+COUNTIF($Q57:Q57,"&gt;0")+1&amp;", "&amp;$A57&amp;", "&amp;R57&amp;" UNION ALL","")</f>
        <v/>
      </c>
      <c r="W57" s="6" t="str">
        <f>IF(S57&gt;0,"SELECT "&amp;COUNTIF($Q$1:$T56,"&gt;0")+COUNTIF($Q57:R57,"&gt;0")+1&amp;", "&amp;$A57&amp;", "&amp;S57&amp;" UNION ALL","")</f>
        <v/>
      </c>
      <c r="X57" s="6" t="str">
        <f>IF(T57&gt;0,"SELECT "&amp;COUNTIF($Q$1:$T56,"&gt;0")+COUNTIF($Q57:S57,"&gt;0")+1&amp;", "&amp;$A57&amp;", "&amp;T57&amp;" UNION ALL","")</f>
        <v/>
      </c>
      <c r="Y57" s="5" t="str">
        <f t="shared" ca="1" si="6"/>
        <v>SELECT 64, 63, 6 UNION ALL</v>
      </c>
    </row>
    <row r="58" spans="1:25">
      <c r="A58">
        <v>64</v>
      </c>
      <c r="B58" t="s">
        <v>285</v>
      </c>
      <c r="C58">
        <v>1</v>
      </c>
      <c r="D58">
        <v>5</v>
      </c>
      <c r="E58">
        <v>1</v>
      </c>
      <c r="F58">
        <v>1</v>
      </c>
      <c r="G58" t="s">
        <v>286</v>
      </c>
      <c r="H58">
        <v>0</v>
      </c>
      <c r="I58">
        <v>0</v>
      </c>
      <c r="J58">
        <v>0</v>
      </c>
      <c r="L58" t="str">
        <f t="shared" si="2"/>
        <v>SELECT 64, N'Boliwia', 1, 5 UNION ALL</v>
      </c>
      <c r="M58" t="s">
        <v>557</v>
      </c>
      <c r="Q58" s="6">
        <f t="shared" ca="1" si="3"/>
        <v>6</v>
      </c>
      <c r="R58" s="6">
        <f t="shared" ca="1" si="4"/>
        <v>0</v>
      </c>
      <c r="U58" s="6" t="str">
        <f ca="1">IF(Q58&gt;0,"SELECT "&amp;COUNTIF($Q$1:$T57,"&gt;0")+1&amp;", "&amp;$A58&amp;", "&amp;Q58&amp;" UNION ALL","")</f>
        <v>SELECT 65, 64, 6 UNION ALL</v>
      </c>
      <c r="V58" s="6" t="str">
        <f ca="1">IF(R58&gt;0,"SELECT "&amp;COUNTIF($Q$1:$T57,"&gt;0")+COUNTIF($Q58:Q58,"&gt;0")+1&amp;", "&amp;$A58&amp;", "&amp;R58&amp;" UNION ALL","")</f>
        <v/>
      </c>
      <c r="W58" s="6" t="str">
        <f>IF(S58&gt;0,"SELECT "&amp;COUNTIF($Q$1:$T57,"&gt;0")+COUNTIF($Q58:R58,"&gt;0")+1&amp;", "&amp;$A58&amp;", "&amp;S58&amp;" UNION ALL","")</f>
        <v/>
      </c>
      <c r="X58" s="6" t="str">
        <f>IF(T58&gt;0,"SELECT "&amp;COUNTIF($Q$1:$T57,"&gt;0")+COUNTIF($Q58:S58,"&gt;0")+1&amp;", "&amp;$A58&amp;", "&amp;T58&amp;" UNION ALL","")</f>
        <v/>
      </c>
      <c r="Y58" s="5" t="str">
        <f t="shared" ca="1" si="6"/>
        <v>SELECT 65, 64, 6 UNION ALL</v>
      </c>
    </row>
    <row r="59" spans="1:25">
      <c r="A59">
        <v>65</v>
      </c>
      <c r="B59" t="s">
        <v>287</v>
      </c>
      <c r="C59">
        <v>1</v>
      </c>
      <c r="D59">
        <v>6</v>
      </c>
      <c r="E59">
        <v>1</v>
      </c>
      <c r="F59">
        <v>1</v>
      </c>
      <c r="G59" t="s">
        <v>288</v>
      </c>
      <c r="H59">
        <v>0</v>
      </c>
      <c r="I59">
        <v>0</v>
      </c>
      <c r="J59">
        <v>0</v>
      </c>
      <c r="L59" t="str">
        <f t="shared" si="2"/>
        <v>SELECT 65, N'Chile', 1, 6 UNION ALL</v>
      </c>
      <c r="M59" t="s">
        <v>557</v>
      </c>
      <c r="Q59" s="6">
        <f t="shared" ca="1" si="3"/>
        <v>6</v>
      </c>
      <c r="R59" s="6">
        <f t="shared" ca="1" si="4"/>
        <v>0</v>
      </c>
      <c r="U59" s="6" t="str">
        <f ca="1">IF(Q59&gt;0,"SELECT "&amp;COUNTIF($Q$1:$T58,"&gt;0")+1&amp;", "&amp;$A59&amp;", "&amp;Q59&amp;" UNION ALL","")</f>
        <v>SELECT 66, 65, 6 UNION ALL</v>
      </c>
      <c r="V59" s="6" t="str">
        <f ca="1">IF(R59&gt;0,"SELECT "&amp;COUNTIF($Q$1:$T58,"&gt;0")+COUNTIF($Q59:Q59,"&gt;0")+1&amp;", "&amp;$A59&amp;", "&amp;R59&amp;" UNION ALL","")</f>
        <v/>
      </c>
      <c r="W59" s="6" t="str">
        <f>IF(S59&gt;0,"SELECT "&amp;COUNTIF($Q$1:$T58,"&gt;0")+COUNTIF($Q59:R59,"&gt;0")+1&amp;", "&amp;$A59&amp;", "&amp;S59&amp;" UNION ALL","")</f>
        <v/>
      </c>
      <c r="X59" s="6" t="str">
        <f>IF(T59&gt;0,"SELECT "&amp;COUNTIF($Q$1:$T58,"&gt;0")+COUNTIF($Q59:S59,"&gt;0")+1&amp;", "&amp;$A59&amp;", "&amp;T59&amp;" UNION ALL","")</f>
        <v/>
      </c>
      <c r="Y59" s="5" t="str">
        <f t="shared" ca="1" si="6"/>
        <v>SELECT 66, 65, 6 UNION ALL</v>
      </c>
    </row>
    <row r="60" spans="1:25">
      <c r="A60">
        <v>66</v>
      </c>
      <c r="B60" t="s">
        <v>289</v>
      </c>
      <c r="C60">
        <v>1</v>
      </c>
      <c r="D60">
        <v>8</v>
      </c>
      <c r="E60">
        <v>1</v>
      </c>
      <c r="F60">
        <v>1</v>
      </c>
      <c r="G60" t="s">
        <v>290</v>
      </c>
      <c r="H60">
        <v>0</v>
      </c>
      <c r="I60">
        <v>0</v>
      </c>
      <c r="J60">
        <v>0</v>
      </c>
      <c r="L60" t="str">
        <f t="shared" si="2"/>
        <v>SELECT 66, N'Kolumbia', 1, 8 UNION ALL</v>
      </c>
      <c r="M60" t="s">
        <v>557</v>
      </c>
      <c r="Q60" s="6">
        <f t="shared" ca="1" si="3"/>
        <v>6</v>
      </c>
      <c r="R60" s="6">
        <f t="shared" ca="1" si="4"/>
        <v>0</v>
      </c>
      <c r="U60" s="6" t="str">
        <f ca="1">IF(Q60&gt;0,"SELECT "&amp;COUNTIF($Q$1:$T59,"&gt;0")+1&amp;", "&amp;$A60&amp;", "&amp;Q60&amp;" UNION ALL","")</f>
        <v>SELECT 67, 66, 6 UNION ALL</v>
      </c>
      <c r="V60" s="6" t="str">
        <f ca="1">IF(R60&gt;0,"SELECT "&amp;COUNTIF($Q$1:$T59,"&gt;0")+COUNTIF($Q60:Q60,"&gt;0")+1&amp;", "&amp;$A60&amp;", "&amp;R60&amp;" UNION ALL","")</f>
        <v/>
      </c>
      <c r="W60" s="6" t="str">
        <f>IF(S60&gt;0,"SELECT "&amp;COUNTIF($Q$1:$T59,"&gt;0")+COUNTIF($Q60:R60,"&gt;0")+1&amp;", "&amp;$A60&amp;", "&amp;S60&amp;" UNION ALL","")</f>
        <v/>
      </c>
      <c r="X60" s="6" t="str">
        <f>IF(T60&gt;0,"SELECT "&amp;COUNTIF($Q$1:$T59,"&gt;0")+COUNTIF($Q60:S60,"&gt;0")+1&amp;", "&amp;$A60&amp;", "&amp;T60&amp;" UNION ALL","")</f>
        <v/>
      </c>
      <c r="Y60" s="5" t="str">
        <f t="shared" ca="1" si="6"/>
        <v>SELECT 67, 66, 6 UNION ALL</v>
      </c>
    </row>
    <row r="61" spans="1:25">
      <c r="A61">
        <v>67</v>
      </c>
      <c r="B61" t="s">
        <v>291</v>
      </c>
      <c r="C61">
        <v>1</v>
      </c>
      <c r="D61">
        <v>7</v>
      </c>
      <c r="E61">
        <v>1</v>
      </c>
      <c r="F61">
        <v>1</v>
      </c>
      <c r="G61" t="s">
        <v>292</v>
      </c>
      <c r="H61">
        <v>0</v>
      </c>
      <c r="I61">
        <v>0</v>
      </c>
      <c r="J61">
        <v>0</v>
      </c>
      <c r="L61" t="str">
        <f t="shared" si="2"/>
        <v>SELECT 67, N'Wenezuela', 1, 7 UNION ALL</v>
      </c>
      <c r="M61" t="s">
        <v>557</v>
      </c>
      <c r="Q61" s="6">
        <f t="shared" ca="1" si="3"/>
        <v>6</v>
      </c>
      <c r="R61" s="6">
        <f t="shared" ca="1" si="4"/>
        <v>0</v>
      </c>
      <c r="U61" s="6" t="str">
        <f ca="1">IF(Q61&gt;0,"SELECT "&amp;COUNTIF($Q$1:$T60,"&gt;0")+1&amp;", "&amp;$A61&amp;", "&amp;Q61&amp;" UNION ALL","")</f>
        <v>SELECT 68, 67, 6 UNION ALL</v>
      </c>
      <c r="V61" s="6" t="str">
        <f ca="1">IF(R61&gt;0,"SELECT "&amp;COUNTIF($Q$1:$T60,"&gt;0")+COUNTIF($Q61:Q61,"&gt;0")+1&amp;", "&amp;$A61&amp;", "&amp;R61&amp;" UNION ALL","")</f>
        <v/>
      </c>
      <c r="W61" s="6" t="str">
        <f>IF(S61&gt;0,"SELECT "&amp;COUNTIF($Q$1:$T60,"&gt;0")+COUNTIF($Q61:R61,"&gt;0")+1&amp;", "&amp;$A61&amp;", "&amp;S61&amp;" UNION ALL","")</f>
        <v/>
      </c>
      <c r="X61" s="6" t="str">
        <f>IF(T61&gt;0,"SELECT "&amp;COUNTIF($Q$1:$T60,"&gt;0")+COUNTIF($Q61:S61,"&gt;0")+1&amp;", "&amp;$A61&amp;", "&amp;T61&amp;" UNION ALL","")</f>
        <v/>
      </c>
      <c r="Y61" s="5" t="str">
        <f t="shared" ca="1" si="6"/>
        <v>SELECT 68, 67, 6 UNION ALL</v>
      </c>
    </row>
    <row r="62" spans="1:25">
      <c r="A62">
        <v>68</v>
      </c>
      <c r="B62" t="s">
        <v>293</v>
      </c>
      <c r="C62">
        <v>1</v>
      </c>
      <c r="D62">
        <v>6</v>
      </c>
      <c r="E62">
        <v>1</v>
      </c>
      <c r="F62">
        <v>1</v>
      </c>
      <c r="G62" t="s">
        <v>294</v>
      </c>
      <c r="H62">
        <v>0</v>
      </c>
      <c r="I62">
        <v>0</v>
      </c>
      <c r="J62">
        <v>0</v>
      </c>
      <c r="L62" t="str">
        <f t="shared" si="2"/>
        <v>SELECT 68, N'Urugwaj', 1, 6 UNION ALL</v>
      </c>
      <c r="M62" t="s">
        <v>557</v>
      </c>
      <c r="Q62" s="6">
        <f t="shared" ca="1" si="3"/>
        <v>6</v>
      </c>
      <c r="R62" s="6">
        <f t="shared" ca="1" si="4"/>
        <v>0</v>
      </c>
      <c r="U62" s="6" t="str">
        <f ca="1">IF(Q62&gt;0,"SELECT "&amp;COUNTIF($Q$1:$T61,"&gt;0")+1&amp;", "&amp;$A62&amp;", "&amp;Q62&amp;" UNION ALL","")</f>
        <v>SELECT 69, 68, 6 UNION ALL</v>
      </c>
      <c r="V62" s="6" t="str">
        <f ca="1">IF(R62&gt;0,"SELECT "&amp;COUNTIF($Q$1:$T61,"&gt;0")+COUNTIF($Q62:Q62,"&gt;0")+1&amp;", "&amp;$A62&amp;", "&amp;R62&amp;" UNION ALL","")</f>
        <v/>
      </c>
      <c r="W62" s="6" t="str">
        <f>IF(S62&gt;0,"SELECT "&amp;COUNTIF($Q$1:$T61,"&gt;0")+COUNTIF($Q62:R62,"&gt;0")+1&amp;", "&amp;$A62&amp;", "&amp;S62&amp;" UNION ALL","")</f>
        <v/>
      </c>
      <c r="X62" s="6" t="str">
        <f>IF(T62&gt;0,"SELECT "&amp;COUNTIF($Q$1:$T61,"&gt;0")+COUNTIF($Q62:S62,"&gt;0")+1&amp;", "&amp;$A62&amp;", "&amp;T62&amp;" UNION ALL","")</f>
        <v/>
      </c>
      <c r="Y62" s="5" t="str">
        <f t="shared" ca="1" si="6"/>
        <v>SELECT 69, 68, 6 UNION ALL</v>
      </c>
    </row>
    <row r="63" spans="1:25">
      <c r="A63">
        <v>70</v>
      </c>
      <c r="B63" t="s">
        <v>295</v>
      </c>
      <c r="C63">
        <v>1</v>
      </c>
      <c r="D63">
        <v>6</v>
      </c>
      <c r="E63">
        <v>1</v>
      </c>
      <c r="F63">
        <v>1</v>
      </c>
      <c r="G63" t="s">
        <v>296</v>
      </c>
      <c r="H63">
        <v>0</v>
      </c>
      <c r="I63">
        <v>0</v>
      </c>
      <c r="J63">
        <v>0</v>
      </c>
      <c r="L63" t="str">
        <f t="shared" si="2"/>
        <v>SELECT 70, N'Paragwaj', 1, 6 UNION ALL</v>
      </c>
      <c r="M63" t="s">
        <v>557</v>
      </c>
      <c r="Q63" s="6">
        <f t="shared" ca="1" si="3"/>
        <v>6</v>
      </c>
      <c r="R63" s="6">
        <f t="shared" ca="1" si="4"/>
        <v>0</v>
      </c>
      <c r="U63" s="6" t="str">
        <f ca="1">IF(Q63&gt;0,"SELECT "&amp;COUNTIF($Q$1:$T62,"&gt;0")+1&amp;", "&amp;$A63&amp;", "&amp;Q63&amp;" UNION ALL","")</f>
        <v>SELECT 70, 70, 6 UNION ALL</v>
      </c>
      <c r="V63" s="6" t="str">
        <f ca="1">IF(R63&gt;0,"SELECT "&amp;COUNTIF($Q$1:$T62,"&gt;0")+COUNTIF($Q63:Q63,"&gt;0")+1&amp;", "&amp;$A63&amp;", "&amp;R63&amp;" UNION ALL","")</f>
        <v/>
      </c>
      <c r="W63" s="6" t="str">
        <f>IF(S63&gt;0,"SELECT "&amp;COUNTIF($Q$1:$T62,"&gt;0")+COUNTIF($Q63:R63,"&gt;0")+1&amp;", "&amp;$A63&amp;", "&amp;S63&amp;" UNION ALL","")</f>
        <v/>
      </c>
      <c r="X63" s="6" t="str">
        <f>IF(T63&gt;0,"SELECT "&amp;COUNTIF($Q$1:$T62,"&gt;0")+COUNTIF($Q63:S63,"&gt;0")+1&amp;", "&amp;$A63&amp;", "&amp;T63&amp;" UNION ALL","")</f>
        <v/>
      </c>
      <c r="Y63" s="5" t="str">
        <f t="shared" ca="1" si="6"/>
        <v>SELECT 70, 70, 6 UNION ALL</v>
      </c>
    </row>
    <row r="64" spans="1:25">
      <c r="A64">
        <v>80</v>
      </c>
      <c r="B64" t="s">
        <v>297</v>
      </c>
      <c r="C64">
        <v>1</v>
      </c>
      <c r="D64">
        <v>6</v>
      </c>
      <c r="E64">
        <v>1</v>
      </c>
      <c r="F64">
        <v>1</v>
      </c>
      <c r="G64" t="s">
        <v>298</v>
      </c>
      <c r="H64">
        <v>0</v>
      </c>
      <c r="I64">
        <v>0</v>
      </c>
      <c r="J64">
        <v>0</v>
      </c>
      <c r="L64" t="str">
        <f t="shared" si="2"/>
        <v>SELECT 80, N'Ekwador', 1, 6 UNION ALL</v>
      </c>
      <c r="M64" t="s">
        <v>557</v>
      </c>
      <c r="Q64" s="6">
        <f t="shared" ca="1" si="3"/>
        <v>6</v>
      </c>
      <c r="R64" s="6">
        <f t="shared" ca="1" si="4"/>
        <v>0</v>
      </c>
      <c r="U64" s="6" t="str">
        <f ca="1">IF(Q64&gt;0,"SELECT "&amp;COUNTIF($Q$1:$T63,"&gt;0")+1&amp;", "&amp;$A64&amp;", "&amp;Q64&amp;" UNION ALL","")</f>
        <v>SELECT 71, 80, 6 UNION ALL</v>
      </c>
      <c r="V64" s="6" t="str">
        <f ca="1">IF(R64&gt;0,"SELECT "&amp;COUNTIF($Q$1:$T63,"&gt;0")+COUNTIF($Q64:Q64,"&gt;0")+1&amp;", "&amp;$A64&amp;", "&amp;R64&amp;" UNION ALL","")</f>
        <v/>
      </c>
      <c r="W64" s="6" t="str">
        <f>IF(S64&gt;0,"SELECT "&amp;COUNTIF($Q$1:$T63,"&gt;0")+COUNTIF($Q64:R64,"&gt;0")+1&amp;", "&amp;$A64&amp;", "&amp;S64&amp;" UNION ALL","")</f>
        <v/>
      </c>
      <c r="X64" s="6" t="str">
        <f>IF(T64&gt;0,"SELECT "&amp;COUNTIF($Q$1:$T63,"&gt;0")+COUNTIF($Q64:S64,"&gt;0")+1&amp;", "&amp;$A64&amp;", "&amp;T64&amp;" UNION ALL","")</f>
        <v/>
      </c>
      <c r="Y64" s="5" t="str">
        <f t="shared" ca="1" si="6"/>
        <v>SELECT 71, 80, 6 UNION ALL</v>
      </c>
    </row>
    <row r="65" spans="1:25">
      <c r="A65">
        <v>85</v>
      </c>
      <c r="B65" t="s">
        <v>299</v>
      </c>
      <c r="C65">
        <v>1</v>
      </c>
      <c r="D65">
        <v>10</v>
      </c>
      <c r="E65">
        <v>1</v>
      </c>
      <c r="F65">
        <v>1</v>
      </c>
      <c r="G65" t="s">
        <v>300</v>
      </c>
      <c r="H65">
        <v>0</v>
      </c>
      <c r="I65">
        <v>0</v>
      </c>
      <c r="J65">
        <v>0</v>
      </c>
      <c r="L65" t="str">
        <f t="shared" si="2"/>
        <v>SELECT 85, N'Chiny', 1, 10 UNION ALL</v>
      </c>
      <c r="M65" t="s">
        <v>559</v>
      </c>
      <c r="Q65" s="6">
        <f t="shared" ca="1" si="3"/>
        <v>8</v>
      </c>
      <c r="R65" s="6">
        <f t="shared" ca="1" si="4"/>
        <v>0</v>
      </c>
      <c r="U65" s="6" t="str">
        <f ca="1">IF(Q65&gt;0,"SELECT "&amp;COUNTIF($Q$1:$T64,"&gt;0")+1&amp;", "&amp;$A65&amp;", "&amp;Q65&amp;" UNION ALL","")</f>
        <v>SELECT 72, 85, 8 UNION ALL</v>
      </c>
      <c r="V65" s="6" t="str">
        <f ca="1">IF(R65&gt;0,"SELECT "&amp;COUNTIF($Q$1:$T64,"&gt;0")+COUNTIF($Q65:Q65,"&gt;0")+1&amp;", "&amp;$A65&amp;", "&amp;R65&amp;" UNION ALL","")</f>
        <v/>
      </c>
      <c r="W65" s="6" t="str">
        <f>IF(S65&gt;0,"SELECT "&amp;COUNTIF($Q$1:$T64,"&gt;0")+COUNTIF($Q65:R65,"&gt;0")+1&amp;", "&amp;$A65&amp;", "&amp;S65&amp;" UNION ALL","")</f>
        <v/>
      </c>
      <c r="X65" s="6" t="str">
        <f>IF(T65&gt;0,"SELECT "&amp;COUNTIF($Q$1:$T64,"&gt;0")+COUNTIF($Q65:S65,"&gt;0")+1&amp;", "&amp;$A65&amp;", "&amp;T65&amp;" UNION ALL","")</f>
        <v/>
      </c>
      <c r="Y65" s="5" t="str">
        <f t="shared" ca="1" si="6"/>
        <v>SELECT 72, 85, 8 UNION ALL</v>
      </c>
    </row>
    <row r="66" spans="1:25">
      <c r="A66">
        <v>86</v>
      </c>
      <c r="B66" t="s">
        <v>301</v>
      </c>
      <c r="C66">
        <v>1</v>
      </c>
      <c r="D66">
        <v>10</v>
      </c>
      <c r="E66">
        <v>1</v>
      </c>
      <c r="F66">
        <v>1</v>
      </c>
      <c r="G66" t="s">
        <v>302</v>
      </c>
      <c r="H66">
        <v>0</v>
      </c>
      <c r="I66">
        <v>0</v>
      </c>
      <c r="J66">
        <v>0</v>
      </c>
      <c r="L66" t="str">
        <f t="shared" si="2"/>
        <v>SELECT 86, N'Japonia', 1, 10 UNION ALL</v>
      </c>
      <c r="M66" t="s">
        <v>559</v>
      </c>
      <c r="Q66" s="6">
        <f t="shared" ca="1" si="3"/>
        <v>8</v>
      </c>
      <c r="R66" s="6">
        <f t="shared" ca="1" si="4"/>
        <v>0</v>
      </c>
      <c r="U66" s="6" t="str">
        <f ca="1">IF(Q66&gt;0,"SELECT "&amp;COUNTIF($Q$1:$T65,"&gt;0")+1&amp;", "&amp;$A66&amp;", "&amp;Q66&amp;" UNION ALL","")</f>
        <v>SELECT 73, 86, 8 UNION ALL</v>
      </c>
      <c r="V66" s="6" t="str">
        <f ca="1">IF(R66&gt;0,"SELECT "&amp;COUNTIF($Q$1:$T65,"&gt;0")+COUNTIF($Q66:Q66,"&gt;0")+1&amp;", "&amp;$A66&amp;", "&amp;R66&amp;" UNION ALL","")</f>
        <v/>
      </c>
      <c r="W66" s="6" t="str">
        <f>IF(S66&gt;0,"SELECT "&amp;COUNTIF($Q$1:$T65,"&gt;0")+COUNTIF($Q66:R66,"&gt;0")+1&amp;", "&amp;$A66&amp;", "&amp;S66&amp;" UNION ALL","")</f>
        <v/>
      </c>
      <c r="X66" s="6" t="str">
        <f>IF(T66&gt;0,"SELECT "&amp;COUNTIF($Q$1:$T65,"&gt;0")+COUNTIF($Q66:S66,"&gt;0")+1&amp;", "&amp;$A66&amp;", "&amp;T66&amp;" UNION ALL","")</f>
        <v/>
      </c>
      <c r="Y66" s="5" t="str">
        <f t="shared" ca="1" si="6"/>
        <v>SELECT 73, 86, 8 UNION ALL</v>
      </c>
    </row>
    <row r="67" spans="1:25">
      <c r="A67">
        <v>89</v>
      </c>
      <c r="B67" t="s">
        <v>303</v>
      </c>
      <c r="C67">
        <v>1</v>
      </c>
      <c r="D67">
        <v>10</v>
      </c>
      <c r="E67">
        <v>1</v>
      </c>
      <c r="F67">
        <v>1</v>
      </c>
      <c r="G67" t="s">
        <v>304</v>
      </c>
      <c r="H67">
        <v>0</v>
      </c>
      <c r="I67">
        <v>0</v>
      </c>
      <c r="J67">
        <v>0</v>
      </c>
      <c r="L67" t="str">
        <f t="shared" ref="L67:L130" si="7">"SELECT "&amp;A67&amp;", N'"&amp;B67&amp;"', "&amp;C67&amp;", "&amp;D67&amp;" UNION ALL"</f>
        <v>SELECT 89, N'Indie', 1, 10 UNION ALL</v>
      </c>
      <c r="M67" t="s">
        <v>559</v>
      </c>
      <c r="Q67" s="6">
        <f t="shared" ref="Q67:Q130" ca="1" si="8">IFERROR(VLOOKUP(M67,Kategorie,9,0),0)</f>
        <v>8</v>
      </c>
      <c r="R67" s="6">
        <f t="shared" ref="R67:R130" ca="1" si="9">IFERROR(VLOOKUP(N67,Kategorie,9,0),0)</f>
        <v>0</v>
      </c>
      <c r="U67" s="6" t="str">
        <f ca="1">IF(Q67&gt;0,"SELECT "&amp;COUNTIF($Q$1:$T66,"&gt;0")+1&amp;", "&amp;$A67&amp;", "&amp;Q67&amp;" UNION ALL","")</f>
        <v>SELECT 74, 89, 8 UNION ALL</v>
      </c>
      <c r="V67" s="6" t="str">
        <f ca="1">IF(R67&gt;0,"SELECT "&amp;COUNTIF($Q$1:$T66,"&gt;0")+COUNTIF($Q67:Q67,"&gt;0")+1&amp;", "&amp;$A67&amp;", "&amp;R67&amp;" UNION ALL","")</f>
        <v/>
      </c>
      <c r="W67" s="6" t="str">
        <f>IF(S67&gt;0,"SELECT "&amp;COUNTIF($Q$1:$T66,"&gt;0")+COUNTIF($Q67:R67,"&gt;0")+1&amp;", "&amp;$A67&amp;", "&amp;S67&amp;" UNION ALL","")</f>
        <v/>
      </c>
      <c r="X67" s="6" t="str">
        <f>IF(T67&gt;0,"SELECT "&amp;COUNTIF($Q$1:$T66,"&gt;0")+COUNTIF($Q67:S67,"&gt;0")+1&amp;", "&amp;$A67&amp;", "&amp;T67&amp;" UNION ALL","")</f>
        <v/>
      </c>
      <c r="Y67" s="5" t="str">
        <f t="shared" ca="1" si="6"/>
        <v>SELECT 74, 89, 8 UNION ALL</v>
      </c>
    </row>
    <row r="68" spans="1:25">
      <c r="A68">
        <v>93</v>
      </c>
      <c r="B68" t="s">
        <v>305</v>
      </c>
      <c r="C68">
        <v>1</v>
      </c>
      <c r="D68">
        <v>9</v>
      </c>
      <c r="E68">
        <v>1</v>
      </c>
      <c r="F68">
        <v>1</v>
      </c>
      <c r="G68" t="s">
        <v>306</v>
      </c>
      <c r="H68">
        <v>0</v>
      </c>
      <c r="I68">
        <v>0</v>
      </c>
      <c r="J68">
        <v>0</v>
      </c>
      <c r="L68" t="str">
        <f t="shared" si="7"/>
        <v>SELECT 93, N'Tajlandia', 1, 9 UNION ALL</v>
      </c>
      <c r="M68" t="s">
        <v>559</v>
      </c>
      <c r="Q68" s="6">
        <f t="shared" ca="1" si="8"/>
        <v>8</v>
      </c>
      <c r="R68" s="6">
        <f t="shared" ca="1" si="9"/>
        <v>0</v>
      </c>
      <c r="U68" s="6" t="str">
        <f ca="1">IF(Q68&gt;0,"SELECT "&amp;COUNTIF($Q$1:$T67,"&gt;0")+1&amp;", "&amp;$A68&amp;", "&amp;Q68&amp;" UNION ALL","")</f>
        <v>SELECT 75, 93, 8 UNION ALL</v>
      </c>
      <c r="V68" s="6" t="str">
        <f ca="1">IF(R68&gt;0,"SELECT "&amp;COUNTIF($Q$1:$T67,"&gt;0")+COUNTIF($Q68:Q68,"&gt;0")+1&amp;", "&amp;$A68&amp;", "&amp;R68&amp;" UNION ALL","")</f>
        <v/>
      </c>
      <c r="W68" s="6" t="str">
        <f>IF(S68&gt;0,"SELECT "&amp;COUNTIF($Q$1:$T67,"&gt;0")+COUNTIF($Q68:R68,"&gt;0")+1&amp;", "&amp;$A68&amp;", "&amp;S68&amp;" UNION ALL","")</f>
        <v/>
      </c>
      <c r="X68" s="6" t="str">
        <f>IF(T68&gt;0,"SELECT "&amp;COUNTIF($Q$1:$T67,"&gt;0")+COUNTIF($Q68:S68,"&gt;0")+1&amp;", "&amp;$A68&amp;", "&amp;T68&amp;" UNION ALL","")</f>
        <v/>
      </c>
      <c r="Y68" s="5" t="str">
        <f t="shared" ref="Y68:Y131" ca="1" si="10">SUBSTITUTE(IF(LEN(U68)&gt;0,U68,"")&amp;IF(LEN(V68)&gt;0,CHAR(10)&amp;V68,"")&amp;IF(LEN(W68)&gt;0,CHAR(10)&amp;W68,"")&amp;IF(LEN(X68)&gt;0,CHAR(10)&amp;X68,""),CHAR(34),"")</f>
        <v>SELECT 75, 93, 8 UNION ALL</v>
      </c>
    </row>
    <row r="69" spans="1:25">
      <c r="A69">
        <v>94</v>
      </c>
      <c r="B69" t="s">
        <v>307</v>
      </c>
      <c r="C69">
        <v>1</v>
      </c>
      <c r="D69">
        <v>8</v>
      </c>
      <c r="E69">
        <v>1</v>
      </c>
      <c r="F69">
        <v>1</v>
      </c>
      <c r="G69" t="s">
        <v>308</v>
      </c>
      <c r="H69">
        <v>0</v>
      </c>
      <c r="I69">
        <v>0</v>
      </c>
      <c r="J69">
        <v>0</v>
      </c>
      <c r="L69" t="str">
        <f t="shared" si="7"/>
        <v>SELECT 94, N'Izrael', 1, 8 UNION ALL</v>
      </c>
      <c r="M69" t="s">
        <v>559</v>
      </c>
      <c r="Q69" s="6">
        <f t="shared" ca="1" si="8"/>
        <v>8</v>
      </c>
      <c r="R69" s="6">
        <f t="shared" ca="1" si="9"/>
        <v>0</v>
      </c>
      <c r="U69" s="6" t="str">
        <f ca="1">IF(Q69&gt;0,"SELECT "&amp;COUNTIF($Q$1:$T68,"&gt;0")+1&amp;", "&amp;$A69&amp;", "&amp;Q69&amp;" UNION ALL","")</f>
        <v>SELECT 76, 94, 8 UNION ALL</v>
      </c>
      <c r="V69" s="6" t="str">
        <f ca="1">IF(R69&gt;0,"SELECT "&amp;COUNTIF($Q$1:$T68,"&gt;0")+COUNTIF($Q69:Q69,"&gt;0")+1&amp;", "&amp;$A69&amp;", "&amp;R69&amp;" UNION ALL","")</f>
        <v/>
      </c>
      <c r="W69" s="6" t="str">
        <f>IF(S69&gt;0,"SELECT "&amp;COUNTIF($Q$1:$T68,"&gt;0")+COUNTIF($Q69:R69,"&gt;0")+1&amp;", "&amp;$A69&amp;", "&amp;S69&amp;" UNION ALL","")</f>
        <v/>
      </c>
      <c r="X69" s="6" t="str">
        <f>IF(T69&gt;0,"SELECT "&amp;COUNTIF($Q$1:$T68,"&gt;0")+COUNTIF($Q69:S69,"&gt;0")+1&amp;", "&amp;$A69&amp;", "&amp;T69&amp;" UNION ALL","")</f>
        <v/>
      </c>
      <c r="Y69" s="5" t="str">
        <f t="shared" ca="1" si="10"/>
        <v>SELECT 76, 94, 8 UNION ALL</v>
      </c>
    </row>
    <row r="70" spans="1:25">
      <c r="A70">
        <v>95</v>
      </c>
      <c r="B70" t="s">
        <v>309</v>
      </c>
      <c r="C70">
        <v>1</v>
      </c>
      <c r="D70">
        <v>6</v>
      </c>
      <c r="E70">
        <v>1</v>
      </c>
      <c r="F70">
        <v>1</v>
      </c>
      <c r="G70" t="s">
        <v>310</v>
      </c>
      <c r="H70">
        <v>0</v>
      </c>
      <c r="I70">
        <v>0</v>
      </c>
      <c r="J70">
        <v>0</v>
      </c>
      <c r="L70" t="str">
        <f t="shared" si="7"/>
        <v>SELECT 95, N'Liban', 1, 6 UNION ALL</v>
      </c>
      <c r="M70" t="s">
        <v>559</v>
      </c>
      <c r="Q70" s="6">
        <f t="shared" ca="1" si="8"/>
        <v>8</v>
      </c>
      <c r="R70" s="6">
        <f t="shared" ca="1" si="9"/>
        <v>0</v>
      </c>
      <c r="U70" s="6" t="str">
        <f ca="1">IF(Q70&gt;0,"SELECT "&amp;COUNTIF($Q$1:$T69,"&gt;0")+1&amp;", "&amp;$A70&amp;", "&amp;Q70&amp;" UNION ALL","")</f>
        <v>SELECT 77, 95, 8 UNION ALL</v>
      </c>
      <c r="V70" s="6" t="str">
        <f ca="1">IF(R70&gt;0,"SELECT "&amp;COUNTIF($Q$1:$T69,"&gt;0")+COUNTIF($Q70:Q70,"&gt;0")+1&amp;", "&amp;$A70&amp;", "&amp;R70&amp;" UNION ALL","")</f>
        <v/>
      </c>
      <c r="W70" s="6" t="str">
        <f>IF(S70&gt;0,"SELECT "&amp;COUNTIF($Q$1:$T69,"&gt;0")+COUNTIF($Q70:R70,"&gt;0")+1&amp;", "&amp;$A70&amp;", "&amp;S70&amp;" UNION ALL","")</f>
        <v/>
      </c>
      <c r="X70" s="6" t="str">
        <f>IF(T70&gt;0,"SELECT "&amp;COUNTIF($Q$1:$T69,"&gt;0")+COUNTIF($Q70:S70,"&gt;0")+1&amp;", "&amp;$A70&amp;", "&amp;T70&amp;" UNION ALL","")</f>
        <v/>
      </c>
      <c r="Y70" s="5" t="str">
        <f t="shared" ca="1" si="10"/>
        <v>SELECT 77, 95, 8 UNION ALL</v>
      </c>
    </row>
    <row r="71" spans="1:25">
      <c r="A71">
        <v>96</v>
      </c>
      <c r="B71" t="s">
        <v>311</v>
      </c>
      <c r="C71">
        <v>1</v>
      </c>
      <c r="D71">
        <v>5</v>
      </c>
      <c r="E71">
        <v>1</v>
      </c>
      <c r="F71">
        <v>1</v>
      </c>
      <c r="G71" t="s">
        <v>312</v>
      </c>
      <c r="H71">
        <v>0</v>
      </c>
      <c r="I71">
        <v>0</v>
      </c>
      <c r="J71">
        <v>0</v>
      </c>
      <c r="L71" t="str">
        <f t="shared" si="7"/>
        <v>SELECT 96, N'Jordania', 1, 5 UNION ALL</v>
      </c>
      <c r="M71" t="s">
        <v>559</v>
      </c>
      <c r="Q71" s="6">
        <f t="shared" ca="1" si="8"/>
        <v>8</v>
      </c>
      <c r="R71" s="6">
        <f t="shared" ca="1" si="9"/>
        <v>0</v>
      </c>
      <c r="U71" s="6" t="str">
        <f ca="1">IF(Q71&gt;0,"SELECT "&amp;COUNTIF($Q$1:$T70,"&gt;0")+1&amp;", "&amp;$A71&amp;", "&amp;Q71&amp;" UNION ALL","")</f>
        <v>SELECT 78, 96, 8 UNION ALL</v>
      </c>
      <c r="V71" s="6" t="str">
        <f ca="1">IF(R71&gt;0,"SELECT "&amp;COUNTIF($Q$1:$T70,"&gt;0")+COUNTIF($Q71:Q71,"&gt;0")+1&amp;", "&amp;$A71&amp;", "&amp;R71&amp;" UNION ALL","")</f>
        <v/>
      </c>
      <c r="W71" s="6" t="str">
        <f>IF(S71&gt;0,"SELECT "&amp;COUNTIF($Q$1:$T70,"&gt;0")+COUNTIF($Q71:R71,"&gt;0")+1&amp;", "&amp;$A71&amp;", "&amp;S71&amp;" UNION ALL","")</f>
        <v/>
      </c>
      <c r="X71" s="6" t="str">
        <f>IF(T71&gt;0,"SELECT "&amp;COUNTIF($Q$1:$T70,"&gt;0")+COUNTIF($Q71:S71,"&gt;0")+1&amp;", "&amp;$A71&amp;", "&amp;T71&amp;" UNION ALL","")</f>
        <v/>
      </c>
      <c r="Y71" s="5" t="str">
        <f t="shared" ca="1" si="10"/>
        <v>SELECT 78, 96, 8 UNION ALL</v>
      </c>
    </row>
    <row r="72" spans="1:25">
      <c r="A72">
        <v>97</v>
      </c>
      <c r="B72" t="s">
        <v>313</v>
      </c>
      <c r="C72">
        <v>1</v>
      </c>
      <c r="D72">
        <v>6</v>
      </c>
      <c r="E72">
        <v>1</v>
      </c>
      <c r="F72">
        <v>1</v>
      </c>
      <c r="G72" t="s">
        <v>314</v>
      </c>
      <c r="H72">
        <v>0</v>
      </c>
      <c r="I72">
        <v>0</v>
      </c>
      <c r="J72">
        <v>0</v>
      </c>
      <c r="L72" t="str">
        <f t="shared" si="7"/>
        <v>SELECT 97, N'Syria', 1, 6 UNION ALL</v>
      </c>
      <c r="M72" t="s">
        <v>559</v>
      </c>
      <c r="Q72" s="6">
        <f t="shared" ca="1" si="8"/>
        <v>8</v>
      </c>
      <c r="R72" s="6">
        <f t="shared" ca="1" si="9"/>
        <v>0</v>
      </c>
      <c r="U72" s="6" t="str">
        <f ca="1">IF(Q72&gt;0,"SELECT "&amp;COUNTIF($Q$1:$T71,"&gt;0")+1&amp;", "&amp;$A72&amp;", "&amp;Q72&amp;" UNION ALL","")</f>
        <v>SELECT 79, 97, 8 UNION ALL</v>
      </c>
      <c r="V72" s="6" t="str">
        <f ca="1">IF(R72&gt;0,"SELECT "&amp;COUNTIF($Q$1:$T71,"&gt;0")+COUNTIF($Q72:Q72,"&gt;0")+1&amp;", "&amp;$A72&amp;", "&amp;R72&amp;" UNION ALL","")</f>
        <v/>
      </c>
      <c r="W72" s="6" t="str">
        <f>IF(S72&gt;0,"SELECT "&amp;COUNTIF($Q$1:$T71,"&gt;0")+COUNTIF($Q72:R72,"&gt;0")+1&amp;", "&amp;$A72&amp;", "&amp;S72&amp;" UNION ALL","")</f>
        <v/>
      </c>
      <c r="X72" s="6" t="str">
        <f>IF(T72&gt;0,"SELECT "&amp;COUNTIF($Q$1:$T71,"&gt;0")+COUNTIF($Q72:S72,"&gt;0")+1&amp;", "&amp;$A72&amp;", "&amp;T72&amp;" UNION ALL","")</f>
        <v/>
      </c>
      <c r="Y72" s="5" t="str">
        <f t="shared" ca="1" si="10"/>
        <v>SELECT 79, 97, 8 UNION ALL</v>
      </c>
    </row>
    <row r="73" spans="1:25">
      <c r="A73">
        <v>98</v>
      </c>
      <c r="B73" t="s">
        <v>315</v>
      </c>
      <c r="C73">
        <v>1</v>
      </c>
      <c r="D73">
        <v>8</v>
      </c>
      <c r="E73">
        <v>1</v>
      </c>
      <c r="F73">
        <v>1</v>
      </c>
      <c r="G73" t="s">
        <v>316</v>
      </c>
      <c r="H73">
        <v>0</v>
      </c>
      <c r="I73">
        <v>0</v>
      </c>
      <c r="J73">
        <v>0</v>
      </c>
      <c r="L73" t="str">
        <f t="shared" si="7"/>
        <v>SELECT 98, N'Arabia Saudyjska', 1, 8 UNION ALL</v>
      </c>
      <c r="M73" t="s">
        <v>559</v>
      </c>
      <c r="Q73" s="6">
        <f t="shared" ca="1" si="8"/>
        <v>8</v>
      </c>
      <c r="R73" s="6">
        <f t="shared" ca="1" si="9"/>
        <v>0</v>
      </c>
      <c r="U73" s="6" t="str">
        <f ca="1">IF(Q73&gt;0,"SELECT "&amp;COUNTIF($Q$1:$T72,"&gt;0")+1&amp;", "&amp;$A73&amp;", "&amp;Q73&amp;" UNION ALL","")</f>
        <v>SELECT 80, 98, 8 UNION ALL</v>
      </c>
      <c r="V73" s="6" t="str">
        <f ca="1">IF(R73&gt;0,"SELECT "&amp;COUNTIF($Q$1:$T72,"&gt;0")+COUNTIF($Q73:Q73,"&gt;0")+1&amp;", "&amp;$A73&amp;", "&amp;R73&amp;" UNION ALL","")</f>
        <v/>
      </c>
      <c r="W73" s="6" t="str">
        <f>IF(S73&gt;0,"SELECT "&amp;COUNTIF($Q$1:$T72,"&gt;0")+COUNTIF($Q73:R73,"&gt;0")+1&amp;", "&amp;$A73&amp;", "&amp;S73&amp;" UNION ALL","")</f>
        <v/>
      </c>
      <c r="X73" s="6" t="str">
        <f>IF(T73&gt;0,"SELECT "&amp;COUNTIF($Q$1:$T72,"&gt;0")+COUNTIF($Q73:S73,"&gt;0")+1&amp;", "&amp;$A73&amp;", "&amp;T73&amp;" UNION ALL","")</f>
        <v/>
      </c>
      <c r="Y73" s="5" t="str">
        <f t="shared" ca="1" si="10"/>
        <v>SELECT 80, 98, 8 UNION ALL</v>
      </c>
    </row>
    <row r="74" spans="1:25">
      <c r="A74">
        <v>99</v>
      </c>
      <c r="B74" t="s">
        <v>317</v>
      </c>
      <c r="C74">
        <v>1</v>
      </c>
      <c r="D74">
        <v>5</v>
      </c>
      <c r="E74">
        <v>1</v>
      </c>
      <c r="F74">
        <v>1</v>
      </c>
      <c r="G74" t="s">
        <v>318</v>
      </c>
      <c r="H74">
        <v>0</v>
      </c>
      <c r="I74">
        <v>0</v>
      </c>
      <c r="J74">
        <v>0</v>
      </c>
      <c r="L74" t="str">
        <f t="shared" si="7"/>
        <v>SELECT 99, N'Jemen', 1, 5 UNION ALL</v>
      </c>
      <c r="M74" t="s">
        <v>559</v>
      </c>
      <c r="Q74" s="6">
        <f t="shared" ca="1" si="8"/>
        <v>8</v>
      </c>
      <c r="R74" s="6">
        <f t="shared" ca="1" si="9"/>
        <v>0</v>
      </c>
      <c r="U74" s="6" t="str">
        <f ca="1">IF(Q74&gt;0,"SELECT "&amp;COUNTIF($Q$1:$T73,"&gt;0")+1&amp;", "&amp;$A74&amp;", "&amp;Q74&amp;" UNION ALL","")</f>
        <v>SELECT 81, 99, 8 UNION ALL</v>
      </c>
      <c r="V74" s="6" t="str">
        <f ca="1">IF(R74&gt;0,"SELECT "&amp;COUNTIF($Q$1:$T73,"&gt;0")+COUNTIF($Q74:Q74,"&gt;0")+1&amp;", "&amp;$A74&amp;", "&amp;R74&amp;" UNION ALL","")</f>
        <v/>
      </c>
      <c r="W74" s="6" t="str">
        <f>IF(S74&gt;0,"SELECT "&amp;COUNTIF($Q$1:$T73,"&gt;0")+COUNTIF($Q74:R74,"&gt;0")+1&amp;", "&amp;$A74&amp;", "&amp;S74&amp;" UNION ALL","")</f>
        <v/>
      </c>
      <c r="X74" s="6" t="str">
        <f>IF(T74&gt;0,"SELECT "&amp;COUNTIF($Q$1:$T73,"&gt;0")+COUNTIF($Q74:S74,"&gt;0")+1&amp;", "&amp;$A74&amp;", "&amp;T74&amp;" UNION ALL","")</f>
        <v/>
      </c>
      <c r="Y74" s="5" t="str">
        <f t="shared" ca="1" si="10"/>
        <v>SELECT 81, 99, 8 UNION ALL</v>
      </c>
    </row>
    <row r="75" spans="1:25">
      <c r="A75">
        <v>100</v>
      </c>
      <c r="B75" t="s">
        <v>319</v>
      </c>
      <c r="C75">
        <v>1</v>
      </c>
      <c r="D75">
        <v>5</v>
      </c>
      <c r="E75">
        <v>1</v>
      </c>
      <c r="F75">
        <v>1</v>
      </c>
      <c r="G75" t="s">
        <v>320</v>
      </c>
      <c r="H75">
        <v>0</v>
      </c>
      <c r="I75">
        <v>0</v>
      </c>
      <c r="J75">
        <v>0</v>
      </c>
      <c r="L75" t="str">
        <f t="shared" si="7"/>
        <v>SELECT 100, N'Oman', 1, 5 UNION ALL</v>
      </c>
      <c r="M75" t="s">
        <v>559</v>
      </c>
      <c r="Q75" s="6">
        <f t="shared" ca="1" si="8"/>
        <v>8</v>
      </c>
      <c r="R75" s="6">
        <f t="shared" ca="1" si="9"/>
        <v>0</v>
      </c>
      <c r="U75" s="6" t="str">
        <f ca="1">IF(Q75&gt;0,"SELECT "&amp;COUNTIF($Q$1:$T74,"&gt;0")+1&amp;", "&amp;$A75&amp;", "&amp;Q75&amp;" UNION ALL","")</f>
        <v>SELECT 82, 100, 8 UNION ALL</v>
      </c>
      <c r="V75" s="6" t="str">
        <f ca="1">IF(R75&gt;0,"SELECT "&amp;COUNTIF($Q$1:$T74,"&gt;0")+COUNTIF($Q75:Q75,"&gt;0")+1&amp;", "&amp;$A75&amp;", "&amp;R75&amp;" UNION ALL","")</f>
        <v/>
      </c>
      <c r="W75" s="6" t="str">
        <f>IF(S75&gt;0,"SELECT "&amp;COUNTIF($Q$1:$T74,"&gt;0")+COUNTIF($Q75:R75,"&gt;0")+1&amp;", "&amp;$A75&amp;", "&amp;S75&amp;" UNION ALL","")</f>
        <v/>
      </c>
      <c r="X75" s="6" t="str">
        <f>IF(T75&gt;0,"SELECT "&amp;COUNTIF($Q$1:$T74,"&gt;0")+COUNTIF($Q75:S75,"&gt;0")+1&amp;", "&amp;$A75&amp;", "&amp;T75&amp;" UNION ALL","")</f>
        <v/>
      </c>
      <c r="Y75" s="5" t="str">
        <f t="shared" ca="1" si="10"/>
        <v>SELECT 82, 100, 8 UNION ALL</v>
      </c>
    </row>
    <row r="76" spans="1:25">
      <c r="A76">
        <v>101</v>
      </c>
      <c r="B76" t="s">
        <v>321</v>
      </c>
      <c r="C76">
        <v>1</v>
      </c>
      <c r="D76">
        <v>8</v>
      </c>
      <c r="E76">
        <v>1</v>
      </c>
      <c r="F76">
        <v>1</v>
      </c>
      <c r="G76" t="s">
        <v>322</v>
      </c>
      <c r="H76">
        <v>0</v>
      </c>
      <c r="I76">
        <v>0</v>
      </c>
      <c r="J76">
        <v>0</v>
      </c>
      <c r="L76" t="str">
        <f t="shared" si="7"/>
        <v>SELECT 101, N'Zjednoczone Emiraty Arabskie', 1, 8 UNION ALL</v>
      </c>
      <c r="M76" t="s">
        <v>559</v>
      </c>
      <c r="Q76" s="6">
        <f t="shared" ca="1" si="8"/>
        <v>8</v>
      </c>
      <c r="R76" s="6">
        <f t="shared" ca="1" si="9"/>
        <v>0</v>
      </c>
      <c r="U76" s="6" t="str">
        <f ca="1">IF(Q76&gt;0,"SELECT "&amp;COUNTIF($Q$1:$T75,"&gt;0")+1&amp;", "&amp;$A76&amp;", "&amp;Q76&amp;" UNION ALL","")</f>
        <v>SELECT 83, 101, 8 UNION ALL</v>
      </c>
      <c r="V76" s="6" t="str">
        <f ca="1">IF(R76&gt;0,"SELECT "&amp;COUNTIF($Q$1:$T75,"&gt;0")+COUNTIF($Q76:Q76,"&gt;0")+1&amp;", "&amp;$A76&amp;", "&amp;R76&amp;" UNION ALL","")</f>
        <v/>
      </c>
      <c r="W76" s="6" t="str">
        <f>IF(S76&gt;0,"SELECT "&amp;COUNTIF($Q$1:$T75,"&gt;0")+COUNTIF($Q76:R76,"&gt;0")+1&amp;", "&amp;$A76&amp;", "&amp;S76&amp;" UNION ALL","")</f>
        <v/>
      </c>
      <c r="X76" s="6" t="str">
        <f>IF(T76&gt;0,"SELECT "&amp;COUNTIF($Q$1:$T75,"&gt;0")+COUNTIF($Q76:S76,"&gt;0")+1&amp;", "&amp;$A76&amp;", "&amp;T76&amp;" UNION ALL","")</f>
        <v/>
      </c>
      <c r="Y76" s="5" t="str">
        <f t="shared" ca="1" si="10"/>
        <v>SELECT 83, 101, 8 UNION ALL</v>
      </c>
    </row>
    <row r="77" spans="1:25">
      <c r="A77">
        <v>102</v>
      </c>
      <c r="B77" t="s">
        <v>323</v>
      </c>
      <c r="C77">
        <v>1</v>
      </c>
      <c r="D77">
        <v>8</v>
      </c>
      <c r="E77">
        <v>1</v>
      </c>
      <c r="F77">
        <v>1</v>
      </c>
      <c r="G77" t="s">
        <v>324</v>
      </c>
      <c r="H77">
        <v>0</v>
      </c>
      <c r="I77">
        <v>0</v>
      </c>
      <c r="J77">
        <v>0</v>
      </c>
      <c r="L77" t="str">
        <f t="shared" si="7"/>
        <v>SELECT 102, N'Kuwejt', 1, 8 UNION ALL</v>
      </c>
      <c r="M77" t="s">
        <v>559</v>
      </c>
      <c r="Q77" s="6">
        <f t="shared" ca="1" si="8"/>
        <v>8</v>
      </c>
      <c r="R77" s="6">
        <f t="shared" ca="1" si="9"/>
        <v>0</v>
      </c>
      <c r="U77" s="6" t="str">
        <f ca="1">IF(Q77&gt;0,"SELECT "&amp;COUNTIF($Q$1:$T76,"&gt;0")+1&amp;", "&amp;$A77&amp;", "&amp;Q77&amp;" UNION ALL","")</f>
        <v>SELECT 84, 102, 8 UNION ALL</v>
      </c>
      <c r="V77" s="6" t="str">
        <f ca="1">IF(R77&gt;0,"SELECT "&amp;COUNTIF($Q$1:$T76,"&gt;0")+COUNTIF($Q77:Q77,"&gt;0")+1&amp;", "&amp;$A77&amp;", "&amp;R77&amp;" UNION ALL","")</f>
        <v/>
      </c>
      <c r="W77" s="6" t="str">
        <f>IF(S77&gt;0,"SELECT "&amp;COUNTIF($Q$1:$T76,"&gt;0")+COUNTIF($Q77:R77,"&gt;0")+1&amp;", "&amp;$A77&amp;", "&amp;S77&amp;" UNION ALL","")</f>
        <v/>
      </c>
      <c r="X77" s="6" t="str">
        <f>IF(T77&gt;0,"SELECT "&amp;COUNTIF($Q$1:$T76,"&gt;0")+COUNTIF($Q77:S77,"&gt;0")+1&amp;", "&amp;$A77&amp;", "&amp;T77&amp;" UNION ALL","")</f>
        <v/>
      </c>
      <c r="Y77" s="5" t="str">
        <f t="shared" ca="1" si="10"/>
        <v>SELECT 84, 102, 8 UNION ALL</v>
      </c>
    </row>
    <row r="78" spans="1:25">
      <c r="A78">
        <v>103</v>
      </c>
      <c r="B78" t="s">
        <v>325</v>
      </c>
      <c r="C78">
        <v>1</v>
      </c>
      <c r="D78">
        <v>5</v>
      </c>
      <c r="E78">
        <v>1</v>
      </c>
      <c r="F78">
        <v>1</v>
      </c>
      <c r="G78" t="s">
        <v>326</v>
      </c>
      <c r="H78">
        <v>0</v>
      </c>
      <c r="I78">
        <v>0</v>
      </c>
      <c r="J78">
        <v>0</v>
      </c>
      <c r="L78" t="str">
        <f t="shared" si="7"/>
        <v>SELECT 103, N'Bahrajn', 1, 5 UNION ALL</v>
      </c>
      <c r="M78" t="s">
        <v>559</v>
      </c>
      <c r="Q78" s="6">
        <f t="shared" ca="1" si="8"/>
        <v>8</v>
      </c>
      <c r="R78" s="6">
        <f t="shared" ca="1" si="9"/>
        <v>0</v>
      </c>
      <c r="U78" s="6" t="str">
        <f ca="1">IF(Q78&gt;0,"SELECT "&amp;COUNTIF($Q$1:$T77,"&gt;0")+1&amp;", "&amp;$A78&amp;", "&amp;Q78&amp;" UNION ALL","")</f>
        <v>SELECT 85, 103, 8 UNION ALL</v>
      </c>
      <c r="V78" s="6" t="str">
        <f ca="1">IF(R78&gt;0,"SELECT "&amp;COUNTIF($Q$1:$T77,"&gt;0")+COUNTIF($Q78:Q78,"&gt;0")+1&amp;", "&amp;$A78&amp;", "&amp;R78&amp;" UNION ALL","")</f>
        <v/>
      </c>
      <c r="W78" s="6" t="str">
        <f>IF(S78&gt;0,"SELECT "&amp;COUNTIF($Q$1:$T77,"&gt;0")+COUNTIF($Q78:R78,"&gt;0")+1&amp;", "&amp;$A78&amp;", "&amp;S78&amp;" UNION ALL","")</f>
        <v/>
      </c>
      <c r="X78" s="6" t="str">
        <f>IF(T78&gt;0,"SELECT "&amp;COUNTIF($Q$1:$T77,"&gt;0")+COUNTIF($Q78:S78,"&gt;0")+1&amp;", "&amp;$A78&amp;", "&amp;T78&amp;" UNION ALL","")</f>
        <v/>
      </c>
      <c r="Y78" s="5" t="str">
        <f t="shared" ca="1" si="10"/>
        <v>SELECT 85, 103, 8 UNION ALL</v>
      </c>
    </row>
    <row r="79" spans="1:25">
      <c r="A79">
        <v>104</v>
      </c>
      <c r="B79" t="s">
        <v>327</v>
      </c>
      <c r="C79">
        <v>1</v>
      </c>
      <c r="D79">
        <v>7</v>
      </c>
      <c r="E79">
        <v>1</v>
      </c>
      <c r="F79">
        <v>1</v>
      </c>
      <c r="G79" t="s">
        <v>328</v>
      </c>
      <c r="H79">
        <v>0</v>
      </c>
      <c r="I79">
        <v>0</v>
      </c>
      <c r="J79">
        <v>0</v>
      </c>
      <c r="L79" t="str">
        <f t="shared" si="7"/>
        <v>SELECT 104, N'Katar', 1, 7 UNION ALL</v>
      </c>
      <c r="M79" t="s">
        <v>559</v>
      </c>
      <c r="Q79" s="6">
        <f t="shared" ca="1" si="8"/>
        <v>8</v>
      </c>
      <c r="R79" s="6">
        <f t="shared" ca="1" si="9"/>
        <v>0</v>
      </c>
      <c r="U79" s="6" t="str">
        <f ca="1">IF(Q79&gt;0,"SELECT "&amp;COUNTIF($Q$1:$T78,"&gt;0")+1&amp;", "&amp;$A79&amp;", "&amp;Q79&amp;" UNION ALL","")</f>
        <v>SELECT 86, 104, 8 UNION ALL</v>
      </c>
      <c r="V79" s="6" t="str">
        <f ca="1">IF(R79&gt;0,"SELECT "&amp;COUNTIF($Q$1:$T78,"&gt;0")+COUNTIF($Q79:Q79,"&gt;0")+1&amp;", "&amp;$A79&amp;", "&amp;R79&amp;" UNION ALL","")</f>
        <v/>
      </c>
      <c r="W79" s="6" t="str">
        <f>IF(S79&gt;0,"SELECT "&amp;COUNTIF($Q$1:$T78,"&gt;0")+COUNTIF($Q79:R79,"&gt;0")+1&amp;", "&amp;$A79&amp;", "&amp;S79&amp;" UNION ALL","")</f>
        <v/>
      </c>
      <c r="X79" s="6" t="str">
        <f>IF(T79&gt;0,"SELECT "&amp;COUNTIF($Q$1:$T78,"&gt;0")+COUNTIF($Q79:S79,"&gt;0")+1&amp;", "&amp;$A79&amp;", "&amp;T79&amp;" UNION ALL","")</f>
        <v/>
      </c>
      <c r="Y79" s="5" t="str">
        <f t="shared" ca="1" si="10"/>
        <v>SELECT 86, 104, 8 UNION ALL</v>
      </c>
    </row>
    <row r="80" spans="1:25">
      <c r="A80">
        <v>105</v>
      </c>
      <c r="B80" t="s">
        <v>329</v>
      </c>
      <c r="C80">
        <v>1</v>
      </c>
      <c r="D80">
        <v>9</v>
      </c>
      <c r="E80">
        <v>1</v>
      </c>
      <c r="F80">
        <v>1</v>
      </c>
      <c r="G80" t="s">
        <v>330</v>
      </c>
      <c r="H80">
        <v>0</v>
      </c>
      <c r="I80">
        <v>0</v>
      </c>
      <c r="J80">
        <v>0</v>
      </c>
      <c r="L80" t="str">
        <f t="shared" si="7"/>
        <v>SELECT 105, N'Irak', 1, 9 UNION ALL</v>
      </c>
      <c r="M80" t="s">
        <v>559</v>
      </c>
      <c r="Q80" s="6">
        <f t="shared" ca="1" si="8"/>
        <v>8</v>
      </c>
      <c r="R80" s="6">
        <f t="shared" ca="1" si="9"/>
        <v>0</v>
      </c>
      <c r="U80" s="6" t="str">
        <f ca="1">IF(Q80&gt;0,"SELECT "&amp;COUNTIF($Q$1:$T79,"&gt;0")+1&amp;", "&amp;$A80&amp;", "&amp;Q80&amp;" UNION ALL","")</f>
        <v>SELECT 87, 105, 8 UNION ALL</v>
      </c>
      <c r="V80" s="6" t="str">
        <f ca="1">IF(R80&gt;0,"SELECT "&amp;COUNTIF($Q$1:$T79,"&gt;0")+COUNTIF($Q80:Q80,"&gt;0")+1&amp;", "&amp;$A80&amp;", "&amp;R80&amp;" UNION ALL","")</f>
        <v/>
      </c>
      <c r="W80" s="6" t="str">
        <f>IF(S80&gt;0,"SELECT "&amp;COUNTIF($Q$1:$T79,"&gt;0")+COUNTIF($Q80:R80,"&gt;0")+1&amp;", "&amp;$A80&amp;", "&amp;S80&amp;" UNION ALL","")</f>
        <v/>
      </c>
      <c r="X80" s="6" t="str">
        <f>IF(T80&gt;0,"SELECT "&amp;COUNTIF($Q$1:$T79,"&gt;0")+COUNTIF($Q80:S80,"&gt;0")+1&amp;", "&amp;$A80&amp;", "&amp;T80&amp;" UNION ALL","")</f>
        <v/>
      </c>
      <c r="Y80" s="5" t="str">
        <f t="shared" ca="1" si="10"/>
        <v>SELECT 87, 105, 8 UNION ALL</v>
      </c>
    </row>
    <row r="81" spans="1:25">
      <c r="A81">
        <v>106</v>
      </c>
      <c r="B81" t="s">
        <v>331</v>
      </c>
      <c r="C81">
        <v>1</v>
      </c>
      <c r="D81">
        <v>9</v>
      </c>
      <c r="E81">
        <v>1</v>
      </c>
      <c r="F81">
        <v>1</v>
      </c>
      <c r="G81" t="s">
        <v>332</v>
      </c>
      <c r="H81">
        <v>0</v>
      </c>
      <c r="I81">
        <v>0</v>
      </c>
      <c r="J81">
        <v>0</v>
      </c>
      <c r="L81" t="str">
        <f t="shared" si="7"/>
        <v>SELECT 106, N'Iran', 1, 9 UNION ALL</v>
      </c>
      <c r="M81" t="s">
        <v>559</v>
      </c>
      <c r="Q81" s="6">
        <f t="shared" ca="1" si="8"/>
        <v>8</v>
      </c>
      <c r="R81" s="6">
        <f t="shared" ca="1" si="9"/>
        <v>0</v>
      </c>
      <c r="U81" s="6" t="str">
        <f ca="1">IF(Q81&gt;0,"SELECT "&amp;COUNTIF($Q$1:$T80,"&gt;0")+1&amp;", "&amp;$A81&amp;", "&amp;Q81&amp;" UNION ALL","")</f>
        <v>SELECT 88, 106, 8 UNION ALL</v>
      </c>
      <c r="V81" s="6" t="str">
        <f ca="1">IF(R81&gt;0,"SELECT "&amp;COUNTIF($Q$1:$T80,"&gt;0")+COUNTIF($Q81:Q81,"&gt;0")+1&amp;", "&amp;$A81&amp;", "&amp;R81&amp;" UNION ALL","")</f>
        <v/>
      </c>
      <c r="W81" s="6" t="str">
        <f>IF(S81&gt;0,"SELECT "&amp;COUNTIF($Q$1:$T80,"&gt;0")+COUNTIF($Q81:R81,"&gt;0")+1&amp;", "&amp;$A81&amp;", "&amp;S81&amp;" UNION ALL","")</f>
        <v/>
      </c>
      <c r="X81" s="6" t="str">
        <f>IF(T81&gt;0,"SELECT "&amp;COUNTIF($Q$1:$T80,"&gt;0")+COUNTIF($Q81:S81,"&gt;0")+1&amp;", "&amp;$A81&amp;", "&amp;T81&amp;" UNION ALL","")</f>
        <v/>
      </c>
      <c r="Y81" s="5" t="str">
        <f t="shared" ca="1" si="10"/>
        <v>SELECT 88, 106, 8 UNION ALL</v>
      </c>
    </row>
    <row r="82" spans="1:25">
      <c r="A82">
        <v>107</v>
      </c>
      <c r="B82" t="s">
        <v>333</v>
      </c>
      <c r="C82">
        <v>1</v>
      </c>
      <c r="D82">
        <v>8</v>
      </c>
      <c r="E82">
        <v>1</v>
      </c>
      <c r="F82">
        <v>1</v>
      </c>
      <c r="G82" t="s">
        <v>334</v>
      </c>
      <c r="H82">
        <v>0</v>
      </c>
      <c r="I82">
        <v>0</v>
      </c>
      <c r="J82">
        <v>0</v>
      </c>
      <c r="L82" t="str">
        <f t="shared" si="7"/>
        <v>SELECT 107, N'Afganistan', 1, 8 UNION ALL</v>
      </c>
      <c r="M82" t="s">
        <v>559</v>
      </c>
      <c r="Q82" s="6">
        <f t="shared" ca="1" si="8"/>
        <v>8</v>
      </c>
      <c r="R82" s="6">
        <f t="shared" ca="1" si="9"/>
        <v>0</v>
      </c>
      <c r="U82" s="6" t="str">
        <f ca="1">IF(Q82&gt;0,"SELECT "&amp;COUNTIF($Q$1:$T81,"&gt;0")+1&amp;", "&amp;$A82&amp;", "&amp;Q82&amp;" UNION ALL","")</f>
        <v>SELECT 89, 107, 8 UNION ALL</v>
      </c>
      <c r="V82" s="6" t="str">
        <f ca="1">IF(R82&gt;0,"SELECT "&amp;COUNTIF($Q$1:$T81,"&gt;0")+COUNTIF($Q82:Q82,"&gt;0")+1&amp;", "&amp;$A82&amp;", "&amp;R82&amp;" UNION ALL","")</f>
        <v/>
      </c>
      <c r="W82" s="6" t="str">
        <f>IF(S82&gt;0,"SELECT "&amp;COUNTIF($Q$1:$T81,"&gt;0")+COUNTIF($Q82:R82,"&gt;0")+1&amp;", "&amp;$A82&amp;", "&amp;S82&amp;" UNION ALL","")</f>
        <v/>
      </c>
      <c r="X82" s="6" t="str">
        <f>IF(T82&gt;0,"SELECT "&amp;COUNTIF($Q$1:$T81,"&gt;0")+COUNTIF($Q82:S82,"&gt;0")+1&amp;", "&amp;$A82&amp;", "&amp;T82&amp;" UNION ALL","")</f>
        <v/>
      </c>
      <c r="Y82" s="5" t="str">
        <f t="shared" ca="1" si="10"/>
        <v>SELECT 89, 107, 8 UNION ALL</v>
      </c>
    </row>
    <row r="83" spans="1:25">
      <c r="A83">
        <v>109</v>
      </c>
      <c r="B83" t="s">
        <v>335</v>
      </c>
      <c r="C83">
        <v>1</v>
      </c>
      <c r="D83">
        <v>8</v>
      </c>
      <c r="E83">
        <v>1</v>
      </c>
      <c r="F83">
        <v>1</v>
      </c>
      <c r="G83" t="s">
        <v>336</v>
      </c>
      <c r="H83">
        <v>0</v>
      </c>
      <c r="I83">
        <v>0</v>
      </c>
      <c r="J83">
        <v>0</v>
      </c>
      <c r="L83" t="str">
        <f t="shared" si="7"/>
        <v>SELECT 109, N'Pakistan', 1, 8 UNION ALL</v>
      </c>
      <c r="M83" t="s">
        <v>559</v>
      </c>
      <c r="Q83" s="6">
        <f t="shared" ca="1" si="8"/>
        <v>8</v>
      </c>
      <c r="R83" s="6">
        <f t="shared" ca="1" si="9"/>
        <v>0</v>
      </c>
      <c r="U83" s="6" t="str">
        <f ca="1">IF(Q83&gt;0,"SELECT "&amp;COUNTIF($Q$1:$T82,"&gt;0")+1&amp;", "&amp;$A83&amp;", "&amp;Q83&amp;" UNION ALL","")</f>
        <v>SELECT 90, 109, 8 UNION ALL</v>
      </c>
      <c r="V83" s="6" t="str">
        <f ca="1">IF(R83&gt;0,"SELECT "&amp;COUNTIF($Q$1:$T82,"&gt;0")+COUNTIF($Q83:Q83,"&gt;0")+1&amp;", "&amp;$A83&amp;", "&amp;R83&amp;" UNION ALL","")</f>
        <v/>
      </c>
      <c r="W83" s="6" t="str">
        <f>IF(S83&gt;0,"SELECT "&amp;COUNTIF($Q$1:$T82,"&gt;0")+COUNTIF($Q83:R83,"&gt;0")+1&amp;", "&amp;$A83&amp;", "&amp;S83&amp;" UNION ALL","")</f>
        <v/>
      </c>
      <c r="X83" s="6" t="str">
        <f>IF(T83&gt;0,"SELECT "&amp;COUNTIF($Q$1:$T82,"&gt;0")+COUNTIF($Q83:S83,"&gt;0")+1&amp;", "&amp;$A83&amp;", "&amp;T83&amp;" UNION ALL","")</f>
        <v/>
      </c>
      <c r="Y83" s="5" t="str">
        <f t="shared" ca="1" si="10"/>
        <v>SELECT 90, 109, 8 UNION ALL</v>
      </c>
    </row>
    <row r="84" spans="1:25">
      <c r="A84">
        <v>110</v>
      </c>
      <c r="B84" t="s">
        <v>337</v>
      </c>
      <c r="C84">
        <v>1</v>
      </c>
      <c r="D84">
        <v>6</v>
      </c>
      <c r="E84">
        <v>1</v>
      </c>
      <c r="F84">
        <v>1</v>
      </c>
      <c r="G84" t="s">
        <v>338</v>
      </c>
      <c r="H84">
        <v>0</v>
      </c>
      <c r="I84">
        <v>0</v>
      </c>
      <c r="J84">
        <v>0</v>
      </c>
      <c r="L84" t="str">
        <f t="shared" si="7"/>
        <v>SELECT 110, N'Uzbekistan', 1, 6 UNION ALL</v>
      </c>
      <c r="M84" t="s">
        <v>559</v>
      </c>
      <c r="Q84" s="6">
        <f t="shared" ca="1" si="8"/>
        <v>8</v>
      </c>
      <c r="R84" s="6">
        <f t="shared" ca="1" si="9"/>
        <v>0</v>
      </c>
      <c r="U84" s="6" t="str">
        <f ca="1">IF(Q84&gt;0,"SELECT "&amp;COUNTIF($Q$1:$T83,"&gt;0")+1&amp;", "&amp;$A84&amp;", "&amp;Q84&amp;" UNION ALL","")</f>
        <v>SELECT 91, 110, 8 UNION ALL</v>
      </c>
      <c r="V84" s="6" t="str">
        <f ca="1">IF(R84&gt;0,"SELECT "&amp;COUNTIF($Q$1:$T83,"&gt;0")+COUNTIF($Q84:Q84,"&gt;0")+1&amp;", "&amp;$A84&amp;", "&amp;R84&amp;" UNION ALL","")</f>
        <v/>
      </c>
      <c r="W84" s="6" t="str">
        <f>IF(S84&gt;0,"SELECT "&amp;COUNTIF($Q$1:$T83,"&gt;0")+COUNTIF($Q84:R84,"&gt;0")+1&amp;", "&amp;$A84&amp;", "&amp;S84&amp;" UNION ALL","")</f>
        <v/>
      </c>
      <c r="X84" s="6" t="str">
        <f>IF(T84&gt;0,"SELECT "&amp;COUNTIF($Q$1:$T83,"&gt;0")+COUNTIF($Q84:S84,"&gt;0")+1&amp;", "&amp;$A84&amp;", "&amp;T84&amp;" UNION ALL","")</f>
        <v/>
      </c>
      <c r="Y84" s="5" t="str">
        <f t="shared" ca="1" si="10"/>
        <v>SELECT 91, 110, 8 UNION ALL</v>
      </c>
    </row>
    <row r="85" spans="1:25">
      <c r="A85">
        <v>111</v>
      </c>
      <c r="B85" t="s">
        <v>339</v>
      </c>
      <c r="C85">
        <v>1</v>
      </c>
      <c r="D85">
        <v>3</v>
      </c>
      <c r="E85">
        <v>1</v>
      </c>
      <c r="F85">
        <v>1</v>
      </c>
      <c r="G85" t="s">
        <v>340</v>
      </c>
      <c r="H85">
        <v>0</v>
      </c>
      <c r="I85">
        <v>0</v>
      </c>
      <c r="J85">
        <v>0</v>
      </c>
      <c r="L85" t="str">
        <f t="shared" si="7"/>
        <v>SELECT 111, N'Turkmenistan', 1, 3 UNION ALL</v>
      </c>
      <c r="M85" t="s">
        <v>559</v>
      </c>
      <c r="Q85" s="6">
        <f t="shared" ca="1" si="8"/>
        <v>8</v>
      </c>
      <c r="R85" s="6">
        <f t="shared" ca="1" si="9"/>
        <v>0</v>
      </c>
      <c r="U85" s="6" t="str">
        <f ca="1">IF(Q85&gt;0,"SELECT "&amp;COUNTIF($Q$1:$T84,"&gt;0")+1&amp;", "&amp;$A85&amp;", "&amp;Q85&amp;" UNION ALL","")</f>
        <v>SELECT 92, 111, 8 UNION ALL</v>
      </c>
      <c r="V85" s="6" t="str">
        <f ca="1">IF(R85&gt;0,"SELECT "&amp;COUNTIF($Q$1:$T84,"&gt;0")+COUNTIF($Q85:Q85,"&gt;0")+1&amp;", "&amp;$A85&amp;", "&amp;R85&amp;" UNION ALL","")</f>
        <v/>
      </c>
      <c r="W85" s="6" t="str">
        <f>IF(S85&gt;0,"SELECT "&amp;COUNTIF($Q$1:$T84,"&gt;0")+COUNTIF($Q85:R85,"&gt;0")+1&amp;", "&amp;$A85&amp;", "&amp;S85&amp;" UNION ALL","")</f>
        <v/>
      </c>
      <c r="X85" s="6" t="str">
        <f>IF(T85&gt;0,"SELECT "&amp;COUNTIF($Q$1:$T84,"&gt;0")+COUNTIF($Q85:S85,"&gt;0")+1&amp;", "&amp;$A85&amp;", "&amp;T85&amp;" UNION ALL","")</f>
        <v/>
      </c>
      <c r="Y85" s="5" t="str">
        <f t="shared" ca="1" si="10"/>
        <v>SELECT 92, 111, 8 UNION ALL</v>
      </c>
    </row>
    <row r="86" spans="1:25">
      <c r="A86">
        <v>112</v>
      </c>
      <c r="B86" t="s">
        <v>341</v>
      </c>
      <c r="C86">
        <v>1</v>
      </c>
      <c r="D86">
        <v>2</v>
      </c>
      <c r="E86">
        <v>1</v>
      </c>
      <c r="F86">
        <v>1</v>
      </c>
      <c r="G86" t="s">
        <v>342</v>
      </c>
      <c r="H86">
        <v>0</v>
      </c>
      <c r="I86">
        <v>0</v>
      </c>
      <c r="J86">
        <v>0</v>
      </c>
      <c r="L86" t="str">
        <f t="shared" si="7"/>
        <v>SELECT 112, N'Tadżykistan', 1, 2 UNION ALL</v>
      </c>
      <c r="M86" t="s">
        <v>559</v>
      </c>
      <c r="Q86" s="6">
        <f t="shared" ca="1" si="8"/>
        <v>8</v>
      </c>
      <c r="R86" s="6">
        <f t="shared" ca="1" si="9"/>
        <v>0</v>
      </c>
      <c r="U86" s="6" t="str">
        <f ca="1">IF(Q86&gt;0,"SELECT "&amp;COUNTIF($Q$1:$T85,"&gt;0")+1&amp;", "&amp;$A86&amp;", "&amp;Q86&amp;" UNION ALL","")</f>
        <v>SELECT 93, 112, 8 UNION ALL</v>
      </c>
      <c r="V86" s="6" t="str">
        <f ca="1">IF(R86&gt;0,"SELECT "&amp;COUNTIF($Q$1:$T85,"&gt;0")+COUNTIF($Q86:Q86,"&gt;0")+1&amp;", "&amp;$A86&amp;", "&amp;R86&amp;" UNION ALL","")</f>
        <v/>
      </c>
      <c r="W86" s="6" t="str">
        <f>IF(S86&gt;0,"SELECT "&amp;COUNTIF($Q$1:$T85,"&gt;0")+COUNTIF($Q86:R86,"&gt;0")+1&amp;", "&amp;$A86&amp;", "&amp;S86&amp;" UNION ALL","")</f>
        <v/>
      </c>
      <c r="X86" s="6" t="str">
        <f>IF(T86&gt;0,"SELECT "&amp;COUNTIF($Q$1:$T85,"&gt;0")+COUNTIF($Q86:S86,"&gt;0")+1&amp;", "&amp;$A86&amp;", "&amp;T86&amp;" UNION ALL","")</f>
        <v/>
      </c>
      <c r="Y86" s="5" t="str">
        <f t="shared" ca="1" si="10"/>
        <v>SELECT 93, 112, 8 UNION ALL</v>
      </c>
    </row>
    <row r="87" spans="1:25">
      <c r="A87">
        <v>113</v>
      </c>
      <c r="B87" t="s">
        <v>343</v>
      </c>
      <c r="C87">
        <v>1</v>
      </c>
      <c r="D87">
        <v>2</v>
      </c>
      <c r="E87">
        <v>1</v>
      </c>
      <c r="F87">
        <v>1</v>
      </c>
      <c r="G87" t="s">
        <v>344</v>
      </c>
      <c r="H87">
        <v>0</v>
      </c>
      <c r="I87">
        <v>0</v>
      </c>
      <c r="J87">
        <v>0</v>
      </c>
      <c r="L87" t="str">
        <f t="shared" si="7"/>
        <v>SELECT 113, N'Kirgistan', 1, 2 UNION ALL</v>
      </c>
      <c r="M87" t="s">
        <v>559</v>
      </c>
      <c r="Q87" s="6">
        <f t="shared" ca="1" si="8"/>
        <v>8</v>
      </c>
      <c r="R87" s="6">
        <f t="shared" ca="1" si="9"/>
        <v>0</v>
      </c>
      <c r="U87" s="6" t="str">
        <f ca="1">IF(Q87&gt;0,"SELECT "&amp;COUNTIF($Q$1:$T86,"&gt;0")+1&amp;", "&amp;$A87&amp;", "&amp;Q87&amp;" UNION ALL","")</f>
        <v>SELECT 94, 113, 8 UNION ALL</v>
      </c>
      <c r="V87" s="6" t="str">
        <f ca="1">IF(R87&gt;0,"SELECT "&amp;COUNTIF($Q$1:$T86,"&gt;0")+COUNTIF($Q87:Q87,"&gt;0")+1&amp;", "&amp;$A87&amp;", "&amp;R87&amp;" UNION ALL","")</f>
        <v/>
      </c>
      <c r="W87" s="6" t="str">
        <f>IF(S87&gt;0,"SELECT "&amp;COUNTIF($Q$1:$T86,"&gt;0")+COUNTIF($Q87:R87,"&gt;0")+1&amp;", "&amp;$A87&amp;", "&amp;S87&amp;" UNION ALL","")</f>
        <v/>
      </c>
      <c r="X87" s="6" t="str">
        <f>IF(T87&gt;0,"SELECT "&amp;COUNTIF($Q$1:$T86,"&gt;0")+COUNTIF($Q87:S87,"&gt;0")+1&amp;", "&amp;$A87&amp;", "&amp;T87&amp;" UNION ALL","")</f>
        <v/>
      </c>
      <c r="Y87" s="5" t="str">
        <f t="shared" ca="1" si="10"/>
        <v>SELECT 94, 113, 8 UNION ALL</v>
      </c>
    </row>
    <row r="88" spans="1:25">
      <c r="A88">
        <v>114</v>
      </c>
      <c r="B88" t="s">
        <v>345</v>
      </c>
      <c r="C88">
        <v>1</v>
      </c>
      <c r="D88">
        <v>5</v>
      </c>
      <c r="E88">
        <v>1</v>
      </c>
      <c r="F88">
        <v>1</v>
      </c>
      <c r="G88" t="s">
        <v>346</v>
      </c>
      <c r="H88">
        <v>0</v>
      </c>
      <c r="I88">
        <v>0</v>
      </c>
      <c r="J88">
        <v>0</v>
      </c>
      <c r="L88" t="str">
        <f t="shared" si="7"/>
        <v>SELECT 114, N'Nepal', 1, 5 UNION ALL</v>
      </c>
      <c r="M88" t="s">
        <v>559</v>
      </c>
      <c r="Q88" s="6">
        <f t="shared" ca="1" si="8"/>
        <v>8</v>
      </c>
      <c r="R88" s="6">
        <f t="shared" ca="1" si="9"/>
        <v>0</v>
      </c>
      <c r="U88" s="6" t="str">
        <f ca="1">IF(Q88&gt;0,"SELECT "&amp;COUNTIF($Q$1:$T87,"&gt;0")+1&amp;", "&amp;$A88&amp;", "&amp;Q88&amp;" UNION ALL","")</f>
        <v>SELECT 95, 114, 8 UNION ALL</v>
      </c>
      <c r="V88" s="6" t="str">
        <f ca="1">IF(R88&gt;0,"SELECT "&amp;COUNTIF($Q$1:$T87,"&gt;0")+COUNTIF($Q88:Q88,"&gt;0")+1&amp;", "&amp;$A88&amp;", "&amp;R88&amp;" UNION ALL","")</f>
        <v/>
      </c>
      <c r="W88" s="6" t="str">
        <f>IF(S88&gt;0,"SELECT "&amp;COUNTIF($Q$1:$T87,"&gt;0")+COUNTIF($Q88:R88,"&gt;0")+1&amp;", "&amp;$A88&amp;", "&amp;S88&amp;" UNION ALL","")</f>
        <v/>
      </c>
      <c r="X88" s="6" t="str">
        <f>IF(T88&gt;0,"SELECT "&amp;COUNTIF($Q$1:$T87,"&gt;0")+COUNTIF($Q88:S88,"&gt;0")+1&amp;", "&amp;$A88&amp;", "&amp;T88&amp;" UNION ALL","")</f>
        <v/>
      </c>
      <c r="Y88" s="5" t="str">
        <f t="shared" ca="1" si="10"/>
        <v>SELECT 95, 114, 8 UNION ALL</v>
      </c>
    </row>
    <row r="89" spans="1:25">
      <c r="A89">
        <v>115</v>
      </c>
      <c r="B89" t="s">
        <v>347</v>
      </c>
      <c r="C89">
        <v>1</v>
      </c>
      <c r="D89">
        <v>2</v>
      </c>
      <c r="E89">
        <v>1</v>
      </c>
      <c r="F89">
        <v>1</v>
      </c>
      <c r="G89" t="s">
        <v>348</v>
      </c>
      <c r="H89">
        <v>0</v>
      </c>
      <c r="I89">
        <v>0</v>
      </c>
      <c r="J89">
        <v>0</v>
      </c>
      <c r="L89" t="str">
        <f t="shared" si="7"/>
        <v>SELECT 115, N'Bhutan', 1, 2 UNION ALL</v>
      </c>
      <c r="M89" t="s">
        <v>559</v>
      </c>
      <c r="Q89" s="6">
        <f t="shared" ca="1" si="8"/>
        <v>8</v>
      </c>
      <c r="R89" s="6">
        <f t="shared" ca="1" si="9"/>
        <v>0</v>
      </c>
      <c r="U89" s="6" t="str">
        <f ca="1">IF(Q89&gt;0,"SELECT "&amp;COUNTIF($Q$1:$T88,"&gt;0")+1&amp;", "&amp;$A89&amp;", "&amp;Q89&amp;" UNION ALL","")</f>
        <v>SELECT 96, 115, 8 UNION ALL</v>
      </c>
      <c r="V89" s="6" t="str">
        <f ca="1">IF(R89&gt;0,"SELECT "&amp;COUNTIF($Q$1:$T88,"&gt;0")+COUNTIF($Q89:Q89,"&gt;0")+1&amp;", "&amp;$A89&amp;", "&amp;R89&amp;" UNION ALL","")</f>
        <v/>
      </c>
      <c r="W89" s="6" t="str">
        <f>IF(S89&gt;0,"SELECT "&amp;COUNTIF($Q$1:$T88,"&gt;0")+COUNTIF($Q89:R89,"&gt;0")+1&amp;", "&amp;$A89&amp;", "&amp;S89&amp;" UNION ALL","")</f>
        <v/>
      </c>
      <c r="X89" s="6" t="str">
        <f>IF(T89&gt;0,"SELECT "&amp;COUNTIF($Q$1:$T88,"&gt;0")+COUNTIF($Q89:S89,"&gt;0")+1&amp;", "&amp;$A89&amp;", "&amp;T89&amp;" UNION ALL","")</f>
        <v/>
      </c>
      <c r="Y89" s="5" t="str">
        <f t="shared" ca="1" si="10"/>
        <v>SELECT 96, 115, 8 UNION ALL</v>
      </c>
    </row>
    <row r="90" spans="1:25">
      <c r="A90">
        <v>116</v>
      </c>
      <c r="B90" t="s">
        <v>349</v>
      </c>
      <c r="C90">
        <v>1</v>
      </c>
      <c r="D90">
        <v>4</v>
      </c>
      <c r="E90">
        <v>1</v>
      </c>
      <c r="F90">
        <v>1</v>
      </c>
      <c r="G90" t="s">
        <v>350</v>
      </c>
      <c r="H90">
        <v>0</v>
      </c>
      <c r="I90">
        <v>0</v>
      </c>
      <c r="J90">
        <v>0</v>
      </c>
      <c r="L90" t="str">
        <f t="shared" si="7"/>
        <v>SELECT 116, N'Bangladesz', 1, 4 UNION ALL</v>
      </c>
      <c r="M90" t="s">
        <v>559</v>
      </c>
      <c r="Q90" s="6">
        <f t="shared" ca="1" si="8"/>
        <v>8</v>
      </c>
      <c r="R90" s="6">
        <f t="shared" ca="1" si="9"/>
        <v>0</v>
      </c>
      <c r="U90" s="6" t="str">
        <f ca="1">IF(Q90&gt;0,"SELECT "&amp;COUNTIF($Q$1:$T89,"&gt;0")+1&amp;", "&amp;$A90&amp;", "&amp;Q90&amp;" UNION ALL","")</f>
        <v>SELECT 97, 116, 8 UNION ALL</v>
      </c>
      <c r="V90" s="6" t="str">
        <f ca="1">IF(R90&gt;0,"SELECT "&amp;COUNTIF($Q$1:$T89,"&gt;0")+COUNTIF($Q90:Q90,"&gt;0")+1&amp;", "&amp;$A90&amp;", "&amp;R90&amp;" UNION ALL","")</f>
        <v/>
      </c>
      <c r="W90" s="6" t="str">
        <f>IF(S90&gt;0,"SELECT "&amp;COUNTIF($Q$1:$T89,"&gt;0")+COUNTIF($Q90:R90,"&gt;0")+1&amp;", "&amp;$A90&amp;", "&amp;S90&amp;" UNION ALL","")</f>
        <v/>
      </c>
      <c r="X90" s="6" t="str">
        <f>IF(T90&gt;0,"SELECT "&amp;COUNTIF($Q$1:$T89,"&gt;0")+COUNTIF($Q90:S90,"&gt;0")+1&amp;", "&amp;$A90&amp;", "&amp;T90&amp;" UNION ALL","")</f>
        <v/>
      </c>
      <c r="Y90" s="5" t="str">
        <f t="shared" ca="1" si="10"/>
        <v>SELECT 97, 116, 8 UNION ALL</v>
      </c>
    </row>
    <row r="91" spans="1:25" ht="30">
      <c r="A91">
        <v>117</v>
      </c>
      <c r="B91" t="s">
        <v>351</v>
      </c>
      <c r="C91">
        <v>1</v>
      </c>
      <c r="D91">
        <v>4</v>
      </c>
      <c r="E91">
        <v>1</v>
      </c>
      <c r="F91">
        <v>1</v>
      </c>
      <c r="G91" t="s">
        <v>352</v>
      </c>
      <c r="H91">
        <v>0</v>
      </c>
      <c r="I91">
        <v>0</v>
      </c>
      <c r="J91">
        <v>0</v>
      </c>
      <c r="L91" t="str">
        <f t="shared" si="7"/>
        <v>SELECT 117, N'Sri Lanka', 1, 4 UNION ALL</v>
      </c>
      <c r="M91" t="s">
        <v>559</v>
      </c>
      <c r="N91" t="s">
        <v>553</v>
      </c>
      <c r="Q91" s="6">
        <f t="shared" ca="1" si="8"/>
        <v>8</v>
      </c>
      <c r="R91" s="6">
        <f t="shared" ca="1" si="9"/>
        <v>42</v>
      </c>
      <c r="U91" s="6" t="str">
        <f ca="1">IF(Q91&gt;0,"SELECT "&amp;COUNTIF($Q$1:$T90,"&gt;0")+1&amp;", "&amp;$A91&amp;", "&amp;Q91&amp;" UNION ALL","")</f>
        <v>SELECT 98, 117, 8 UNION ALL</v>
      </c>
      <c r="V91" s="6" t="str">
        <f ca="1">IF(R91&gt;0,"SELECT "&amp;COUNTIF($Q$1:$T90,"&gt;0")+COUNTIF($Q91:Q91,"&gt;0")+1&amp;", "&amp;$A91&amp;", "&amp;R91&amp;" UNION ALL","")</f>
        <v>SELECT 99, 117, 42 UNION ALL</v>
      </c>
      <c r="W91" s="6" t="str">
        <f>IF(S91&gt;0,"SELECT "&amp;COUNTIF($Q$1:$T90,"&gt;0")+COUNTIF($Q91:R91,"&gt;0")+1&amp;", "&amp;$A91&amp;", "&amp;S91&amp;" UNION ALL","")</f>
        <v/>
      </c>
      <c r="X91" s="6" t="str">
        <f>IF(T91&gt;0,"SELECT "&amp;COUNTIF($Q$1:$T90,"&gt;0")+COUNTIF($Q91:S91,"&gt;0")+1&amp;", "&amp;$A91&amp;", "&amp;T91&amp;" UNION ALL","")</f>
        <v/>
      </c>
      <c r="Y91" s="5" t="str">
        <f t="shared" ca="1" si="10"/>
        <v>SELECT 98, 117, 8 UNION ALL
SELECT 99, 117, 42 UNION ALL</v>
      </c>
    </row>
    <row r="92" spans="1:25">
      <c r="A92">
        <v>118</v>
      </c>
      <c r="B92" t="s">
        <v>353</v>
      </c>
      <c r="C92">
        <v>1</v>
      </c>
      <c r="D92">
        <v>5</v>
      </c>
      <c r="E92">
        <v>1</v>
      </c>
      <c r="F92">
        <v>1</v>
      </c>
      <c r="G92" t="s">
        <v>354</v>
      </c>
      <c r="H92">
        <v>0</v>
      </c>
      <c r="I92">
        <v>0</v>
      </c>
      <c r="J92">
        <v>0</v>
      </c>
      <c r="L92" t="str">
        <f t="shared" si="7"/>
        <v>SELECT 118, N'Mongolia', 1, 5 UNION ALL</v>
      </c>
      <c r="M92" t="s">
        <v>559</v>
      </c>
      <c r="Q92" s="6">
        <f t="shared" ca="1" si="8"/>
        <v>8</v>
      </c>
      <c r="R92" s="6">
        <f t="shared" ca="1" si="9"/>
        <v>0</v>
      </c>
      <c r="U92" s="6" t="str">
        <f ca="1">IF(Q92&gt;0,"SELECT "&amp;COUNTIF($Q$1:$T91,"&gt;0")+1&amp;", "&amp;$A92&amp;", "&amp;Q92&amp;" UNION ALL","")</f>
        <v>SELECT 100, 118, 8 UNION ALL</v>
      </c>
      <c r="V92" s="6" t="str">
        <f ca="1">IF(R92&gt;0,"SELECT "&amp;COUNTIF($Q$1:$T91,"&gt;0")+COUNTIF($Q92:Q92,"&gt;0")+1&amp;", "&amp;$A92&amp;", "&amp;R92&amp;" UNION ALL","")</f>
        <v/>
      </c>
      <c r="W92" s="6" t="str">
        <f>IF(S92&gt;0,"SELECT "&amp;COUNTIF($Q$1:$T91,"&gt;0")+COUNTIF($Q92:R92,"&gt;0")+1&amp;", "&amp;$A92&amp;", "&amp;S92&amp;" UNION ALL","")</f>
        <v/>
      </c>
      <c r="X92" s="6" t="str">
        <f>IF(T92&gt;0,"SELECT "&amp;COUNTIF($Q$1:$T91,"&gt;0")+COUNTIF($Q92:S92,"&gt;0")+1&amp;", "&amp;$A92&amp;", "&amp;T92&amp;" UNION ALL","")</f>
        <v/>
      </c>
      <c r="Y92" s="5" t="str">
        <f t="shared" ca="1" si="10"/>
        <v>SELECT 100, 118, 8 UNION ALL</v>
      </c>
    </row>
    <row r="93" spans="1:25">
      <c r="A93">
        <v>119</v>
      </c>
      <c r="B93" t="s">
        <v>355</v>
      </c>
      <c r="C93">
        <v>1</v>
      </c>
      <c r="D93">
        <v>3</v>
      </c>
      <c r="E93">
        <v>1</v>
      </c>
      <c r="F93">
        <v>1</v>
      </c>
      <c r="G93" t="s">
        <v>356</v>
      </c>
      <c r="H93">
        <v>0</v>
      </c>
      <c r="I93">
        <v>0</v>
      </c>
      <c r="J93">
        <v>0</v>
      </c>
      <c r="L93" t="str">
        <f t="shared" si="7"/>
        <v>SELECT 119, N'Laos', 1, 3 UNION ALL</v>
      </c>
      <c r="M93" t="s">
        <v>559</v>
      </c>
      <c r="Q93" s="6">
        <f t="shared" ca="1" si="8"/>
        <v>8</v>
      </c>
      <c r="R93" s="6">
        <f t="shared" ca="1" si="9"/>
        <v>0</v>
      </c>
      <c r="U93" s="6" t="str">
        <f ca="1">IF(Q93&gt;0,"SELECT "&amp;COUNTIF($Q$1:$T92,"&gt;0")+1&amp;", "&amp;$A93&amp;", "&amp;Q93&amp;" UNION ALL","")</f>
        <v>SELECT 101, 119, 8 UNION ALL</v>
      </c>
      <c r="V93" s="6" t="str">
        <f ca="1">IF(R93&gt;0,"SELECT "&amp;COUNTIF($Q$1:$T92,"&gt;0")+COUNTIF($Q93:Q93,"&gt;0")+1&amp;", "&amp;$A93&amp;", "&amp;R93&amp;" UNION ALL","")</f>
        <v/>
      </c>
      <c r="W93" s="6" t="str">
        <f>IF(S93&gt;0,"SELECT "&amp;COUNTIF($Q$1:$T92,"&gt;0")+COUNTIF($Q93:R93,"&gt;0")+1&amp;", "&amp;$A93&amp;", "&amp;S93&amp;" UNION ALL","")</f>
        <v/>
      </c>
      <c r="X93" s="6" t="str">
        <f>IF(T93&gt;0,"SELECT "&amp;COUNTIF($Q$1:$T92,"&gt;0")+COUNTIF($Q93:S93,"&gt;0")+1&amp;", "&amp;$A93&amp;", "&amp;T93&amp;" UNION ALL","")</f>
        <v/>
      </c>
      <c r="Y93" s="5" t="str">
        <f t="shared" ca="1" si="10"/>
        <v>SELECT 101, 119, 8 UNION ALL</v>
      </c>
    </row>
    <row r="94" spans="1:25">
      <c r="A94">
        <v>120</v>
      </c>
      <c r="B94" t="s">
        <v>357</v>
      </c>
      <c r="C94">
        <v>1</v>
      </c>
      <c r="D94">
        <v>4</v>
      </c>
      <c r="E94">
        <v>1</v>
      </c>
      <c r="F94">
        <v>1</v>
      </c>
      <c r="G94" t="s">
        <v>358</v>
      </c>
      <c r="H94">
        <v>0</v>
      </c>
      <c r="I94">
        <v>0</v>
      </c>
      <c r="J94">
        <v>0</v>
      </c>
      <c r="L94" t="str">
        <f t="shared" si="7"/>
        <v>SELECT 120, N'Kambodża', 1, 4 UNION ALL</v>
      </c>
      <c r="M94" t="s">
        <v>559</v>
      </c>
      <c r="Q94" s="6">
        <f t="shared" ca="1" si="8"/>
        <v>8</v>
      </c>
      <c r="R94" s="6">
        <f t="shared" ca="1" si="9"/>
        <v>0</v>
      </c>
      <c r="U94" s="6" t="str">
        <f ca="1">IF(Q94&gt;0,"SELECT "&amp;COUNTIF($Q$1:$T93,"&gt;0")+1&amp;", "&amp;$A94&amp;", "&amp;Q94&amp;" UNION ALL","")</f>
        <v>SELECT 102, 120, 8 UNION ALL</v>
      </c>
      <c r="V94" s="6" t="str">
        <f ca="1">IF(R94&gt;0,"SELECT "&amp;COUNTIF($Q$1:$T93,"&gt;0")+COUNTIF($Q94:Q94,"&gt;0")+1&amp;", "&amp;$A94&amp;", "&amp;R94&amp;" UNION ALL","")</f>
        <v/>
      </c>
      <c r="W94" s="6" t="str">
        <f>IF(S94&gt;0,"SELECT "&amp;COUNTIF($Q$1:$T93,"&gt;0")+COUNTIF($Q94:R94,"&gt;0")+1&amp;", "&amp;$A94&amp;", "&amp;S94&amp;" UNION ALL","")</f>
        <v/>
      </c>
      <c r="X94" s="6" t="str">
        <f>IF(T94&gt;0,"SELECT "&amp;COUNTIF($Q$1:$T93,"&gt;0")+COUNTIF($Q94:S94,"&gt;0")+1&amp;", "&amp;$A94&amp;", "&amp;T94&amp;" UNION ALL","")</f>
        <v/>
      </c>
      <c r="Y94" s="5" t="str">
        <f t="shared" ca="1" si="10"/>
        <v>SELECT 102, 120, 8 UNION ALL</v>
      </c>
    </row>
    <row r="95" spans="1:25">
      <c r="A95">
        <v>121</v>
      </c>
      <c r="B95" t="s">
        <v>359</v>
      </c>
      <c r="C95">
        <v>1</v>
      </c>
      <c r="D95">
        <v>6</v>
      </c>
      <c r="E95">
        <v>1</v>
      </c>
      <c r="F95">
        <v>1</v>
      </c>
      <c r="G95" t="s">
        <v>360</v>
      </c>
      <c r="H95">
        <v>0</v>
      </c>
      <c r="I95">
        <v>0</v>
      </c>
      <c r="J95">
        <v>0</v>
      </c>
      <c r="L95" t="str">
        <f t="shared" si="7"/>
        <v>SELECT 121, N'Wietnam', 1, 6 UNION ALL</v>
      </c>
      <c r="M95" t="s">
        <v>559</v>
      </c>
      <c r="Q95" s="6">
        <f t="shared" ca="1" si="8"/>
        <v>8</v>
      </c>
      <c r="R95" s="6">
        <f t="shared" ca="1" si="9"/>
        <v>0</v>
      </c>
      <c r="U95" s="6" t="str">
        <f ca="1">IF(Q95&gt;0,"SELECT "&amp;COUNTIF($Q$1:$T94,"&gt;0")+1&amp;", "&amp;$A95&amp;", "&amp;Q95&amp;" UNION ALL","")</f>
        <v>SELECT 103, 121, 8 UNION ALL</v>
      </c>
      <c r="V95" s="6" t="str">
        <f ca="1">IF(R95&gt;0,"SELECT "&amp;COUNTIF($Q$1:$T94,"&gt;0")+COUNTIF($Q95:Q95,"&gt;0")+1&amp;", "&amp;$A95&amp;", "&amp;R95&amp;" UNION ALL","")</f>
        <v/>
      </c>
      <c r="W95" s="6" t="str">
        <f>IF(S95&gt;0,"SELECT "&amp;COUNTIF($Q$1:$T94,"&gt;0")+COUNTIF($Q95:R95,"&gt;0")+1&amp;", "&amp;$A95&amp;", "&amp;S95&amp;" UNION ALL","")</f>
        <v/>
      </c>
      <c r="X95" s="6" t="str">
        <f>IF(T95&gt;0,"SELECT "&amp;COUNTIF($Q$1:$T94,"&gt;0")+COUNTIF($Q95:S95,"&gt;0")+1&amp;", "&amp;$A95&amp;", "&amp;T95&amp;" UNION ALL","")</f>
        <v/>
      </c>
      <c r="Y95" s="5" t="str">
        <f t="shared" ca="1" si="10"/>
        <v>SELECT 103, 121, 8 UNION ALL</v>
      </c>
    </row>
    <row r="96" spans="1:25">
      <c r="A96">
        <v>122</v>
      </c>
      <c r="B96" t="s">
        <v>361</v>
      </c>
      <c r="C96">
        <v>1</v>
      </c>
      <c r="D96">
        <v>2</v>
      </c>
      <c r="E96">
        <v>1</v>
      </c>
      <c r="F96">
        <v>1</v>
      </c>
      <c r="G96" t="s">
        <v>362</v>
      </c>
      <c r="H96">
        <v>0</v>
      </c>
      <c r="I96">
        <v>0</v>
      </c>
      <c r="J96">
        <v>0</v>
      </c>
      <c r="L96" t="str">
        <f t="shared" si="7"/>
        <v>SELECT 122, N'Myanmar', 1, 2 UNION ALL</v>
      </c>
      <c r="M96" t="s">
        <v>559</v>
      </c>
      <c r="Q96" s="6">
        <f t="shared" ca="1" si="8"/>
        <v>8</v>
      </c>
      <c r="R96" s="6">
        <f t="shared" ca="1" si="9"/>
        <v>0</v>
      </c>
      <c r="U96" s="6" t="str">
        <f ca="1">IF(Q96&gt;0,"SELECT "&amp;COUNTIF($Q$1:$T95,"&gt;0")+1&amp;", "&amp;$A96&amp;", "&amp;Q96&amp;" UNION ALL","")</f>
        <v>SELECT 104, 122, 8 UNION ALL</v>
      </c>
      <c r="V96" s="6" t="str">
        <f ca="1">IF(R96&gt;0,"SELECT "&amp;COUNTIF($Q$1:$T95,"&gt;0")+COUNTIF($Q96:Q96,"&gt;0")+1&amp;", "&amp;$A96&amp;", "&amp;R96&amp;" UNION ALL","")</f>
        <v/>
      </c>
      <c r="W96" s="6" t="str">
        <f>IF(S96&gt;0,"SELECT "&amp;COUNTIF($Q$1:$T95,"&gt;0")+COUNTIF($Q96:R96,"&gt;0")+1&amp;", "&amp;$A96&amp;", "&amp;S96&amp;" UNION ALL","")</f>
        <v/>
      </c>
      <c r="X96" s="6" t="str">
        <f>IF(T96&gt;0,"SELECT "&amp;COUNTIF($Q$1:$T95,"&gt;0")+COUNTIF($Q96:S96,"&gt;0")+1&amp;", "&amp;$A96&amp;", "&amp;T96&amp;" UNION ALL","")</f>
        <v/>
      </c>
      <c r="Y96" s="5" t="str">
        <f t="shared" ca="1" si="10"/>
        <v>SELECT 104, 122, 8 UNION ALL</v>
      </c>
    </row>
    <row r="97" spans="1:25">
      <c r="A97">
        <v>123</v>
      </c>
      <c r="B97" t="s">
        <v>363</v>
      </c>
      <c r="C97">
        <v>1</v>
      </c>
      <c r="D97">
        <v>10</v>
      </c>
      <c r="E97">
        <v>1</v>
      </c>
      <c r="F97">
        <v>1</v>
      </c>
      <c r="G97" t="s">
        <v>364</v>
      </c>
      <c r="H97">
        <v>0</v>
      </c>
      <c r="I97">
        <v>0</v>
      </c>
      <c r="J97">
        <v>0</v>
      </c>
      <c r="L97" t="str">
        <f t="shared" si="7"/>
        <v>SELECT 123, N'Korea Południowa', 1, 10 UNION ALL</v>
      </c>
      <c r="M97" t="s">
        <v>559</v>
      </c>
      <c r="Q97" s="6">
        <f t="shared" ca="1" si="8"/>
        <v>8</v>
      </c>
      <c r="R97" s="6">
        <f t="shared" ca="1" si="9"/>
        <v>0</v>
      </c>
      <c r="U97" s="6" t="str">
        <f ca="1">IF(Q97&gt;0,"SELECT "&amp;COUNTIF($Q$1:$T96,"&gt;0")+1&amp;", "&amp;$A97&amp;", "&amp;Q97&amp;" UNION ALL","")</f>
        <v>SELECT 105, 123, 8 UNION ALL</v>
      </c>
      <c r="V97" s="6" t="str">
        <f ca="1">IF(R97&gt;0,"SELECT "&amp;COUNTIF($Q$1:$T96,"&gt;0")+COUNTIF($Q97:Q97,"&gt;0")+1&amp;", "&amp;$A97&amp;", "&amp;R97&amp;" UNION ALL","")</f>
        <v/>
      </c>
      <c r="W97" s="6" t="str">
        <f>IF(S97&gt;0,"SELECT "&amp;COUNTIF($Q$1:$T96,"&gt;0")+COUNTIF($Q97:R97,"&gt;0")+1&amp;", "&amp;$A97&amp;", "&amp;S97&amp;" UNION ALL","")</f>
        <v/>
      </c>
      <c r="X97" s="6" t="str">
        <f>IF(T97&gt;0,"SELECT "&amp;COUNTIF($Q$1:$T96,"&gt;0")+COUNTIF($Q97:S97,"&gt;0")+1&amp;", "&amp;$A97&amp;", "&amp;T97&amp;" UNION ALL","")</f>
        <v/>
      </c>
      <c r="Y97" s="5" t="str">
        <f t="shared" ca="1" si="10"/>
        <v>SELECT 105, 123, 8 UNION ALL</v>
      </c>
    </row>
    <row r="98" spans="1:25">
      <c r="A98">
        <v>124</v>
      </c>
      <c r="B98" t="s">
        <v>365</v>
      </c>
      <c r="C98">
        <v>1</v>
      </c>
      <c r="D98">
        <v>9</v>
      </c>
      <c r="E98">
        <v>1</v>
      </c>
      <c r="F98">
        <v>1</v>
      </c>
      <c r="G98" t="s">
        <v>366</v>
      </c>
      <c r="H98">
        <v>0</v>
      </c>
      <c r="I98">
        <v>0</v>
      </c>
      <c r="J98">
        <v>0</v>
      </c>
      <c r="L98" t="str">
        <f t="shared" si="7"/>
        <v>SELECT 124, N'Korea Północna', 1, 9 UNION ALL</v>
      </c>
      <c r="M98" t="s">
        <v>559</v>
      </c>
      <c r="Q98" s="6">
        <f t="shared" ca="1" si="8"/>
        <v>8</v>
      </c>
      <c r="R98" s="6">
        <f t="shared" ca="1" si="9"/>
        <v>0</v>
      </c>
      <c r="U98" s="6" t="str">
        <f ca="1">IF(Q98&gt;0,"SELECT "&amp;COUNTIF($Q$1:$T97,"&gt;0")+1&amp;", "&amp;$A98&amp;", "&amp;Q98&amp;" UNION ALL","")</f>
        <v>SELECT 106, 124, 8 UNION ALL</v>
      </c>
      <c r="V98" s="6" t="str">
        <f ca="1">IF(R98&gt;0,"SELECT "&amp;COUNTIF($Q$1:$T97,"&gt;0")+COUNTIF($Q98:Q98,"&gt;0")+1&amp;", "&amp;$A98&amp;", "&amp;R98&amp;" UNION ALL","")</f>
        <v/>
      </c>
      <c r="W98" s="6" t="str">
        <f>IF(S98&gt;0,"SELECT "&amp;COUNTIF($Q$1:$T97,"&gt;0")+COUNTIF($Q98:R98,"&gt;0")+1&amp;", "&amp;$A98&amp;", "&amp;S98&amp;" UNION ALL","")</f>
        <v/>
      </c>
      <c r="X98" s="6" t="str">
        <f>IF(T98&gt;0,"SELECT "&amp;COUNTIF($Q$1:$T97,"&gt;0")+COUNTIF($Q98:S98,"&gt;0")+1&amp;", "&amp;$A98&amp;", "&amp;T98&amp;" UNION ALL","")</f>
        <v/>
      </c>
      <c r="Y98" s="5" t="str">
        <f t="shared" ca="1" si="10"/>
        <v>SELECT 106, 124, 8 UNION ALL</v>
      </c>
    </row>
    <row r="99" spans="1:25">
      <c r="A99">
        <v>125</v>
      </c>
      <c r="B99" t="s">
        <v>367</v>
      </c>
      <c r="C99">
        <v>1</v>
      </c>
      <c r="D99">
        <v>7</v>
      </c>
      <c r="E99">
        <v>1</v>
      </c>
      <c r="F99">
        <v>1</v>
      </c>
      <c r="G99" t="s">
        <v>368</v>
      </c>
      <c r="H99">
        <v>0</v>
      </c>
      <c r="I99">
        <v>0</v>
      </c>
      <c r="J99">
        <v>0</v>
      </c>
      <c r="L99" t="str">
        <f t="shared" si="7"/>
        <v>SELECT 125, N'Malezja', 1, 7 UNION ALL</v>
      </c>
      <c r="M99" t="s">
        <v>559</v>
      </c>
      <c r="Q99" s="6">
        <f t="shared" ca="1" si="8"/>
        <v>8</v>
      </c>
      <c r="R99" s="6">
        <f t="shared" ca="1" si="9"/>
        <v>0</v>
      </c>
      <c r="U99" s="6" t="str">
        <f ca="1">IF(Q99&gt;0,"SELECT "&amp;COUNTIF($Q$1:$T98,"&gt;0")+1&amp;", "&amp;$A99&amp;", "&amp;Q99&amp;" UNION ALL","")</f>
        <v>SELECT 107, 125, 8 UNION ALL</v>
      </c>
      <c r="V99" s="6" t="str">
        <f ca="1">IF(R99&gt;0,"SELECT "&amp;COUNTIF($Q$1:$T98,"&gt;0")+COUNTIF($Q99:Q99,"&gt;0")+1&amp;", "&amp;$A99&amp;", "&amp;R99&amp;" UNION ALL","")</f>
        <v/>
      </c>
      <c r="W99" s="6" t="str">
        <f>IF(S99&gt;0,"SELECT "&amp;COUNTIF($Q$1:$T98,"&gt;0")+COUNTIF($Q99:R99,"&gt;0")+1&amp;", "&amp;$A99&amp;", "&amp;S99&amp;" UNION ALL","")</f>
        <v/>
      </c>
      <c r="X99" s="6" t="str">
        <f>IF(T99&gt;0,"SELECT "&amp;COUNTIF($Q$1:$T98,"&gt;0")+COUNTIF($Q99:S99,"&gt;0")+1&amp;", "&amp;$A99&amp;", "&amp;T99&amp;" UNION ALL","")</f>
        <v/>
      </c>
      <c r="Y99" s="5" t="str">
        <f t="shared" ca="1" si="10"/>
        <v>SELECT 107, 125, 8 UNION ALL</v>
      </c>
    </row>
    <row r="100" spans="1:25">
      <c r="A100">
        <v>126</v>
      </c>
      <c r="B100" t="s">
        <v>369</v>
      </c>
      <c r="C100">
        <v>1</v>
      </c>
      <c r="D100">
        <v>7</v>
      </c>
      <c r="E100">
        <v>1</v>
      </c>
      <c r="F100">
        <v>1</v>
      </c>
      <c r="G100" t="s">
        <v>370</v>
      </c>
      <c r="H100">
        <v>0</v>
      </c>
      <c r="I100">
        <v>0</v>
      </c>
      <c r="J100">
        <v>0</v>
      </c>
      <c r="L100" t="str">
        <f t="shared" si="7"/>
        <v>SELECT 126, N'Indonezja', 1, 7 UNION ALL</v>
      </c>
      <c r="M100" t="s">
        <v>559</v>
      </c>
      <c r="Q100" s="6">
        <f t="shared" ca="1" si="8"/>
        <v>8</v>
      </c>
      <c r="R100" s="6">
        <f t="shared" ca="1" si="9"/>
        <v>0</v>
      </c>
      <c r="U100" s="6" t="str">
        <f ca="1">IF(Q100&gt;0,"SELECT "&amp;COUNTIF($Q$1:$T99,"&gt;0")+1&amp;", "&amp;$A100&amp;", "&amp;Q100&amp;" UNION ALL","")</f>
        <v>SELECT 108, 126, 8 UNION ALL</v>
      </c>
      <c r="V100" s="6" t="str">
        <f ca="1">IF(R100&gt;0,"SELECT "&amp;COUNTIF($Q$1:$T99,"&gt;0")+COUNTIF($Q100:Q100,"&gt;0")+1&amp;", "&amp;$A100&amp;", "&amp;R100&amp;" UNION ALL","")</f>
        <v/>
      </c>
      <c r="W100" s="6" t="str">
        <f>IF(S100&gt;0,"SELECT "&amp;COUNTIF($Q$1:$T99,"&gt;0")+COUNTIF($Q100:R100,"&gt;0")+1&amp;", "&amp;$A100&amp;", "&amp;S100&amp;" UNION ALL","")</f>
        <v/>
      </c>
      <c r="X100" s="6" t="str">
        <f>IF(T100&gt;0,"SELECT "&amp;COUNTIF($Q$1:$T99,"&gt;0")+COUNTIF($Q100:S100,"&gt;0")+1&amp;", "&amp;$A100&amp;", "&amp;T100&amp;" UNION ALL","")</f>
        <v/>
      </c>
      <c r="Y100" s="5" t="str">
        <f t="shared" ca="1" si="10"/>
        <v>SELECT 108, 126, 8 UNION ALL</v>
      </c>
    </row>
    <row r="101" spans="1:25">
      <c r="A101">
        <v>128</v>
      </c>
      <c r="B101" t="s">
        <v>371</v>
      </c>
      <c r="C101">
        <v>1</v>
      </c>
      <c r="D101">
        <v>7</v>
      </c>
      <c r="E101">
        <v>1</v>
      </c>
      <c r="F101">
        <v>1</v>
      </c>
      <c r="G101" t="s">
        <v>372</v>
      </c>
      <c r="H101">
        <v>0</v>
      </c>
      <c r="I101">
        <v>0</v>
      </c>
      <c r="J101">
        <v>0</v>
      </c>
      <c r="L101" t="str">
        <f t="shared" si="7"/>
        <v>SELECT 128, N'Filipiny', 1, 7 UNION ALL</v>
      </c>
      <c r="M101" t="s">
        <v>559</v>
      </c>
      <c r="Q101" s="6">
        <f t="shared" ca="1" si="8"/>
        <v>8</v>
      </c>
      <c r="R101" s="6">
        <f t="shared" ca="1" si="9"/>
        <v>0</v>
      </c>
      <c r="U101" s="6" t="str">
        <f ca="1">IF(Q101&gt;0,"SELECT "&amp;COUNTIF($Q$1:$T100,"&gt;0")+1&amp;", "&amp;$A101&amp;", "&amp;Q101&amp;" UNION ALL","")</f>
        <v>SELECT 109, 128, 8 UNION ALL</v>
      </c>
      <c r="V101" s="6" t="str">
        <f ca="1">IF(R101&gt;0,"SELECT "&amp;COUNTIF($Q$1:$T100,"&gt;0")+COUNTIF($Q101:Q101,"&gt;0")+1&amp;", "&amp;$A101&amp;", "&amp;R101&amp;" UNION ALL","")</f>
        <v/>
      </c>
      <c r="W101" s="6" t="str">
        <f>IF(S101&gt;0,"SELECT "&amp;COUNTIF($Q$1:$T100,"&gt;0")+COUNTIF($Q101:R101,"&gt;0")+1&amp;", "&amp;$A101&amp;", "&amp;S101&amp;" UNION ALL","")</f>
        <v/>
      </c>
      <c r="X101" s="6" t="str">
        <f>IF(T101&gt;0,"SELECT "&amp;COUNTIF($Q$1:$T100,"&gt;0")+COUNTIF($Q101:S101,"&gt;0")+1&amp;", "&amp;$A101&amp;", "&amp;T101&amp;" UNION ALL","")</f>
        <v/>
      </c>
      <c r="Y101" s="5" t="str">
        <f t="shared" ca="1" si="10"/>
        <v>SELECT 109, 128, 8 UNION ALL</v>
      </c>
    </row>
    <row r="102" spans="1:25" ht="30">
      <c r="A102">
        <v>129</v>
      </c>
      <c r="B102" t="s">
        <v>373</v>
      </c>
      <c r="C102">
        <v>1</v>
      </c>
      <c r="D102">
        <v>8</v>
      </c>
      <c r="E102">
        <v>1</v>
      </c>
      <c r="F102">
        <v>1</v>
      </c>
      <c r="G102" t="s">
        <v>374</v>
      </c>
      <c r="H102">
        <v>0</v>
      </c>
      <c r="I102">
        <v>0</v>
      </c>
      <c r="J102">
        <v>0</v>
      </c>
      <c r="L102" t="str">
        <f t="shared" si="7"/>
        <v>SELECT 129, N'Tajwan', 1, 8 UNION ALL</v>
      </c>
      <c r="M102" t="s">
        <v>559</v>
      </c>
      <c r="N102" t="s">
        <v>553</v>
      </c>
      <c r="Q102" s="6">
        <f t="shared" ca="1" si="8"/>
        <v>8</v>
      </c>
      <c r="R102" s="6">
        <f t="shared" ca="1" si="9"/>
        <v>42</v>
      </c>
      <c r="U102" s="6" t="str">
        <f ca="1">IF(Q102&gt;0,"SELECT "&amp;COUNTIF($Q$1:$T101,"&gt;0")+1&amp;", "&amp;$A102&amp;", "&amp;Q102&amp;" UNION ALL","")</f>
        <v>SELECT 110, 129, 8 UNION ALL</v>
      </c>
      <c r="V102" s="6" t="str">
        <f ca="1">IF(R102&gt;0,"SELECT "&amp;COUNTIF($Q$1:$T101,"&gt;0")+COUNTIF($Q102:Q102,"&gt;0")+1&amp;", "&amp;$A102&amp;", "&amp;R102&amp;" UNION ALL","")</f>
        <v>SELECT 111, 129, 42 UNION ALL</v>
      </c>
      <c r="W102" s="6" t="str">
        <f>IF(S102&gt;0,"SELECT "&amp;COUNTIF($Q$1:$T101,"&gt;0")+COUNTIF($Q102:R102,"&gt;0")+1&amp;", "&amp;$A102&amp;", "&amp;S102&amp;" UNION ALL","")</f>
        <v/>
      </c>
      <c r="X102" s="6" t="str">
        <f>IF(T102&gt;0,"SELECT "&amp;COUNTIF($Q$1:$T101,"&gt;0")+COUNTIF($Q102:S102,"&gt;0")+1&amp;", "&amp;$A102&amp;", "&amp;T102&amp;" UNION ALL","")</f>
        <v/>
      </c>
      <c r="Y102" s="5" t="str">
        <f t="shared" ca="1" si="10"/>
        <v>SELECT 110, 129, 8 UNION ALL
SELECT 111, 129, 42 UNION ALL</v>
      </c>
    </row>
    <row r="103" spans="1:25">
      <c r="A103">
        <v>130</v>
      </c>
      <c r="B103" t="s">
        <v>375</v>
      </c>
      <c r="C103">
        <v>1</v>
      </c>
      <c r="D103">
        <v>8</v>
      </c>
      <c r="E103">
        <v>1</v>
      </c>
      <c r="F103">
        <v>1</v>
      </c>
      <c r="G103" t="s">
        <v>376</v>
      </c>
      <c r="H103">
        <v>0</v>
      </c>
      <c r="I103">
        <v>0</v>
      </c>
      <c r="J103">
        <v>0</v>
      </c>
      <c r="L103" t="str">
        <f t="shared" si="7"/>
        <v>SELECT 130, N'Hongkong', 1, 8 UNION ALL</v>
      </c>
      <c r="M103" t="s">
        <v>559</v>
      </c>
      <c r="Q103" s="6">
        <f t="shared" ca="1" si="8"/>
        <v>8</v>
      </c>
      <c r="R103" s="6">
        <f t="shared" ca="1" si="9"/>
        <v>0</v>
      </c>
      <c r="U103" s="6" t="str">
        <f ca="1">IF(Q103&gt;0,"SELECT "&amp;COUNTIF($Q$1:$T102,"&gt;0")+1&amp;", "&amp;$A103&amp;", "&amp;Q103&amp;" UNION ALL","")</f>
        <v>SELECT 112, 130, 8 UNION ALL</v>
      </c>
      <c r="V103" s="6" t="str">
        <f ca="1">IF(R103&gt;0,"SELECT "&amp;COUNTIF($Q$1:$T102,"&gt;0")+COUNTIF($Q103:Q103,"&gt;0")+1&amp;", "&amp;$A103&amp;", "&amp;R103&amp;" UNION ALL","")</f>
        <v/>
      </c>
      <c r="W103" s="6" t="str">
        <f>IF(S103&gt;0,"SELECT "&amp;COUNTIF($Q$1:$T102,"&gt;0")+COUNTIF($Q103:R103,"&gt;0")+1&amp;", "&amp;$A103&amp;", "&amp;S103&amp;" UNION ALL","")</f>
        <v/>
      </c>
      <c r="X103" s="6" t="str">
        <f>IF(T103&gt;0,"SELECT "&amp;COUNTIF($Q$1:$T102,"&gt;0")+COUNTIF($Q103:S103,"&gt;0")+1&amp;", "&amp;$A103&amp;", "&amp;T103&amp;" UNION ALL","")</f>
        <v/>
      </c>
      <c r="Y103" s="5" t="str">
        <f t="shared" ca="1" si="10"/>
        <v>SELECT 112, 130, 8 UNION ALL</v>
      </c>
    </row>
    <row r="104" spans="1:25">
      <c r="A104">
        <v>131</v>
      </c>
      <c r="B104" t="s">
        <v>377</v>
      </c>
      <c r="C104">
        <v>1</v>
      </c>
      <c r="D104">
        <v>7</v>
      </c>
      <c r="E104">
        <v>1</v>
      </c>
      <c r="F104">
        <v>1</v>
      </c>
      <c r="G104" t="s">
        <v>378</v>
      </c>
      <c r="H104">
        <v>0</v>
      </c>
      <c r="I104">
        <v>0</v>
      </c>
      <c r="J104">
        <v>0</v>
      </c>
      <c r="L104" t="str">
        <f t="shared" si="7"/>
        <v>SELECT 131, N'Singapur', 1, 7 UNION ALL</v>
      </c>
      <c r="M104" t="s">
        <v>559</v>
      </c>
      <c r="Q104" s="6">
        <f t="shared" ca="1" si="8"/>
        <v>8</v>
      </c>
      <c r="R104" s="6">
        <f t="shared" ca="1" si="9"/>
        <v>0</v>
      </c>
      <c r="U104" s="6" t="str">
        <f ca="1">IF(Q104&gt;0,"SELECT "&amp;COUNTIF($Q$1:$T103,"&gt;0")+1&amp;", "&amp;$A104&amp;", "&amp;Q104&amp;" UNION ALL","")</f>
        <v>SELECT 113, 131, 8 UNION ALL</v>
      </c>
      <c r="V104" s="6" t="str">
        <f ca="1">IF(R104&gt;0,"SELECT "&amp;COUNTIF($Q$1:$T103,"&gt;0")+COUNTIF($Q104:Q104,"&gt;0")+1&amp;", "&amp;$A104&amp;", "&amp;R104&amp;" UNION ALL","")</f>
        <v/>
      </c>
      <c r="W104" s="6" t="str">
        <f>IF(S104&gt;0,"SELECT "&amp;COUNTIF($Q$1:$T103,"&gt;0")+COUNTIF($Q104:R104,"&gt;0")+1&amp;", "&amp;$A104&amp;", "&amp;S104&amp;" UNION ALL","")</f>
        <v/>
      </c>
      <c r="X104" s="6" t="str">
        <f>IF(T104&gt;0,"SELECT "&amp;COUNTIF($Q$1:$T103,"&gt;0")+COUNTIF($Q104:S104,"&gt;0")+1&amp;", "&amp;$A104&amp;", "&amp;T104&amp;" UNION ALL","")</f>
        <v/>
      </c>
      <c r="Y104" s="5" t="str">
        <f t="shared" ca="1" si="10"/>
        <v>SELECT 113, 131, 8 UNION ALL</v>
      </c>
    </row>
    <row r="105" spans="1:25" ht="30">
      <c r="A105">
        <v>132</v>
      </c>
      <c r="B105" t="s">
        <v>379</v>
      </c>
      <c r="C105">
        <v>1</v>
      </c>
      <c r="D105">
        <v>10</v>
      </c>
      <c r="E105">
        <v>1</v>
      </c>
      <c r="F105">
        <v>1</v>
      </c>
      <c r="G105" t="s">
        <v>380</v>
      </c>
      <c r="H105">
        <v>0</v>
      </c>
      <c r="I105">
        <v>0</v>
      </c>
      <c r="J105">
        <v>0</v>
      </c>
      <c r="L105" t="str">
        <f t="shared" si="7"/>
        <v>SELECT 132, N'Australia', 1, 10 UNION ALL</v>
      </c>
      <c r="M105" t="s">
        <v>560</v>
      </c>
      <c r="N105" t="s">
        <v>553</v>
      </c>
      <c r="Q105" s="6">
        <f t="shared" ca="1" si="8"/>
        <v>9</v>
      </c>
      <c r="R105" s="6">
        <f t="shared" ca="1" si="9"/>
        <v>42</v>
      </c>
      <c r="U105" s="6" t="str">
        <f ca="1">IF(Q105&gt;0,"SELECT "&amp;COUNTIF($Q$1:$T104,"&gt;0")+1&amp;", "&amp;$A105&amp;", "&amp;Q105&amp;" UNION ALL","")</f>
        <v>SELECT 114, 132, 9 UNION ALL</v>
      </c>
      <c r="V105" s="6" t="str">
        <f ca="1">IF(R105&gt;0,"SELECT "&amp;COUNTIF($Q$1:$T104,"&gt;0")+COUNTIF($Q105:Q105,"&gt;0")+1&amp;", "&amp;$A105&amp;", "&amp;R105&amp;" UNION ALL","")</f>
        <v>SELECT 115, 132, 42 UNION ALL</v>
      </c>
      <c r="W105" s="6" t="str">
        <f>IF(S105&gt;0,"SELECT "&amp;COUNTIF($Q$1:$T104,"&gt;0")+COUNTIF($Q105:R105,"&gt;0")+1&amp;", "&amp;$A105&amp;", "&amp;S105&amp;" UNION ALL","")</f>
        <v/>
      </c>
      <c r="X105" s="6" t="str">
        <f>IF(T105&gt;0,"SELECT "&amp;COUNTIF($Q$1:$T104,"&gt;0")+COUNTIF($Q105:S105,"&gt;0")+1&amp;", "&amp;$A105&amp;", "&amp;T105&amp;" UNION ALL","")</f>
        <v/>
      </c>
      <c r="Y105" s="5" t="str">
        <f t="shared" ca="1" si="10"/>
        <v>SELECT 114, 132, 9 UNION ALL
SELECT 115, 132, 42 UNION ALL</v>
      </c>
    </row>
    <row r="106" spans="1:25" ht="30">
      <c r="A106">
        <v>133</v>
      </c>
      <c r="B106" t="s">
        <v>381</v>
      </c>
      <c r="C106">
        <v>1</v>
      </c>
      <c r="D106">
        <v>10</v>
      </c>
      <c r="E106">
        <v>1</v>
      </c>
      <c r="F106">
        <v>1</v>
      </c>
      <c r="G106" t="s">
        <v>382</v>
      </c>
      <c r="H106">
        <v>0</v>
      </c>
      <c r="I106">
        <v>0</v>
      </c>
      <c r="J106">
        <v>0</v>
      </c>
      <c r="L106" t="str">
        <f t="shared" si="7"/>
        <v>SELECT 133, N'Nowa Zelandia', 1, 10 UNION ALL</v>
      </c>
      <c r="M106" t="s">
        <v>560</v>
      </c>
      <c r="N106" t="s">
        <v>553</v>
      </c>
      <c r="Q106" s="6">
        <f t="shared" ca="1" si="8"/>
        <v>9</v>
      </c>
      <c r="R106" s="6">
        <f t="shared" ca="1" si="9"/>
        <v>42</v>
      </c>
      <c r="U106" s="6" t="str">
        <f ca="1">IF(Q106&gt;0,"SELECT "&amp;COUNTIF($Q$1:$T105,"&gt;0")+1&amp;", "&amp;$A106&amp;", "&amp;Q106&amp;" UNION ALL","")</f>
        <v>SELECT 116, 133, 9 UNION ALL</v>
      </c>
      <c r="V106" s="6" t="str">
        <f ca="1">IF(R106&gt;0,"SELECT "&amp;COUNTIF($Q$1:$T105,"&gt;0")+COUNTIF($Q106:Q106,"&gt;0")+1&amp;", "&amp;$A106&amp;", "&amp;R106&amp;" UNION ALL","")</f>
        <v>SELECT 117, 133, 42 UNION ALL</v>
      </c>
      <c r="W106" s="6" t="str">
        <f>IF(S106&gt;0,"SELECT "&amp;COUNTIF($Q$1:$T105,"&gt;0")+COUNTIF($Q106:R106,"&gt;0")+1&amp;", "&amp;$A106&amp;", "&amp;S106&amp;" UNION ALL","")</f>
        <v/>
      </c>
      <c r="X106" s="6" t="str">
        <f>IF(T106&gt;0,"SELECT "&amp;COUNTIF($Q$1:$T105,"&gt;0")+COUNTIF($Q106:S106,"&gt;0")+1&amp;", "&amp;$A106&amp;", "&amp;T106&amp;" UNION ALL","")</f>
        <v/>
      </c>
      <c r="Y106" s="5" t="str">
        <f t="shared" ca="1" si="10"/>
        <v>SELECT 116, 133, 9 UNION ALL
SELECT 117, 133, 42 UNION ALL</v>
      </c>
    </row>
    <row r="107" spans="1:25" ht="30">
      <c r="A107">
        <v>134</v>
      </c>
      <c r="B107" t="s">
        <v>383</v>
      </c>
      <c r="C107">
        <v>1</v>
      </c>
      <c r="D107">
        <v>6</v>
      </c>
      <c r="E107">
        <v>1</v>
      </c>
      <c r="F107">
        <v>1</v>
      </c>
      <c r="G107" t="s">
        <v>384</v>
      </c>
      <c r="H107">
        <v>0</v>
      </c>
      <c r="I107">
        <v>0</v>
      </c>
      <c r="J107">
        <v>0</v>
      </c>
      <c r="L107" t="str">
        <f t="shared" si="7"/>
        <v>SELECT 134, N'Fidżi', 1, 6 UNION ALL</v>
      </c>
      <c r="M107" t="s">
        <v>560</v>
      </c>
      <c r="N107" t="s">
        <v>553</v>
      </c>
      <c r="Q107" s="6">
        <f t="shared" ca="1" si="8"/>
        <v>9</v>
      </c>
      <c r="R107" s="6">
        <f t="shared" ca="1" si="9"/>
        <v>42</v>
      </c>
      <c r="U107" s="6" t="str">
        <f ca="1">IF(Q107&gt;0,"SELECT "&amp;COUNTIF($Q$1:$T106,"&gt;0")+1&amp;", "&amp;$A107&amp;", "&amp;Q107&amp;" UNION ALL","")</f>
        <v>SELECT 118, 134, 9 UNION ALL</v>
      </c>
      <c r="V107" s="6" t="str">
        <f ca="1">IF(R107&gt;0,"SELECT "&amp;COUNTIF($Q$1:$T106,"&gt;0")+COUNTIF($Q107:Q107,"&gt;0")+1&amp;", "&amp;$A107&amp;", "&amp;R107&amp;" UNION ALL","")</f>
        <v>SELECT 119, 134, 42 UNION ALL</v>
      </c>
      <c r="W107" s="6" t="str">
        <f>IF(S107&gt;0,"SELECT "&amp;COUNTIF($Q$1:$T106,"&gt;0")+COUNTIF($Q107:R107,"&gt;0")+1&amp;", "&amp;$A107&amp;", "&amp;S107&amp;" UNION ALL","")</f>
        <v/>
      </c>
      <c r="X107" s="6" t="str">
        <f>IF(T107&gt;0,"SELECT "&amp;COUNTIF($Q$1:$T106,"&gt;0")+COUNTIF($Q107:S107,"&gt;0")+1&amp;", "&amp;$A107&amp;", "&amp;T107&amp;" UNION ALL","")</f>
        <v/>
      </c>
      <c r="Y107" s="5" t="str">
        <f t="shared" ca="1" si="10"/>
        <v>SELECT 118, 134, 9 UNION ALL
SELECT 119, 134, 42 UNION ALL</v>
      </c>
    </row>
    <row r="108" spans="1:25">
      <c r="A108">
        <v>135</v>
      </c>
      <c r="B108" t="s">
        <v>385</v>
      </c>
      <c r="C108">
        <v>1</v>
      </c>
      <c r="D108">
        <v>10</v>
      </c>
      <c r="E108">
        <v>1</v>
      </c>
      <c r="F108">
        <v>1</v>
      </c>
      <c r="G108" t="s">
        <v>386</v>
      </c>
      <c r="H108">
        <v>0</v>
      </c>
      <c r="I108">
        <v>0</v>
      </c>
      <c r="J108">
        <v>0</v>
      </c>
      <c r="L108" t="str">
        <f t="shared" si="7"/>
        <v>SELECT 135, N'Egipt', 1, 10 UNION ALL</v>
      </c>
      <c r="M108" t="s">
        <v>558</v>
      </c>
      <c r="Q108" s="6">
        <f t="shared" ca="1" si="8"/>
        <v>7</v>
      </c>
      <c r="R108" s="6">
        <f t="shared" ca="1" si="9"/>
        <v>0</v>
      </c>
      <c r="U108" s="6" t="str">
        <f ca="1">IF(Q108&gt;0,"SELECT "&amp;COUNTIF($Q$1:$T107,"&gt;0")+1&amp;", "&amp;$A108&amp;", "&amp;Q108&amp;" UNION ALL","")</f>
        <v>SELECT 120, 135, 7 UNION ALL</v>
      </c>
      <c r="V108" s="6" t="str">
        <f ca="1">IF(R108&gt;0,"SELECT "&amp;COUNTIF($Q$1:$T107,"&gt;0")+COUNTIF($Q108:Q108,"&gt;0")+1&amp;", "&amp;$A108&amp;", "&amp;R108&amp;" UNION ALL","")</f>
        <v/>
      </c>
      <c r="W108" s="6" t="str">
        <f>IF(S108&gt;0,"SELECT "&amp;COUNTIF($Q$1:$T107,"&gt;0")+COUNTIF($Q108:R108,"&gt;0")+1&amp;", "&amp;$A108&amp;", "&amp;S108&amp;" UNION ALL","")</f>
        <v/>
      </c>
      <c r="X108" s="6" t="str">
        <f>IF(T108&gt;0,"SELECT "&amp;COUNTIF($Q$1:$T107,"&gt;0")+COUNTIF($Q108:S108,"&gt;0")+1&amp;", "&amp;$A108&amp;", "&amp;T108&amp;" UNION ALL","")</f>
        <v/>
      </c>
      <c r="Y108" s="5" t="str">
        <f t="shared" ca="1" si="10"/>
        <v>SELECT 120, 135, 7 UNION ALL</v>
      </c>
    </row>
    <row r="109" spans="1:25">
      <c r="A109">
        <v>136</v>
      </c>
      <c r="B109" t="s">
        <v>387</v>
      </c>
      <c r="C109">
        <v>1</v>
      </c>
      <c r="D109">
        <v>8</v>
      </c>
      <c r="E109">
        <v>1</v>
      </c>
      <c r="F109">
        <v>1</v>
      </c>
      <c r="G109" t="s">
        <v>388</v>
      </c>
      <c r="H109">
        <v>0</v>
      </c>
      <c r="I109">
        <v>0</v>
      </c>
      <c r="J109">
        <v>0</v>
      </c>
      <c r="L109" t="str">
        <f t="shared" si="7"/>
        <v>SELECT 136, N'Libia', 1, 8 UNION ALL</v>
      </c>
      <c r="M109" t="s">
        <v>558</v>
      </c>
      <c r="Q109" s="6">
        <f t="shared" ca="1" si="8"/>
        <v>7</v>
      </c>
      <c r="R109" s="6">
        <f t="shared" ca="1" si="9"/>
        <v>0</v>
      </c>
      <c r="U109" s="6" t="str">
        <f ca="1">IF(Q109&gt;0,"SELECT "&amp;COUNTIF($Q$1:$T108,"&gt;0")+1&amp;", "&amp;$A109&amp;", "&amp;Q109&amp;" UNION ALL","")</f>
        <v>SELECT 121, 136, 7 UNION ALL</v>
      </c>
      <c r="V109" s="6" t="str">
        <f ca="1">IF(R109&gt;0,"SELECT "&amp;COUNTIF($Q$1:$T108,"&gt;0")+COUNTIF($Q109:Q109,"&gt;0")+1&amp;", "&amp;$A109&amp;", "&amp;R109&amp;" UNION ALL","")</f>
        <v/>
      </c>
      <c r="W109" s="6" t="str">
        <f>IF(S109&gt;0,"SELECT "&amp;COUNTIF($Q$1:$T108,"&gt;0")+COUNTIF($Q109:R109,"&gt;0")+1&amp;", "&amp;$A109&amp;", "&amp;S109&amp;" UNION ALL","")</f>
        <v/>
      </c>
      <c r="X109" s="6" t="str">
        <f>IF(T109&gt;0,"SELECT "&amp;COUNTIF($Q$1:$T108,"&gt;0")+COUNTIF($Q109:S109,"&gt;0")+1&amp;", "&amp;$A109&amp;", "&amp;T109&amp;" UNION ALL","")</f>
        <v/>
      </c>
      <c r="Y109" s="5" t="str">
        <f t="shared" ca="1" si="10"/>
        <v>SELECT 121, 136, 7 UNION ALL</v>
      </c>
    </row>
    <row r="110" spans="1:25">
      <c r="A110">
        <v>137</v>
      </c>
      <c r="B110" t="s">
        <v>389</v>
      </c>
      <c r="C110">
        <v>1</v>
      </c>
      <c r="D110">
        <v>9</v>
      </c>
      <c r="E110">
        <v>1</v>
      </c>
      <c r="F110">
        <v>1</v>
      </c>
      <c r="G110" t="s">
        <v>390</v>
      </c>
      <c r="H110">
        <v>0</v>
      </c>
      <c r="I110">
        <v>0</v>
      </c>
      <c r="J110">
        <v>0</v>
      </c>
      <c r="L110" t="str">
        <f t="shared" si="7"/>
        <v>SELECT 137, N'Tunezja', 1, 9 UNION ALL</v>
      </c>
      <c r="M110" t="s">
        <v>558</v>
      </c>
      <c r="Q110" s="6">
        <f t="shared" ca="1" si="8"/>
        <v>7</v>
      </c>
      <c r="R110" s="6">
        <f t="shared" ca="1" si="9"/>
        <v>0</v>
      </c>
      <c r="U110" s="6" t="str">
        <f ca="1">IF(Q110&gt;0,"SELECT "&amp;COUNTIF($Q$1:$T109,"&gt;0")+1&amp;", "&amp;$A110&amp;", "&amp;Q110&amp;" UNION ALL","")</f>
        <v>SELECT 122, 137, 7 UNION ALL</v>
      </c>
      <c r="V110" s="6" t="str">
        <f ca="1">IF(R110&gt;0,"SELECT "&amp;COUNTIF($Q$1:$T109,"&gt;0")+COUNTIF($Q110:Q110,"&gt;0")+1&amp;", "&amp;$A110&amp;", "&amp;R110&amp;" UNION ALL","")</f>
        <v/>
      </c>
      <c r="W110" s="6" t="str">
        <f>IF(S110&gt;0,"SELECT "&amp;COUNTIF($Q$1:$T109,"&gt;0")+COUNTIF($Q110:R110,"&gt;0")+1&amp;", "&amp;$A110&amp;", "&amp;S110&amp;" UNION ALL","")</f>
        <v/>
      </c>
      <c r="X110" s="6" t="str">
        <f>IF(T110&gt;0,"SELECT "&amp;COUNTIF($Q$1:$T109,"&gt;0")+COUNTIF($Q110:S110,"&gt;0")+1&amp;", "&amp;$A110&amp;", "&amp;T110&amp;" UNION ALL","")</f>
        <v/>
      </c>
      <c r="Y110" s="5" t="str">
        <f t="shared" ca="1" si="10"/>
        <v>SELECT 122, 137, 7 UNION ALL</v>
      </c>
    </row>
    <row r="111" spans="1:25">
      <c r="A111">
        <v>138</v>
      </c>
      <c r="B111" t="s">
        <v>391</v>
      </c>
      <c r="C111">
        <v>1</v>
      </c>
      <c r="D111">
        <v>10</v>
      </c>
      <c r="E111">
        <v>1</v>
      </c>
      <c r="F111">
        <v>1</v>
      </c>
      <c r="G111" t="s">
        <v>392</v>
      </c>
      <c r="H111">
        <v>0</v>
      </c>
      <c r="I111">
        <v>0</v>
      </c>
      <c r="J111">
        <v>0</v>
      </c>
      <c r="L111" t="str">
        <f t="shared" si="7"/>
        <v>SELECT 138, N'Maroko', 1, 10 UNION ALL</v>
      </c>
      <c r="M111" t="s">
        <v>558</v>
      </c>
      <c r="Q111" s="6">
        <f t="shared" ca="1" si="8"/>
        <v>7</v>
      </c>
      <c r="R111" s="6">
        <f t="shared" ca="1" si="9"/>
        <v>0</v>
      </c>
      <c r="U111" s="6" t="str">
        <f ca="1">IF(Q111&gt;0,"SELECT "&amp;COUNTIF($Q$1:$T110,"&gt;0")+1&amp;", "&amp;$A111&amp;", "&amp;Q111&amp;" UNION ALL","")</f>
        <v>SELECT 123, 138, 7 UNION ALL</v>
      </c>
      <c r="V111" s="6" t="str">
        <f ca="1">IF(R111&gt;0,"SELECT "&amp;COUNTIF($Q$1:$T110,"&gt;0")+COUNTIF($Q111:Q111,"&gt;0")+1&amp;", "&amp;$A111&amp;", "&amp;R111&amp;" UNION ALL","")</f>
        <v/>
      </c>
      <c r="W111" s="6" t="str">
        <f>IF(S111&gt;0,"SELECT "&amp;COUNTIF($Q$1:$T110,"&gt;0")+COUNTIF($Q111:R111,"&gt;0")+1&amp;", "&amp;$A111&amp;", "&amp;S111&amp;" UNION ALL","")</f>
        <v/>
      </c>
      <c r="X111" s="6" t="str">
        <f>IF(T111&gt;0,"SELECT "&amp;COUNTIF($Q$1:$T110,"&gt;0")+COUNTIF($Q111:S111,"&gt;0")+1&amp;", "&amp;$A111&amp;", "&amp;T111&amp;" UNION ALL","")</f>
        <v/>
      </c>
      <c r="Y111" s="5" t="str">
        <f t="shared" ca="1" si="10"/>
        <v>SELECT 123, 138, 7 UNION ALL</v>
      </c>
    </row>
    <row r="112" spans="1:25">
      <c r="A112">
        <v>139</v>
      </c>
      <c r="B112" t="s">
        <v>393</v>
      </c>
      <c r="C112">
        <v>1</v>
      </c>
      <c r="D112">
        <v>8</v>
      </c>
      <c r="E112">
        <v>1</v>
      </c>
      <c r="F112">
        <v>1</v>
      </c>
      <c r="G112" t="s">
        <v>394</v>
      </c>
      <c r="H112">
        <v>0</v>
      </c>
      <c r="I112">
        <v>0</v>
      </c>
      <c r="J112">
        <v>0</v>
      </c>
      <c r="L112" t="str">
        <f t="shared" si="7"/>
        <v>SELECT 139, N'Algieria', 1, 8 UNION ALL</v>
      </c>
      <c r="M112" t="s">
        <v>558</v>
      </c>
      <c r="Q112" s="6">
        <f t="shared" ca="1" si="8"/>
        <v>7</v>
      </c>
      <c r="R112" s="6">
        <f t="shared" ca="1" si="9"/>
        <v>0</v>
      </c>
      <c r="U112" s="6" t="str">
        <f ca="1">IF(Q112&gt;0,"SELECT "&amp;COUNTIF($Q$1:$T111,"&gt;0")+1&amp;", "&amp;$A112&amp;", "&amp;Q112&amp;" UNION ALL","")</f>
        <v>SELECT 124, 139, 7 UNION ALL</v>
      </c>
      <c r="V112" s="6" t="str">
        <f ca="1">IF(R112&gt;0,"SELECT "&amp;COUNTIF($Q$1:$T111,"&gt;0")+COUNTIF($Q112:Q112,"&gt;0")+1&amp;", "&amp;$A112&amp;", "&amp;R112&amp;" UNION ALL","")</f>
        <v/>
      </c>
      <c r="W112" s="6" t="str">
        <f>IF(S112&gt;0,"SELECT "&amp;COUNTIF($Q$1:$T111,"&gt;0")+COUNTIF($Q112:R112,"&gt;0")+1&amp;", "&amp;$A112&amp;", "&amp;S112&amp;" UNION ALL","")</f>
        <v/>
      </c>
      <c r="X112" s="6" t="str">
        <f>IF(T112&gt;0,"SELECT "&amp;COUNTIF($Q$1:$T111,"&gt;0")+COUNTIF($Q112:S112,"&gt;0")+1&amp;", "&amp;$A112&amp;", "&amp;T112&amp;" UNION ALL","")</f>
        <v/>
      </c>
      <c r="Y112" s="5" t="str">
        <f t="shared" ca="1" si="10"/>
        <v>SELECT 124, 139, 7 UNION ALL</v>
      </c>
    </row>
    <row r="113" spans="1:25">
      <c r="A113">
        <v>140</v>
      </c>
      <c r="B113" t="s">
        <v>395</v>
      </c>
      <c r="C113">
        <v>1</v>
      </c>
      <c r="D113">
        <v>7</v>
      </c>
      <c r="E113">
        <v>1</v>
      </c>
      <c r="F113">
        <v>1</v>
      </c>
      <c r="G113" t="s">
        <v>396</v>
      </c>
      <c r="H113">
        <v>0</v>
      </c>
      <c r="I113">
        <v>0</v>
      </c>
      <c r="J113">
        <v>0</v>
      </c>
      <c r="L113" t="str">
        <f t="shared" si="7"/>
        <v>SELECT 140, N'Sudan', 1, 7 UNION ALL</v>
      </c>
      <c r="M113" t="s">
        <v>558</v>
      </c>
      <c r="Q113" s="6">
        <f t="shared" ca="1" si="8"/>
        <v>7</v>
      </c>
      <c r="R113" s="6">
        <f t="shared" ca="1" si="9"/>
        <v>0</v>
      </c>
      <c r="U113" s="6" t="str">
        <f ca="1">IF(Q113&gt;0,"SELECT "&amp;COUNTIF($Q$1:$T112,"&gt;0")+1&amp;", "&amp;$A113&amp;", "&amp;Q113&amp;" UNION ALL","")</f>
        <v>SELECT 125, 140, 7 UNION ALL</v>
      </c>
      <c r="V113" s="6" t="str">
        <f ca="1">IF(R113&gt;0,"SELECT "&amp;COUNTIF($Q$1:$T112,"&gt;0")+COUNTIF($Q113:Q113,"&gt;0")+1&amp;", "&amp;$A113&amp;", "&amp;R113&amp;" UNION ALL","")</f>
        <v/>
      </c>
      <c r="W113" s="6" t="str">
        <f>IF(S113&gt;0,"SELECT "&amp;COUNTIF($Q$1:$T112,"&gt;0")+COUNTIF($Q113:R113,"&gt;0")+1&amp;", "&amp;$A113&amp;", "&amp;S113&amp;" UNION ALL","")</f>
        <v/>
      </c>
      <c r="X113" s="6" t="str">
        <f>IF(T113&gt;0,"SELECT "&amp;COUNTIF($Q$1:$T112,"&gt;0")+COUNTIF($Q113:S113,"&gt;0")+1&amp;", "&amp;$A113&amp;", "&amp;T113&amp;" UNION ALL","")</f>
        <v/>
      </c>
      <c r="Y113" s="5" t="str">
        <f t="shared" ca="1" si="10"/>
        <v>SELECT 125, 140, 7 UNION ALL</v>
      </c>
    </row>
    <row r="114" spans="1:25">
      <c r="A114">
        <v>141</v>
      </c>
      <c r="B114" t="s">
        <v>397</v>
      </c>
      <c r="C114">
        <v>1</v>
      </c>
      <c r="D114">
        <v>8</v>
      </c>
      <c r="E114">
        <v>1</v>
      </c>
      <c r="F114">
        <v>1</v>
      </c>
      <c r="G114" t="s">
        <v>398</v>
      </c>
      <c r="H114">
        <v>0</v>
      </c>
      <c r="I114">
        <v>0</v>
      </c>
      <c r="J114">
        <v>0</v>
      </c>
      <c r="L114" t="str">
        <f t="shared" si="7"/>
        <v>SELECT 141, N'Etiopia', 1, 8 UNION ALL</v>
      </c>
      <c r="M114" t="s">
        <v>558</v>
      </c>
      <c r="Q114" s="6">
        <f t="shared" ca="1" si="8"/>
        <v>7</v>
      </c>
      <c r="R114" s="6">
        <f t="shared" ca="1" si="9"/>
        <v>0</v>
      </c>
      <c r="U114" s="6" t="str">
        <f ca="1">IF(Q114&gt;0,"SELECT "&amp;COUNTIF($Q$1:$T113,"&gt;0")+1&amp;", "&amp;$A114&amp;", "&amp;Q114&amp;" UNION ALL","")</f>
        <v>SELECT 126, 141, 7 UNION ALL</v>
      </c>
      <c r="V114" s="6" t="str">
        <f ca="1">IF(R114&gt;0,"SELECT "&amp;COUNTIF($Q$1:$T113,"&gt;0")+COUNTIF($Q114:Q114,"&gt;0")+1&amp;", "&amp;$A114&amp;", "&amp;R114&amp;" UNION ALL","")</f>
        <v/>
      </c>
      <c r="W114" s="6" t="str">
        <f>IF(S114&gt;0,"SELECT "&amp;COUNTIF($Q$1:$T113,"&gt;0")+COUNTIF($Q114:R114,"&gt;0")+1&amp;", "&amp;$A114&amp;", "&amp;S114&amp;" UNION ALL","")</f>
        <v/>
      </c>
      <c r="X114" s="6" t="str">
        <f>IF(T114&gt;0,"SELECT "&amp;COUNTIF($Q$1:$T113,"&gt;0")+COUNTIF($Q114:S114,"&gt;0")+1&amp;", "&amp;$A114&amp;", "&amp;T114&amp;" UNION ALL","")</f>
        <v/>
      </c>
      <c r="Y114" s="5" t="str">
        <f t="shared" ca="1" si="10"/>
        <v>SELECT 126, 141, 7 UNION ALL</v>
      </c>
    </row>
    <row r="115" spans="1:25">
      <c r="A115">
        <v>142</v>
      </c>
      <c r="B115" t="s">
        <v>399</v>
      </c>
      <c r="C115">
        <v>1</v>
      </c>
      <c r="D115">
        <v>2</v>
      </c>
      <c r="E115">
        <v>1</v>
      </c>
      <c r="F115">
        <v>1</v>
      </c>
      <c r="G115" t="s">
        <v>400</v>
      </c>
      <c r="H115">
        <v>0</v>
      </c>
      <c r="I115">
        <v>0</v>
      </c>
      <c r="J115">
        <v>0</v>
      </c>
      <c r="L115" t="str">
        <f t="shared" si="7"/>
        <v>SELECT 142, N'Erytrea', 1, 2 UNION ALL</v>
      </c>
      <c r="M115" t="s">
        <v>558</v>
      </c>
      <c r="Q115" s="6">
        <f t="shared" ca="1" si="8"/>
        <v>7</v>
      </c>
      <c r="R115" s="6">
        <f t="shared" ca="1" si="9"/>
        <v>0</v>
      </c>
      <c r="U115" s="6" t="str">
        <f ca="1">IF(Q115&gt;0,"SELECT "&amp;COUNTIF($Q$1:$T114,"&gt;0")+1&amp;", "&amp;$A115&amp;", "&amp;Q115&amp;" UNION ALL","")</f>
        <v>SELECT 127, 142, 7 UNION ALL</v>
      </c>
      <c r="V115" s="6" t="str">
        <f ca="1">IF(R115&gt;0,"SELECT "&amp;COUNTIF($Q$1:$T114,"&gt;0")+COUNTIF($Q115:Q115,"&gt;0")+1&amp;", "&amp;$A115&amp;", "&amp;R115&amp;" UNION ALL","")</f>
        <v/>
      </c>
      <c r="W115" s="6" t="str">
        <f>IF(S115&gt;0,"SELECT "&amp;COUNTIF($Q$1:$T114,"&gt;0")+COUNTIF($Q115:R115,"&gt;0")+1&amp;", "&amp;$A115&amp;", "&amp;S115&amp;" UNION ALL","")</f>
        <v/>
      </c>
      <c r="X115" s="6" t="str">
        <f>IF(T115&gt;0,"SELECT "&amp;COUNTIF($Q$1:$T114,"&gt;0")+COUNTIF($Q115:S115,"&gt;0")+1&amp;", "&amp;$A115&amp;", "&amp;T115&amp;" UNION ALL","")</f>
        <v/>
      </c>
      <c r="Y115" s="5" t="str">
        <f t="shared" ca="1" si="10"/>
        <v>SELECT 127, 142, 7 UNION ALL</v>
      </c>
    </row>
    <row r="116" spans="1:25">
      <c r="A116">
        <v>143</v>
      </c>
      <c r="B116" t="s">
        <v>401</v>
      </c>
      <c r="C116">
        <v>1</v>
      </c>
      <c r="D116">
        <v>2</v>
      </c>
      <c r="E116">
        <v>1</v>
      </c>
      <c r="F116">
        <v>1</v>
      </c>
      <c r="G116" t="s">
        <v>402</v>
      </c>
      <c r="H116">
        <v>0</v>
      </c>
      <c r="I116">
        <v>0</v>
      </c>
      <c r="J116">
        <v>0</v>
      </c>
      <c r="L116" t="str">
        <f t="shared" si="7"/>
        <v>SELECT 143, N'Dżibuti', 1, 2 UNION ALL</v>
      </c>
      <c r="M116" t="s">
        <v>558</v>
      </c>
      <c r="Q116" s="6">
        <f t="shared" ca="1" si="8"/>
        <v>7</v>
      </c>
      <c r="R116" s="6">
        <f t="shared" ca="1" si="9"/>
        <v>0</v>
      </c>
      <c r="U116" s="6" t="str">
        <f ca="1">IF(Q116&gt;0,"SELECT "&amp;COUNTIF($Q$1:$T115,"&gt;0")+1&amp;", "&amp;$A116&amp;", "&amp;Q116&amp;" UNION ALL","")</f>
        <v>SELECT 128, 143, 7 UNION ALL</v>
      </c>
      <c r="V116" s="6" t="str">
        <f ca="1">IF(R116&gt;0,"SELECT "&amp;COUNTIF($Q$1:$T115,"&gt;0")+COUNTIF($Q116:Q116,"&gt;0")+1&amp;", "&amp;$A116&amp;", "&amp;R116&amp;" UNION ALL","")</f>
        <v/>
      </c>
      <c r="W116" s="6" t="str">
        <f>IF(S116&gt;0,"SELECT "&amp;COUNTIF($Q$1:$T115,"&gt;0")+COUNTIF($Q116:R116,"&gt;0")+1&amp;", "&amp;$A116&amp;", "&amp;S116&amp;" UNION ALL","")</f>
        <v/>
      </c>
      <c r="X116" s="6" t="str">
        <f>IF(T116&gt;0,"SELECT "&amp;COUNTIF($Q$1:$T115,"&gt;0")+COUNTIF($Q116:S116,"&gt;0")+1&amp;", "&amp;$A116&amp;", "&amp;T116&amp;" UNION ALL","")</f>
        <v/>
      </c>
      <c r="Y116" s="5" t="str">
        <f t="shared" ca="1" si="10"/>
        <v>SELECT 128, 143, 7 UNION ALL</v>
      </c>
    </row>
    <row r="117" spans="1:25">
      <c r="A117">
        <v>144</v>
      </c>
      <c r="B117" t="s">
        <v>403</v>
      </c>
      <c r="C117">
        <v>1</v>
      </c>
      <c r="D117">
        <v>2</v>
      </c>
      <c r="E117">
        <v>1</v>
      </c>
      <c r="F117">
        <v>1</v>
      </c>
      <c r="G117" t="s">
        <v>404</v>
      </c>
      <c r="H117">
        <v>0</v>
      </c>
      <c r="I117">
        <v>0</v>
      </c>
      <c r="J117">
        <v>0</v>
      </c>
      <c r="L117" t="str">
        <f t="shared" si="7"/>
        <v>SELECT 144, N'Czad', 1, 2 UNION ALL</v>
      </c>
      <c r="M117" t="s">
        <v>558</v>
      </c>
      <c r="Q117" s="6">
        <f t="shared" ca="1" si="8"/>
        <v>7</v>
      </c>
      <c r="R117" s="6">
        <f t="shared" ca="1" si="9"/>
        <v>0</v>
      </c>
      <c r="U117" s="6" t="str">
        <f ca="1">IF(Q117&gt;0,"SELECT "&amp;COUNTIF($Q$1:$T116,"&gt;0")+1&amp;", "&amp;$A117&amp;", "&amp;Q117&amp;" UNION ALL","")</f>
        <v>SELECT 129, 144, 7 UNION ALL</v>
      </c>
      <c r="V117" s="6" t="str">
        <f ca="1">IF(R117&gt;0,"SELECT "&amp;COUNTIF($Q$1:$T116,"&gt;0")+COUNTIF($Q117:Q117,"&gt;0")+1&amp;", "&amp;$A117&amp;", "&amp;R117&amp;" UNION ALL","")</f>
        <v/>
      </c>
      <c r="W117" s="6" t="str">
        <f>IF(S117&gt;0,"SELECT "&amp;COUNTIF($Q$1:$T116,"&gt;0")+COUNTIF($Q117:R117,"&gt;0")+1&amp;", "&amp;$A117&amp;", "&amp;S117&amp;" UNION ALL","")</f>
        <v/>
      </c>
      <c r="X117" s="6" t="str">
        <f>IF(T117&gt;0,"SELECT "&amp;COUNTIF($Q$1:$T116,"&gt;0")+COUNTIF($Q117:S117,"&gt;0")+1&amp;", "&amp;$A117&amp;", "&amp;T117&amp;" UNION ALL","")</f>
        <v/>
      </c>
      <c r="Y117" s="5" t="str">
        <f t="shared" ca="1" si="10"/>
        <v>SELECT 129, 144, 7 UNION ALL</v>
      </c>
    </row>
    <row r="118" spans="1:25">
      <c r="A118">
        <v>145</v>
      </c>
      <c r="B118" t="s">
        <v>405</v>
      </c>
      <c r="C118">
        <v>1</v>
      </c>
      <c r="D118">
        <v>2</v>
      </c>
      <c r="E118">
        <v>1</v>
      </c>
      <c r="F118">
        <v>1</v>
      </c>
      <c r="G118" t="s">
        <v>406</v>
      </c>
      <c r="H118">
        <v>0</v>
      </c>
      <c r="I118">
        <v>0</v>
      </c>
      <c r="J118">
        <v>0</v>
      </c>
      <c r="L118" t="str">
        <f t="shared" si="7"/>
        <v>SELECT 145, N'Mauretania', 1, 2 UNION ALL</v>
      </c>
      <c r="M118" t="s">
        <v>558</v>
      </c>
      <c r="Q118" s="6">
        <f t="shared" ca="1" si="8"/>
        <v>7</v>
      </c>
      <c r="R118" s="6">
        <f t="shared" ca="1" si="9"/>
        <v>0</v>
      </c>
      <c r="U118" s="6" t="str">
        <f ca="1">IF(Q118&gt;0,"SELECT "&amp;COUNTIF($Q$1:$T117,"&gt;0")+1&amp;", "&amp;$A118&amp;", "&amp;Q118&amp;" UNION ALL","")</f>
        <v>SELECT 130, 145, 7 UNION ALL</v>
      </c>
      <c r="V118" s="6" t="str">
        <f ca="1">IF(R118&gt;0,"SELECT "&amp;COUNTIF($Q$1:$T117,"&gt;0")+COUNTIF($Q118:Q118,"&gt;0")+1&amp;", "&amp;$A118&amp;", "&amp;R118&amp;" UNION ALL","")</f>
        <v/>
      </c>
      <c r="W118" s="6" t="str">
        <f>IF(S118&gt;0,"SELECT "&amp;COUNTIF($Q$1:$T117,"&gt;0")+COUNTIF($Q118:R118,"&gt;0")+1&amp;", "&amp;$A118&amp;", "&amp;S118&amp;" UNION ALL","")</f>
        <v/>
      </c>
      <c r="X118" s="6" t="str">
        <f>IF(T118&gt;0,"SELECT "&amp;COUNTIF($Q$1:$T117,"&gt;0")+COUNTIF($Q118:S118,"&gt;0")+1&amp;", "&amp;$A118&amp;", "&amp;T118&amp;" UNION ALL","")</f>
        <v/>
      </c>
      <c r="Y118" s="5" t="str">
        <f t="shared" ca="1" si="10"/>
        <v>SELECT 130, 145, 7 UNION ALL</v>
      </c>
    </row>
    <row r="119" spans="1:25">
      <c r="A119">
        <v>146</v>
      </c>
      <c r="B119" t="s">
        <v>407</v>
      </c>
      <c r="C119">
        <v>1</v>
      </c>
      <c r="D119">
        <v>3</v>
      </c>
      <c r="E119">
        <v>1</v>
      </c>
      <c r="F119">
        <v>1</v>
      </c>
      <c r="G119" t="s">
        <v>408</v>
      </c>
      <c r="H119">
        <v>0</v>
      </c>
      <c r="I119">
        <v>0</v>
      </c>
      <c r="J119">
        <v>0</v>
      </c>
      <c r="L119" t="str">
        <f t="shared" si="7"/>
        <v>SELECT 146, N'Burkina Faso', 1, 3 UNION ALL</v>
      </c>
      <c r="M119" t="s">
        <v>558</v>
      </c>
      <c r="Q119" s="6">
        <f t="shared" ca="1" si="8"/>
        <v>7</v>
      </c>
      <c r="R119" s="6">
        <f t="shared" ca="1" si="9"/>
        <v>0</v>
      </c>
      <c r="U119" s="6" t="str">
        <f ca="1">IF(Q119&gt;0,"SELECT "&amp;COUNTIF($Q$1:$T118,"&gt;0")+1&amp;", "&amp;$A119&amp;", "&amp;Q119&amp;" UNION ALL","")</f>
        <v>SELECT 131, 146, 7 UNION ALL</v>
      </c>
      <c r="V119" s="6" t="str">
        <f ca="1">IF(R119&gt;0,"SELECT "&amp;COUNTIF($Q$1:$T118,"&gt;0")+COUNTIF($Q119:Q119,"&gt;0")+1&amp;", "&amp;$A119&amp;", "&amp;R119&amp;" UNION ALL","")</f>
        <v/>
      </c>
      <c r="W119" s="6" t="str">
        <f>IF(S119&gt;0,"SELECT "&amp;COUNTIF($Q$1:$T118,"&gt;0")+COUNTIF($Q119:R119,"&gt;0")+1&amp;", "&amp;$A119&amp;", "&amp;S119&amp;" UNION ALL","")</f>
        <v/>
      </c>
      <c r="X119" s="6" t="str">
        <f>IF(T119&gt;0,"SELECT "&amp;COUNTIF($Q$1:$T118,"&gt;0")+COUNTIF($Q119:S119,"&gt;0")+1&amp;", "&amp;$A119&amp;", "&amp;T119&amp;" UNION ALL","")</f>
        <v/>
      </c>
      <c r="Y119" s="5" t="str">
        <f t="shared" ca="1" si="10"/>
        <v>SELECT 131, 146, 7 UNION ALL</v>
      </c>
    </row>
    <row r="120" spans="1:25">
      <c r="A120">
        <v>147</v>
      </c>
      <c r="B120" t="s">
        <v>409</v>
      </c>
      <c r="C120">
        <v>1</v>
      </c>
      <c r="D120">
        <v>4</v>
      </c>
      <c r="E120">
        <v>1</v>
      </c>
      <c r="F120">
        <v>1</v>
      </c>
      <c r="G120" t="s">
        <v>410</v>
      </c>
      <c r="H120">
        <v>0</v>
      </c>
      <c r="I120">
        <v>0</v>
      </c>
      <c r="J120">
        <v>0</v>
      </c>
      <c r="L120" t="str">
        <f t="shared" si="7"/>
        <v>SELECT 147, N'Mali', 1, 4 UNION ALL</v>
      </c>
      <c r="M120" t="s">
        <v>558</v>
      </c>
      <c r="Q120" s="6">
        <f t="shared" ca="1" si="8"/>
        <v>7</v>
      </c>
      <c r="R120" s="6">
        <f t="shared" ca="1" si="9"/>
        <v>0</v>
      </c>
      <c r="U120" s="6" t="str">
        <f ca="1">IF(Q120&gt;0,"SELECT "&amp;COUNTIF($Q$1:$T119,"&gt;0")+1&amp;", "&amp;$A120&amp;", "&amp;Q120&amp;" UNION ALL","")</f>
        <v>SELECT 132, 147, 7 UNION ALL</v>
      </c>
      <c r="V120" s="6" t="str">
        <f ca="1">IF(R120&gt;0,"SELECT "&amp;COUNTIF($Q$1:$T119,"&gt;0")+COUNTIF($Q120:Q120,"&gt;0")+1&amp;", "&amp;$A120&amp;", "&amp;R120&amp;" UNION ALL","")</f>
        <v/>
      </c>
      <c r="W120" s="6" t="str">
        <f>IF(S120&gt;0,"SELECT "&amp;COUNTIF($Q$1:$T119,"&gt;0")+COUNTIF($Q120:R120,"&gt;0")+1&amp;", "&amp;$A120&amp;", "&amp;S120&amp;" UNION ALL","")</f>
        <v/>
      </c>
      <c r="X120" s="6" t="str">
        <f>IF(T120&gt;0,"SELECT "&amp;COUNTIF($Q$1:$T119,"&gt;0")+COUNTIF($Q120:S120,"&gt;0")+1&amp;", "&amp;$A120&amp;", "&amp;T120&amp;" UNION ALL","")</f>
        <v/>
      </c>
      <c r="Y120" s="5" t="str">
        <f t="shared" ca="1" si="10"/>
        <v>SELECT 132, 147, 7 UNION ALL</v>
      </c>
    </row>
    <row r="121" spans="1:25">
      <c r="A121">
        <v>148</v>
      </c>
      <c r="B121" t="s">
        <v>411</v>
      </c>
      <c r="C121">
        <v>1</v>
      </c>
      <c r="D121">
        <v>8</v>
      </c>
      <c r="E121">
        <v>1</v>
      </c>
      <c r="F121">
        <v>1</v>
      </c>
      <c r="G121" t="s">
        <v>412</v>
      </c>
      <c r="H121">
        <v>0</v>
      </c>
      <c r="I121">
        <v>0</v>
      </c>
      <c r="J121">
        <v>0</v>
      </c>
      <c r="L121" t="str">
        <f t="shared" si="7"/>
        <v>SELECT 148, N'Senegal', 1, 8 UNION ALL</v>
      </c>
      <c r="M121" t="s">
        <v>558</v>
      </c>
      <c r="Q121" s="6">
        <f t="shared" ca="1" si="8"/>
        <v>7</v>
      </c>
      <c r="R121" s="6">
        <f t="shared" ca="1" si="9"/>
        <v>0</v>
      </c>
      <c r="U121" s="6" t="str">
        <f ca="1">IF(Q121&gt;0,"SELECT "&amp;COUNTIF($Q$1:$T120,"&gt;0")+1&amp;", "&amp;$A121&amp;", "&amp;Q121&amp;" UNION ALL","")</f>
        <v>SELECT 133, 148, 7 UNION ALL</v>
      </c>
      <c r="V121" s="6" t="str">
        <f ca="1">IF(R121&gt;0,"SELECT "&amp;COUNTIF($Q$1:$T120,"&gt;0")+COUNTIF($Q121:Q121,"&gt;0")+1&amp;", "&amp;$A121&amp;", "&amp;R121&amp;" UNION ALL","")</f>
        <v/>
      </c>
      <c r="W121" s="6" t="str">
        <f>IF(S121&gt;0,"SELECT "&amp;COUNTIF($Q$1:$T120,"&gt;0")+COUNTIF($Q121:R121,"&gt;0")+1&amp;", "&amp;$A121&amp;", "&amp;S121&amp;" UNION ALL","")</f>
        <v/>
      </c>
      <c r="X121" s="6" t="str">
        <f>IF(T121&gt;0,"SELECT "&amp;COUNTIF($Q$1:$T120,"&gt;0")+COUNTIF($Q121:S121,"&gt;0")+1&amp;", "&amp;$A121&amp;", "&amp;T121&amp;" UNION ALL","")</f>
        <v/>
      </c>
      <c r="Y121" s="5" t="str">
        <f t="shared" ca="1" si="10"/>
        <v>SELECT 133, 148, 7 UNION ALL</v>
      </c>
    </row>
    <row r="122" spans="1:25">
      <c r="A122">
        <v>149</v>
      </c>
      <c r="B122" t="s">
        <v>413</v>
      </c>
      <c r="C122">
        <v>1</v>
      </c>
      <c r="D122">
        <v>2</v>
      </c>
      <c r="E122">
        <v>1</v>
      </c>
      <c r="F122">
        <v>1</v>
      </c>
      <c r="G122" t="s">
        <v>414</v>
      </c>
      <c r="H122">
        <v>0</v>
      </c>
      <c r="I122">
        <v>0</v>
      </c>
      <c r="J122">
        <v>0</v>
      </c>
      <c r="L122" t="str">
        <f t="shared" si="7"/>
        <v>SELECT 149, N'Gambia', 1, 2 UNION ALL</v>
      </c>
      <c r="M122" t="s">
        <v>558</v>
      </c>
      <c r="Q122" s="6">
        <f t="shared" ca="1" si="8"/>
        <v>7</v>
      </c>
      <c r="R122" s="6">
        <f t="shared" ca="1" si="9"/>
        <v>0</v>
      </c>
      <c r="U122" s="6" t="str">
        <f ca="1">IF(Q122&gt;0,"SELECT "&amp;COUNTIF($Q$1:$T121,"&gt;0")+1&amp;", "&amp;$A122&amp;", "&amp;Q122&amp;" UNION ALL","")</f>
        <v>SELECT 134, 149, 7 UNION ALL</v>
      </c>
      <c r="V122" s="6" t="str">
        <f ca="1">IF(R122&gt;0,"SELECT "&amp;COUNTIF($Q$1:$T121,"&gt;0")+COUNTIF($Q122:Q122,"&gt;0")+1&amp;", "&amp;$A122&amp;", "&amp;R122&amp;" UNION ALL","")</f>
        <v/>
      </c>
      <c r="W122" s="6" t="str">
        <f>IF(S122&gt;0,"SELECT "&amp;COUNTIF($Q$1:$T121,"&gt;0")+COUNTIF($Q122:R122,"&gt;0")+1&amp;", "&amp;$A122&amp;", "&amp;S122&amp;" UNION ALL","")</f>
        <v/>
      </c>
      <c r="X122" s="6" t="str">
        <f>IF(T122&gt;0,"SELECT "&amp;COUNTIF($Q$1:$T121,"&gt;0")+COUNTIF($Q122:S122,"&gt;0")+1&amp;", "&amp;$A122&amp;", "&amp;T122&amp;" UNION ALL","")</f>
        <v/>
      </c>
      <c r="Y122" s="5" t="str">
        <f t="shared" ca="1" si="10"/>
        <v>SELECT 134, 149, 7 UNION ALL</v>
      </c>
    </row>
    <row r="123" spans="1:25">
      <c r="A123">
        <v>150</v>
      </c>
      <c r="B123" t="s">
        <v>415</v>
      </c>
      <c r="C123">
        <v>1</v>
      </c>
      <c r="D123">
        <v>3</v>
      </c>
      <c r="E123">
        <v>1</v>
      </c>
      <c r="F123">
        <v>1</v>
      </c>
      <c r="G123" t="s">
        <v>416</v>
      </c>
      <c r="H123">
        <v>0</v>
      </c>
      <c r="I123">
        <v>0</v>
      </c>
      <c r="J123">
        <v>0</v>
      </c>
      <c r="L123" t="str">
        <f t="shared" si="7"/>
        <v>SELECT 150, N'Gwinea', 1, 3 UNION ALL</v>
      </c>
      <c r="M123" t="s">
        <v>558</v>
      </c>
      <c r="Q123" s="6">
        <f t="shared" ca="1" si="8"/>
        <v>7</v>
      </c>
      <c r="R123" s="6">
        <f t="shared" ca="1" si="9"/>
        <v>0</v>
      </c>
      <c r="U123" s="6" t="str">
        <f ca="1">IF(Q123&gt;0,"SELECT "&amp;COUNTIF($Q$1:$T122,"&gt;0")+1&amp;", "&amp;$A123&amp;", "&amp;Q123&amp;" UNION ALL","")</f>
        <v>SELECT 135, 150, 7 UNION ALL</v>
      </c>
      <c r="V123" s="6" t="str">
        <f ca="1">IF(R123&gt;0,"SELECT "&amp;COUNTIF($Q$1:$T122,"&gt;0")+COUNTIF($Q123:Q123,"&gt;0")+1&amp;", "&amp;$A123&amp;", "&amp;R123&amp;" UNION ALL","")</f>
        <v/>
      </c>
      <c r="W123" s="6" t="str">
        <f>IF(S123&gt;0,"SELECT "&amp;COUNTIF($Q$1:$T122,"&gt;0")+COUNTIF($Q123:R123,"&gt;0")+1&amp;", "&amp;$A123&amp;", "&amp;S123&amp;" UNION ALL","")</f>
        <v/>
      </c>
      <c r="X123" s="6" t="str">
        <f>IF(T123&gt;0,"SELECT "&amp;COUNTIF($Q$1:$T122,"&gt;0")+COUNTIF($Q123:S123,"&gt;0")+1&amp;", "&amp;$A123&amp;", "&amp;T123&amp;" UNION ALL","")</f>
        <v/>
      </c>
      <c r="Y123" s="5" t="str">
        <f t="shared" ca="1" si="10"/>
        <v>SELECT 135, 150, 7 UNION ALL</v>
      </c>
    </row>
    <row r="124" spans="1:25">
      <c r="A124">
        <v>151</v>
      </c>
      <c r="B124" t="s">
        <v>417</v>
      </c>
      <c r="C124">
        <v>1</v>
      </c>
      <c r="D124">
        <v>5</v>
      </c>
      <c r="E124">
        <v>1</v>
      </c>
      <c r="F124">
        <v>1</v>
      </c>
      <c r="G124" t="s">
        <v>418</v>
      </c>
      <c r="H124">
        <v>0</v>
      </c>
      <c r="I124">
        <v>0</v>
      </c>
      <c r="J124">
        <v>0</v>
      </c>
      <c r="L124" t="str">
        <f t="shared" si="7"/>
        <v>SELECT 151, N'Ghana', 1, 5 UNION ALL</v>
      </c>
      <c r="M124" t="s">
        <v>558</v>
      </c>
      <c r="Q124" s="6">
        <f t="shared" ca="1" si="8"/>
        <v>7</v>
      </c>
      <c r="R124" s="6">
        <f t="shared" ca="1" si="9"/>
        <v>0</v>
      </c>
      <c r="U124" s="6" t="str">
        <f ca="1">IF(Q124&gt;0,"SELECT "&amp;COUNTIF($Q$1:$T123,"&gt;0")+1&amp;", "&amp;$A124&amp;", "&amp;Q124&amp;" UNION ALL","")</f>
        <v>SELECT 136, 151, 7 UNION ALL</v>
      </c>
      <c r="V124" s="6" t="str">
        <f ca="1">IF(R124&gt;0,"SELECT "&amp;COUNTIF($Q$1:$T123,"&gt;0")+COUNTIF($Q124:Q124,"&gt;0")+1&amp;", "&amp;$A124&amp;", "&amp;R124&amp;" UNION ALL","")</f>
        <v/>
      </c>
      <c r="W124" s="6" t="str">
        <f>IF(S124&gt;0,"SELECT "&amp;COUNTIF($Q$1:$T123,"&gt;0")+COUNTIF($Q124:R124,"&gt;0")+1&amp;", "&amp;$A124&amp;", "&amp;S124&amp;" UNION ALL","")</f>
        <v/>
      </c>
      <c r="X124" s="6" t="str">
        <f>IF(T124&gt;0,"SELECT "&amp;COUNTIF($Q$1:$T123,"&gt;0")+COUNTIF($Q124:S124,"&gt;0")+1&amp;", "&amp;$A124&amp;", "&amp;T124&amp;" UNION ALL","")</f>
        <v/>
      </c>
      <c r="Y124" s="5" t="str">
        <f t="shared" ca="1" si="10"/>
        <v>SELECT 136, 151, 7 UNION ALL</v>
      </c>
    </row>
    <row r="125" spans="1:25">
      <c r="A125">
        <v>152</v>
      </c>
      <c r="B125" t="s">
        <v>419</v>
      </c>
      <c r="C125">
        <v>1</v>
      </c>
      <c r="D125">
        <v>7</v>
      </c>
      <c r="E125">
        <v>1</v>
      </c>
      <c r="F125">
        <v>1</v>
      </c>
      <c r="G125" t="s">
        <v>420</v>
      </c>
      <c r="H125">
        <v>0</v>
      </c>
      <c r="I125">
        <v>0</v>
      </c>
      <c r="J125">
        <v>0</v>
      </c>
      <c r="L125" t="str">
        <f t="shared" si="7"/>
        <v>SELECT 152, N'Somalia', 1, 7 UNION ALL</v>
      </c>
      <c r="M125" t="s">
        <v>558</v>
      </c>
      <c r="Q125" s="6">
        <f t="shared" ca="1" si="8"/>
        <v>7</v>
      </c>
      <c r="R125" s="6">
        <f t="shared" ca="1" si="9"/>
        <v>0</v>
      </c>
      <c r="U125" s="6" t="str">
        <f ca="1">IF(Q125&gt;0,"SELECT "&amp;COUNTIF($Q$1:$T124,"&gt;0")+1&amp;", "&amp;$A125&amp;", "&amp;Q125&amp;" UNION ALL","")</f>
        <v>SELECT 137, 152, 7 UNION ALL</v>
      </c>
      <c r="V125" s="6" t="str">
        <f ca="1">IF(R125&gt;0,"SELECT "&amp;COUNTIF($Q$1:$T124,"&gt;0")+COUNTIF($Q125:Q125,"&gt;0")+1&amp;", "&amp;$A125&amp;", "&amp;R125&amp;" UNION ALL","")</f>
        <v/>
      </c>
      <c r="W125" s="6" t="str">
        <f>IF(S125&gt;0,"SELECT "&amp;COUNTIF($Q$1:$T124,"&gt;0")+COUNTIF($Q125:R125,"&gt;0")+1&amp;", "&amp;$A125&amp;", "&amp;S125&amp;" UNION ALL","")</f>
        <v/>
      </c>
      <c r="X125" s="6" t="str">
        <f>IF(T125&gt;0,"SELECT "&amp;COUNTIF($Q$1:$T124,"&gt;0")+COUNTIF($Q125:S125,"&gt;0")+1&amp;", "&amp;$A125&amp;", "&amp;T125&amp;" UNION ALL","")</f>
        <v/>
      </c>
      <c r="Y125" s="5" t="str">
        <f t="shared" ca="1" si="10"/>
        <v>SELECT 137, 152, 7 UNION ALL</v>
      </c>
    </row>
    <row r="126" spans="1:25">
      <c r="A126">
        <v>153</v>
      </c>
      <c r="B126" t="s">
        <v>421</v>
      </c>
      <c r="C126">
        <v>1</v>
      </c>
      <c r="D126">
        <v>6</v>
      </c>
      <c r="E126">
        <v>1</v>
      </c>
      <c r="F126">
        <v>1</v>
      </c>
      <c r="G126" t="s">
        <v>422</v>
      </c>
      <c r="H126">
        <v>0</v>
      </c>
      <c r="I126">
        <v>0</v>
      </c>
      <c r="J126">
        <v>0</v>
      </c>
      <c r="L126" t="str">
        <f t="shared" si="7"/>
        <v>SELECT 153, N'Wybrzeże Kości Słoniowej', 1, 6 UNION ALL</v>
      </c>
      <c r="M126" t="s">
        <v>558</v>
      </c>
      <c r="Q126" s="6">
        <f t="shared" ca="1" si="8"/>
        <v>7</v>
      </c>
      <c r="R126" s="6">
        <f t="shared" ca="1" si="9"/>
        <v>0</v>
      </c>
      <c r="U126" s="6" t="str">
        <f ca="1">IF(Q126&gt;0,"SELECT "&amp;COUNTIF($Q$1:$T125,"&gt;0")+1&amp;", "&amp;$A126&amp;", "&amp;Q126&amp;" UNION ALL","")</f>
        <v>SELECT 138, 153, 7 UNION ALL</v>
      </c>
      <c r="V126" s="6" t="str">
        <f ca="1">IF(R126&gt;0,"SELECT "&amp;COUNTIF($Q$1:$T125,"&gt;0")+COUNTIF($Q126:Q126,"&gt;0")+1&amp;", "&amp;$A126&amp;", "&amp;R126&amp;" UNION ALL","")</f>
        <v/>
      </c>
      <c r="W126" s="6" t="str">
        <f>IF(S126&gt;0,"SELECT "&amp;COUNTIF($Q$1:$T125,"&gt;0")+COUNTIF($Q126:R126,"&gt;0")+1&amp;", "&amp;$A126&amp;", "&amp;S126&amp;" UNION ALL","")</f>
        <v/>
      </c>
      <c r="X126" s="6" t="str">
        <f>IF(T126&gt;0,"SELECT "&amp;COUNTIF($Q$1:$T125,"&gt;0")+COUNTIF($Q126:S126,"&gt;0")+1&amp;", "&amp;$A126&amp;", "&amp;T126&amp;" UNION ALL","")</f>
        <v/>
      </c>
      <c r="Y126" s="5" t="str">
        <f t="shared" ca="1" si="10"/>
        <v>SELECT 138, 153, 7 UNION ALL</v>
      </c>
    </row>
    <row r="127" spans="1:25">
      <c r="A127">
        <v>154</v>
      </c>
      <c r="B127" t="s">
        <v>423</v>
      </c>
      <c r="C127">
        <v>1</v>
      </c>
      <c r="D127">
        <v>3</v>
      </c>
      <c r="E127">
        <v>1</v>
      </c>
      <c r="F127">
        <v>1</v>
      </c>
      <c r="G127" t="s">
        <v>424</v>
      </c>
      <c r="H127">
        <v>0</v>
      </c>
      <c r="I127">
        <v>0</v>
      </c>
      <c r="J127">
        <v>0</v>
      </c>
      <c r="L127" t="str">
        <f t="shared" si="7"/>
        <v>SELECT 154, N'Togo', 1, 3 UNION ALL</v>
      </c>
      <c r="M127" t="s">
        <v>558</v>
      </c>
      <c r="Q127" s="6">
        <f t="shared" ca="1" si="8"/>
        <v>7</v>
      </c>
      <c r="R127" s="6">
        <f t="shared" ca="1" si="9"/>
        <v>0</v>
      </c>
      <c r="U127" s="6" t="str">
        <f ca="1">IF(Q127&gt;0,"SELECT "&amp;COUNTIF($Q$1:$T126,"&gt;0")+1&amp;", "&amp;$A127&amp;", "&amp;Q127&amp;" UNION ALL","")</f>
        <v>SELECT 139, 154, 7 UNION ALL</v>
      </c>
      <c r="V127" s="6" t="str">
        <f ca="1">IF(R127&gt;0,"SELECT "&amp;COUNTIF($Q$1:$T126,"&gt;0")+COUNTIF($Q127:Q127,"&gt;0")+1&amp;", "&amp;$A127&amp;", "&amp;R127&amp;" UNION ALL","")</f>
        <v/>
      </c>
      <c r="W127" s="6" t="str">
        <f>IF(S127&gt;0,"SELECT "&amp;COUNTIF($Q$1:$T126,"&gt;0")+COUNTIF($Q127:R127,"&gt;0")+1&amp;", "&amp;$A127&amp;", "&amp;S127&amp;" UNION ALL","")</f>
        <v/>
      </c>
      <c r="X127" s="6" t="str">
        <f>IF(T127&gt;0,"SELECT "&amp;COUNTIF($Q$1:$T126,"&gt;0")+COUNTIF($Q127:S127,"&gt;0")+1&amp;", "&amp;$A127&amp;", "&amp;T127&amp;" UNION ALL","")</f>
        <v/>
      </c>
      <c r="Y127" s="5" t="str">
        <f t="shared" ca="1" si="10"/>
        <v>SELECT 139, 154, 7 UNION ALL</v>
      </c>
    </row>
    <row r="128" spans="1:25">
      <c r="A128">
        <v>155</v>
      </c>
      <c r="B128" t="s">
        <v>425</v>
      </c>
      <c r="C128">
        <v>1</v>
      </c>
      <c r="D128">
        <v>4</v>
      </c>
      <c r="E128">
        <v>1</v>
      </c>
      <c r="F128">
        <v>1</v>
      </c>
      <c r="G128" t="s">
        <v>426</v>
      </c>
      <c r="H128">
        <v>0</v>
      </c>
      <c r="I128">
        <v>0</v>
      </c>
      <c r="J128">
        <v>0</v>
      </c>
      <c r="L128" t="str">
        <f t="shared" si="7"/>
        <v>SELECT 155, N'Liberia', 1, 4 UNION ALL</v>
      </c>
      <c r="M128" t="s">
        <v>558</v>
      </c>
      <c r="Q128" s="6">
        <f t="shared" ca="1" si="8"/>
        <v>7</v>
      </c>
      <c r="R128" s="6">
        <f t="shared" ca="1" si="9"/>
        <v>0</v>
      </c>
      <c r="U128" s="6" t="str">
        <f ca="1">IF(Q128&gt;0,"SELECT "&amp;COUNTIF($Q$1:$T127,"&gt;0")+1&amp;", "&amp;$A128&amp;", "&amp;Q128&amp;" UNION ALL","")</f>
        <v>SELECT 140, 155, 7 UNION ALL</v>
      </c>
      <c r="V128" s="6" t="str">
        <f ca="1">IF(R128&gt;0,"SELECT "&amp;COUNTIF($Q$1:$T127,"&gt;0")+COUNTIF($Q128:Q128,"&gt;0")+1&amp;", "&amp;$A128&amp;", "&amp;R128&amp;" UNION ALL","")</f>
        <v/>
      </c>
      <c r="W128" s="6" t="str">
        <f>IF(S128&gt;0,"SELECT "&amp;COUNTIF($Q$1:$T127,"&gt;0")+COUNTIF($Q128:R128,"&gt;0")+1&amp;", "&amp;$A128&amp;", "&amp;S128&amp;" UNION ALL","")</f>
        <v/>
      </c>
      <c r="X128" s="6" t="str">
        <f>IF(T128&gt;0,"SELECT "&amp;COUNTIF($Q$1:$T127,"&gt;0")+COUNTIF($Q128:S128,"&gt;0")+1&amp;", "&amp;$A128&amp;", "&amp;T128&amp;" UNION ALL","")</f>
        <v/>
      </c>
      <c r="Y128" s="5" t="str">
        <f t="shared" ca="1" si="10"/>
        <v>SELECT 140, 155, 7 UNION ALL</v>
      </c>
    </row>
    <row r="129" spans="1:25">
      <c r="A129">
        <v>156</v>
      </c>
      <c r="B129" t="s">
        <v>427</v>
      </c>
      <c r="C129">
        <v>1</v>
      </c>
      <c r="D129">
        <v>3</v>
      </c>
      <c r="E129">
        <v>1</v>
      </c>
      <c r="F129">
        <v>1</v>
      </c>
      <c r="G129" t="s">
        <v>428</v>
      </c>
      <c r="H129">
        <v>0</v>
      </c>
      <c r="I129">
        <v>0</v>
      </c>
      <c r="J129">
        <v>0</v>
      </c>
      <c r="L129" t="str">
        <f t="shared" si="7"/>
        <v>SELECT 156, N'Sierra Leone', 1, 3 UNION ALL</v>
      </c>
      <c r="M129" t="s">
        <v>558</v>
      </c>
      <c r="Q129" s="6">
        <f t="shared" ca="1" si="8"/>
        <v>7</v>
      </c>
      <c r="R129" s="6">
        <f t="shared" ca="1" si="9"/>
        <v>0</v>
      </c>
      <c r="U129" s="6" t="str">
        <f ca="1">IF(Q129&gt;0,"SELECT "&amp;COUNTIF($Q$1:$T128,"&gt;0")+1&amp;", "&amp;$A129&amp;", "&amp;Q129&amp;" UNION ALL","")</f>
        <v>SELECT 141, 156, 7 UNION ALL</v>
      </c>
      <c r="V129" s="6" t="str">
        <f ca="1">IF(R129&gt;0,"SELECT "&amp;COUNTIF($Q$1:$T128,"&gt;0")+COUNTIF($Q129:Q129,"&gt;0")+1&amp;", "&amp;$A129&amp;", "&amp;R129&amp;" UNION ALL","")</f>
        <v/>
      </c>
      <c r="W129" s="6" t="str">
        <f>IF(S129&gt;0,"SELECT "&amp;COUNTIF($Q$1:$T128,"&gt;0")+COUNTIF($Q129:R129,"&gt;0")+1&amp;", "&amp;$A129&amp;", "&amp;S129&amp;" UNION ALL","")</f>
        <v/>
      </c>
      <c r="X129" s="6" t="str">
        <f>IF(T129&gt;0,"SELECT "&amp;COUNTIF($Q$1:$T128,"&gt;0")+COUNTIF($Q129:S129,"&gt;0")+1&amp;", "&amp;$A129&amp;", "&amp;T129&amp;" UNION ALL","")</f>
        <v/>
      </c>
      <c r="Y129" s="5" t="str">
        <f t="shared" ca="1" si="10"/>
        <v>SELECT 141, 156, 7 UNION ALL</v>
      </c>
    </row>
    <row r="130" spans="1:25">
      <c r="A130">
        <v>157</v>
      </c>
      <c r="B130" t="s">
        <v>429</v>
      </c>
      <c r="C130">
        <v>1</v>
      </c>
      <c r="D130">
        <v>3</v>
      </c>
      <c r="E130">
        <v>1</v>
      </c>
      <c r="F130">
        <v>1</v>
      </c>
      <c r="G130" t="s">
        <v>430</v>
      </c>
      <c r="H130">
        <v>0</v>
      </c>
      <c r="I130">
        <v>0</v>
      </c>
      <c r="J130">
        <v>0</v>
      </c>
      <c r="L130" t="str">
        <f t="shared" si="7"/>
        <v>SELECT 157, N'Niger', 1, 3 UNION ALL</v>
      </c>
      <c r="M130" t="s">
        <v>558</v>
      </c>
      <c r="Q130" s="6">
        <f t="shared" ca="1" si="8"/>
        <v>7</v>
      </c>
      <c r="R130" s="6">
        <f t="shared" ca="1" si="9"/>
        <v>0</v>
      </c>
      <c r="U130" s="6" t="str">
        <f ca="1">IF(Q130&gt;0,"SELECT "&amp;COUNTIF($Q$1:$T129,"&gt;0")+1&amp;", "&amp;$A130&amp;", "&amp;Q130&amp;" UNION ALL","")</f>
        <v>SELECT 142, 157, 7 UNION ALL</v>
      </c>
      <c r="V130" s="6" t="str">
        <f ca="1">IF(R130&gt;0,"SELECT "&amp;COUNTIF($Q$1:$T129,"&gt;0")+COUNTIF($Q130:Q130,"&gt;0")+1&amp;", "&amp;$A130&amp;", "&amp;R130&amp;" UNION ALL","")</f>
        <v/>
      </c>
      <c r="W130" s="6" t="str">
        <f>IF(S130&gt;0,"SELECT "&amp;COUNTIF($Q$1:$T129,"&gt;0")+COUNTIF($Q130:R130,"&gt;0")+1&amp;", "&amp;$A130&amp;", "&amp;S130&amp;" UNION ALL","")</f>
        <v/>
      </c>
      <c r="X130" s="6" t="str">
        <f>IF(T130&gt;0,"SELECT "&amp;COUNTIF($Q$1:$T129,"&gt;0")+COUNTIF($Q130:S130,"&gt;0")+1&amp;", "&amp;$A130&amp;", "&amp;T130&amp;" UNION ALL","")</f>
        <v/>
      </c>
      <c r="Y130" s="5" t="str">
        <f t="shared" ca="1" si="10"/>
        <v>SELECT 142, 157, 7 UNION ALL</v>
      </c>
    </row>
    <row r="131" spans="1:25">
      <c r="A131">
        <v>158</v>
      </c>
      <c r="B131" t="s">
        <v>431</v>
      </c>
      <c r="C131">
        <v>1</v>
      </c>
      <c r="D131">
        <v>9</v>
      </c>
      <c r="E131">
        <v>1</v>
      </c>
      <c r="F131">
        <v>1</v>
      </c>
      <c r="G131" t="s">
        <v>432</v>
      </c>
      <c r="H131">
        <v>0</v>
      </c>
      <c r="I131">
        <v>0</v>
      </c>
      <c r="J131">
        <v>0</v>
      </c>
      <c r="L131" t="str">
        <f t="shared" ref="L131:L196" si="11">"SELECT "&amp;A131&amp;", N'"&amp;B131&amp;"', "&amp;C131&amp;", "&amp;D131&amp;" UNION ALL"</f>
        <v>SELECT 158, N'Nigeria', 1, 9 UNION ALL</v>
      </c>
      <c r="M131" t="s">
        <v>558</v>
      </c>
      <c r="Q131" s="6">
        <f t="shared" ref="Q131:Q194" ca="1" si="12">IFERROR(VLOOKUP(M131,Kategorie,9,0),0)</f>
        <v>7</v>
      </c>
      <c r="R131" s="6">
        <f t="shared" ref="R131:R194" ca="1" si="13">IFERROR(VLOOKUP(N131,Kategorie,9,0),0)</f>
        <v>0</v>
      </c>
      <c r="U131" s="6" t="str">
        <f ca="1">IF(Q131&gt;0,"SELECT "&amp;COUNTIF($Q$1:$T130,"&gt;0")+1&amp;", "&amp;$A131&amp;", "&amp;Q131&amp;" UNION ALL","")</f>
        <v>SELECT 143, 158, 7 UNION ALL</v>
      </c>
      <c r="V131" s="6" t="str">
        <f ca="1">IF(R131&gt;0,"SELECT "&amp;COUNTIF($Q$1:$T130,"&gt;0")+COUNTIF($Q131:Q131,"&gt;0")+1&amp;", "&amp;$A131&amp;", "&amp;R131&amp;" UNION ALL","")</f>
        <v/>
      </c>
      <c r="W131" s="6" t="str">
        <f>IF(S131&gt;0,"SELECT "&amp;COUNTIF($Q$1:$T130,"&gt;0")+COUNTIF($Q131:R131,"&gt;0")+1&amp;", "&amp;$A131&amp;", "&amp;S131&amp;" UNION ALL","")</f>
        <v/>
      </c>
      <c r="X131" s="6" t="str">
        <f>IF(T131&gt;0,"SELECT "&amp;COUNTIF($Q$1:$T130,"&gt;0")+COUNTIF($Q131:S131,"&gt;0")+1&amp;", "&amp;$A131&amp;", "&amp;T131&amp;" UNION ALL","")</f>
        <v/>
      </c>
      <c r="Y131" s="5" t="str">
        <f t="shared" ca="1" si="10"/>
        <v>SELECT 143, 158, 7 UNION ALL</v>
      </c>
    </row>
    <row r="132" spans="1:25">
      <c r="A132">
        <v>159</v>
      </c>
      <c r="B132" t="s">
        <v>433</v>
      </c>
      <c r="C132">
        <v>1</v>
      </c>
      <c r="D132">
        <v>8</v>
      </c>
      <c r="E132">
        <v>1</v>
      </c>
      <c r="F132">
        <v>1</v>
      </c>
      <c r="G132" t="s">
        <v>434</v>
      </c>
      <c r="H132">
        <v>0</v>
      </c>
      <c r="I132">
        <v>0</v>
      </c>
      <c r="J132">
        <v>0</v>
      </c>
      <c r="L132" t="str">
        <f t="shared" si="11"/>
        <v>SELECT 159, N'Kamerun', 1, 8 UNION ALL</v>
      </c>
      <c r="M132" t="s">
        <v>558</v>
      </c>
      <c r="Q132" s="6">
        <f t="shared" ca="1" si="12"/>
        <v>7</v>
      </c>
      <c r="R132" s="6">
        <f t="shared" ca="1" si="13"/>
        <v>0</v>
      </c>
      <c r="U132" s="6" t="str">
        <f ca="1">IF(Q132&gt;0,"SELECT "&amp;COUNTIF($Q$1:$T131,"&gt;0")+1&amp;", "&amp;$A132&amp;", "&amp;Q132&amp;" UNION ALL","")</f>
        <v>SELECT 144, 159, 7 UNION ALL</v>
      </c>
      <c r="V132" s="6" t="str">
        <f ca="1">IF(R132&gt;0,"SELECT "&amp;COUNTIF($Q$1:$T131,"&gt;0")+COUNTIF($Q132:Q132,"&gt;0")+1&amp;", "&amp;$A132&amp;", "&amp;R132&amp;" UNION ALL","")</f>
        <v/>
      </c>
      <c r="W132" s="6" t="str">
        <f>IF(S132&gt;0,"SELECT "&amp;COUNTIF($Q$1:$T131,"&gt;0")+COUNTIF($Q132:R132,"&gt;0")+1&amp;", "&amp;$A132&amp;", "&amp;S132&amp;" UNION ALL","")</f>
        <v/>
      </c>
      <c r="X132" s="6" t="str">
        <f>IF(T132&gt;0,"SELECT "&amp;COUNTIF($Q$1:$T131,"&gt;0")+COUNTIF($Q132:S132,"&gt;0")+1&amp;", "&amp;$A132&amp;", "&amp;T132&amp;" UNION ALL","")</f>
        <v/>
      </c>
      <c r="Y132" s="5" t="str">
        <f t="shared" ref="Y132:Y195" ca="1" si="14">SUBSTITUTE(IF(LEN(U132)&gt;0,U132,"")&amp;IF(LEN(V132)&gt;0,CHAR(10)&amp;V132,"")&amp;IF(LEN(W132)&gt;0,CHAR(10)&amp;W132,"")&amp;IF(LEN(X132)&gt;0,CHAR(10)&amp;X132,""),CHAR(34),"")</f>
        <v>SELECT 144, 159, 7 UNION ALL</v>
      </c>
    </row>
    <row r="133" spans="1:25">
      <c r="A133">
        <v>160</v>
      </c>
      <c r="B133" t="s">
        <v>435</v>
      </c>
      <c r="C133">
        <v>1</v>
      </c>
      <c r="D133">
        <v>7</v>
      </c>
      <c r="E133">
        <v>1</v>
      </c>
      <c r="F133">
        <v>1</v>
      </c>
      <c r="G133" t="s">
        <v>436</v>
      </c>
      <c r="H133">
        <v>0</v>
      </c>
      <c r="I133">
        <v>0</v>
      </c>
      <c r="J133">
        <v>0</v>
      </c>
      <c r="L133" t="str">
        <f t="shared" si="11"/>
        <v>SELECT 160, N'Gabon', 1, 7 UNION ALL</v>
      </c>
      <c r="M133" t="s">
        <v>558</v>
      </c>
      <c r="Q133" s="6">
        <f t="shared" ca="1" si="12"/>
        <v>7</v>
      </c>
      <c r="R133" s="6">
        <f t="shared" ca="1" si="13"/>
        <v>0</v>
      </c>
      <c r="U133" s="6" t="str">
        <f ca="1">IF(Q133&gt;0,"SELECT "&amp;COUNTIF($Q$1:$T132,"&gt;0")+1&amp;", "&amp;$A133&amp;", "&amp;Q133&amp;" UNION ALL","")</f>
        <v>SELECT 145, 160, 7 UNION ALL</v>
      </c>
      <c r="V133" s="6" t="str">
        <f ca="1">IF(R133&gt;0,"SELECT "&amp;COUNTIF($Q$1:$T132,"&gt;0")+COUNTIF($Q133:Q133,"&gt;0")+1&amp;", "&amp;$A133&amp;", "&amp;R133&amp;" UNION ALL","")</f>
        <v/>
      </c>
      <c r="W133" s="6" t="str">
        <f>IF(S133&gt;0,"SELECT "&amp;COUNTIF($Q$1:$T132,"&gt;0")+COUNTIF($Q133:R133,"&gt;0")+1&amp;", "&amp;$A133&amp;", "&amp;S133&amp;" UNION ALL","")</f>
        <v/>
      </c>
      <c r="X133" s="6" t="str">
        <f>IF(T133&gt;0,"SELECT "&amp;COUNTIF($Q$1:$T132,"&gt;0")+COUNTIF($Q133:S133,"&gt;0")+1&amp;", "&amp;$A133&amp;", "&amp;T133&amp;" UNION ALL","")</f>
        <v/>
      </c>
      <c r="Y133" s="5" t="str">
        <f t="shared" ca="1" si="14"/>
        <v>SELECT 145, 160, 7 UNION ALL</v>
      </c>
    </row>
    <row r="134" spans="1:25">
      <c r="A134">
        <v>162</v>
      </c>
      <c r="B134" t="s">
        <v>437</v>
      </c>
      <c r="C134">
        <v>1</v>
      </c>
      <c r="D134">
        <v>8</v>
      </c>
      <c r="E134">
        <v>1</v>
      </c>
      <c r="F134">
        <v>1</v>
      </c>
      <c r="G134" t="s">
        <v>438</v>
      </c>
      <c r="H134">
        <v>0</v>
      </c>
      <c r="I134">
        <v>0</v>
      </c>
      <c r="J134">
        <v>0</v>
      </c>
      <c r="L134" t="str">
        <f t="shared" si="11"/>
        <v>SELECT 162, N'Kongo', 1, 8 UNION ALL</v>
      </c>
      <c r="M134" t="s">
        <v>558</v>
      </c>
      <c r="Q134" s="6">
        <f t="shared" ca="1" si="12"/>
        <v>7</v>
      </c>
      <c r="R134" s="6">
        <f t="shared" ca="1" si="13"/>
        <v>0</v>
      </c>
      <c r="U134" s="6" t="str">
        <f ca="1">IF(Q134&gt;0,"SELECT "&amp;COUNTIF($Q$1:$T133,"&gt;0")+1&amp;", "&amp;$A134&amp;", "&amp;Q134&amp;" UNION ALL","")</f>
        <v>SELECT 146, 162, 7 UNION ALL</v>
      </c>
      <c r="V134" s="6" t="str">
        <f ca="1">IF(R134&gt;0,"SELECT "&amp;COUNTIF($Q$1:$T133,"&gt;0")+COUNTIF($Q134:Q134,"&gt;0")+1&amp;", "&amp;$A134&amp;", "&amp;R134&amp;" UNION ALL","")</f>
        <v/>
      </c>
      <c r="W134" s="6" t="str">
        <f>IF(S134&gt;0,"SELECT "&amp;COUNTIF($Q$1:$T133,"&gt;0")+COUNTIF($Q134:R134,"&gt;0")+1&amp;", "&amp;$A134&amp;", "&amp;S134&amp;" UNION ALL","")</f>
        <v/>
      </c>
      <c r="X134" s="6" t="str">
        <f>IF(T134&gt;0,"SELECT "&amp;COUNTIF($Q$1:$T133,"&gt;0")+COUNTIF($Q134:S134,"&gt;0")+1&amp;", "&amp;$A134&amp;", "&amp;T134&amp;" UNION ALL","")</f>
        <v/>
      </c>
      <c r="Y134" s="5" t="str">
        <f t="shared" ca="1" si="14"/>
        <v>SELECT 146, 162, 7 UNION ALL</v>
      </c>
    </row>
    <row r="135" spans="1:25">
      <c r="A135">
        <v>163</v>
      </c>
      <c r="B135" t="s">
        <v>439</v>
      </c>
      <c r="C135">
        <v>1</v>
      </c>
      <c r="D135">
        <v>3</v>
      </c>
      <c r="E135">
        <v>1</v>
      </c>
      <c r="F135">
        <v>1</v>
      </c>
      <c r="G135" t="s">
        <v>440</v>
      </c>
      <c r="H135">
        <v>0</v>
      </c>
      <c r="I135">
        <v>0</v>
      </c>
      <c r="J135">
        <v>0</v>
      </c>
      <c r="L135" t="str">
        <f t="shared" si="11"/>
        <v>SELECT 163, N'Demokratyczna Republika Konga', 1, 3 UNION ALL</v>
      </c>
      <c r="M135" t="s">
        <v>558</v>
      </c>
      <c r="Q135" s="6">
        <f t="shared" ca="1" si="12"/>
        <v>7</v>
      </c>
      <c r="R135" s="6">
        <f t="shared" ca="1" si="13"/>
        <v>0</v>
      </c>
      <c r="U135" s="6" t="str">
        <f ca="1">IF(Q135&gt;0,"SELECT "&amp;COUNTIF($Q$1:$T134,"&gt;0")+1&amp;", "&amp;$A135&amp;", "&amp;Q135&amp;" UNION ALL","")</f>
        <v>SELECT 147, 163, 7 UNION ALL</v>
      </c>
      <c r="V135" s="6" t="str">
        <f ca="1">IF(R135&gt;0,"SELECT "&amp;COUNTIF($Q$1:$T134,"&gt;0")+COUNTIF($Q135:Q135,"&gt;0")+1&amp;", "&amp;$A135&amp;", "&amp;R135&amp;" UNION ALL","")</f>
        <v/>
      </c>
      <c r="W135" s="6" t="str">
        <f>IF(S135&gt;0,"SELECT "&amp;COUNTIF($Q$1:$T134,"&gt;0")+COUNTIF($Q135:R135,"&gt;0")+1&amp;", "&amp;$A135&amp;", "&amp;S135&amp;" UNION ALL","")</f>
        <v/>
      </c>
      <c r="X135" s="6" t="str">
        <f>IF(T135&gt;0,"SELECT "&amp;COUNTIF($Q$1:$T134,"&gt;0")+COUNTIF($Q135:S135,"&gt;0")+1&amp;", "&amp;$A135&amp;", "&amp;T135&amp;" UNION ALL","")</f>
        <v/>
      </c>
      <c r="Y135" s="5" t="str">
        <f t="shared" ca="1" si="14"/>
        <v>SELECT 147, 163, 7 UNION ALL</v>
      </c>
    </row>
    <row r="136" spans="1:25">
      <c r="A136">
        <v>164</v>
      </c>
      <c r="B136" t="s">
        <v>441</v>
      </c>
      <c r="C136">
        <v>1</v>
      </c>
      <c r="D136">
        <v>4</v>
      </c>
      <c r="E136">
        <v>1</v>
      </c>
      <c r="F136">
        <v>1</v>
      </c>
      <c r="G136" t="s">
        <v>442</v>
      </c>
      <c r="H136">
        <v>0</v>
      </c>
      <c r="I136">
        <v>0</v>
      </c>
      <c r="J136">
        <v>0</v>
      </c>
      <c r="L136" t="str">
        <f t="shared" si="11"/>
        <v>SELECT 164, N'Uganda', 1, 4 UNION ALL</v>
      </c>
      <c r="M136" t="s">
        <v>558</v>
      </c>
      <c r="Q136" s="6">
        <f t="shared" ca="1" si="12"/>
        <v>7</v>
      </c>
      <c r="R136" s="6">
        <f t="shared" ca="1" si="13"/>
        <v>0</v>
      </c>
      <c r="U136" s="6" t="str">
        <f ca="1">IF(Q136&gt;0,"SELECT "&amp;COUNTIF($Q$1:$T135,"&gt;0")+1&amp;", "&amp;$A136&amp;", "&amp;Q136&amp;" UNION ALL","")</f>
        <v>SELECT 148, 164, 7 UNION ALL</v>
      </c>
      <c r="V136" s="6" t="str">
        <f ca="1">IF(R136&gt;0,"SELECT "&amp;COUNTIF($Q$1:$T135,"&gt;0")+COUNTIF($Q136:Q136,"&gt;0")+1&amp;", "&amp;$A136&amp;", "&amp;R136&amp;" UNION ALL","")</f>
        <v/>
      </c>
      <c r="W136" s="6" t="str">
        <f>IF(S136&gt;0,"SELECT "&amp;COUNTIF($Q$1:$T135,"&gt;0")+COUNTIF($Q136:R136,"&gt;0")+1&amp;", "&amp;$A136&amp;", "&amp;S136&amp;" UNION ALL","")</f>
        <v/>
      </c>
      <c r="X136" s="6" t="str">
        <f>IF(T136&gt;0,"SELECT "&amp;COUNTIF($Q$1:$T135,"&gt;0")+COUNTIF($Q136:S136,"&gt;0")+1&amp;", "&amp;$A136&amp;", "&amp;T136&amp;" UNION ALL","")</f>
        <v/>
      </c>
      <c r="Y136" s="5" t="str">
        <f t="shared" ca="1" si="14"/>
        <v>SELECT 148, 164, 7 UNION ALL</v>
      </c>
    </row>
    <row r="137" spans="1:25">
      <c r="A137">
        <v>165</v>
      </c>
      <c r="B137" t="s">
        <v>443</v>
      </c>
      <c r="C137">
        <v>1</v>
      </c>
      <c r="D137">
        <v>1</v>
      </c>
      <c r="E137">
        <v>1</v>
      </c>
      <c r="F137">
        <v>1</v>
      </c>
      <c r="G137" t="s">
        <v>444</v>
      </c>
      <c r="H137">
        <v>0</v>
      </c>
      <c r="I137">
        <v>0</v>
      </c>
      <c r="J137">
        <v>0</v>
      </c>
      <c r="L137" t="str">
        <f t="shared" si="11"/>
        <v>SELECT 165, N'Burundi', 1, 1 UNION ALL</v>
      </c>
      <c r="M137" t="s">
        <v>558</v>
      </c>
      <c r="Q137" s="6">
        <f t="shared" ca="1" si="12"/>
        <v>7</v>
      </c>
      <c r="R137" s="6">
        <f t="shared" ca="1" si="13"/>
        <v>0</v>
      </c>
      <c r="U137" s="6" t="str">
        <f ca="1">IF(Q137&gt;0,"SELECT "&amp;COUNTIF($Q$1:$T136,"&gt;0")+1&amp;", "&amp;$A137&amp;", "&amp;Q137&amp;" UNION ALL","")</f>
        <v>SELECT 149, 165, 7 UNION ALL</v>
      </c>
      <c r="V137" s="6" t="str">
        <f ca="1">IF(R137&gt;0,"SELECT "&amp;COUNTIF($Q$1:$T136,"&gt;0")+COUNTIF($Q137:Q137,"&gt;0")+1&amp;", "&amp;$A137&amp;", "&amp;R137&amp;" UNION ALL","")</f>
        <v/>
      </c>
      <c r="W137" s="6" t="str">
        <f>IF(S137&gt;0,"SELECT "&amp;COUNTIF($Q$1:$T136,"&gt;0")+COUNTIF($Q137:R137,"&gt;0")+1&amp;", "&amp;$A137&amp;", "&amp;S137&amp;" UNION ALL","")</f>
        <v/>
      </c>
      <c r="X137" s="6" t="str">
        <f>IF(T137&gt;0,"SELECT "&amp;COUNTIF($Q$1:$T136,"&gt;0")+COUNTIF($Q137:S137,"&gt;0")+1&amp;", "&amp;$A137&amp;", "&amp;T137&amp;" UNION ALL","")</f>
        <v/>
      </c>
      <c r="Y137" s="5" t="str">
        <f t="shared" ca="1" si="14"/>
        <v>SELECT 149, 165, 7 UNION ALL</v>
      </c>
    </row>
    <row r="138" spans="1:25">
      <c r="A138">
        <v>166</v>
      </c>
      <c r="B138" t="s">
        <v>445</v>
      </c>
      <c r="C138">
        <v>1</v>
      </c>
      <c r="D138">
        <v>8</v>
      </c>
      <c r="E138">
        <v>1</v>
      </c>
      <c r="F138">
        <v>1</v>
      </c>
      <c r="G138" t="s">
        <v>446</v>
      </c>
      <c r="H138">
        <v>0</v>
      </c>
      <c r="I138">
        <v>0</v>
      </c>
      <c r="J138">
        <v>0</v>
      </c>
      <c r="L138" t="str">
        <f t="shared" si="11"/>
        <v>SELECT 166, N'Kenia', 1, 8 UNION ALL</v>
      </c>
      <c r="M138" t="s">
        <v>558</v>
      </c>
      <c r="Q138" s="6">
        <f t="shared" ca="1" si="12"/>
        <v>7</v>
      </c>
      <c r="R138" s="6">
        <f t="shared" ca="1" si="13"/>
        <v>0</v>
      </c>
      <c r="U138" s="6" t="str">
        <f ca="1">IF(Q138&gt;0,"SELECT "&amp;COUNTIF($Q$1:$T137,"&gt;0")+1&amp;", "&amp;$A138&amp;", "&amp;Q138&amp;" UNION ALL","")</f>
        <v>SELECT 150, 166, 7 UNION ALL</v>
      </c>
      <c r="V138" s="6" t="str">
        <f ca="1">IF(R138&gt;0,"SELECT "&amp;COUNTIF($Q$1:$T137,"&gt;0")+COUNTIF($Q138:Q138,"&gt;0")+1&amp;", "&amp;$A138&amp;", "&amp;R138&amp;" UNION ALL","")</f>
        <v/>
      </c>
      <c r="W138" s="6" t="str">
        <f>IF(S138&gt;0,"SELECT "&amp;COUNTIF($Q$1:$T137,"&gt;0")+COUNTIF($Q138:R138,"&gt;0")+1&amp;", "&amp;$A138&amp;", "&amp;S138&amp;" UNION ALL","")</f>
        <v/>
      </c>
      <c r="X138" s="6" t="str">
        <f>IF(T138&gt;0,"SELECT "&amp;COUNTIF($Q$1:$T137,"&gt;0")+COUNTIF($Q138:S138,"&gt;0")+1&amp;", "&amp;$A138&amp;", "&amp;T138&amp;" UNION ALL","")</f>
        <v/>
      </c>
      <c r="Y138" s="5" t="str">
        <f t="shared" ca="1" si="14"/>
        <v>SELECT 150, 166, 7 UNION ALL</v>
      </c>
    </row>
    <row r="139" spans="1:25">
      <c r="A139">
        <v>167</v>
      </c>
      <c r="B139" t="s">
        <v>447</v>
      </c>
      <c r="C139">
        <v>1</v>
      </c>
      <c r="D139">
        <v>6</v>
      </c>
      <c r="E139">
        <v>1</v>
      </c>
      <c r="F139">
        <v>1</v>
      </c>
      <c r="G139" t="s">
        <v>448</v>
      </c>
      <c r="H139">
        <v>0</v>
      </c>
      <c r="I139">
        <v>0</v>
      </c>
      <c r="J139">
        <v>0</v>
      </c>
      <c r="L139" t="str">
        <f t="shared" si="11"/>
        <v>SELECT 167, N'Tanzania', 1, 6 UNION ALL</v>
      </c>
      <c r="M139" t="s">
        <v>558</v>
      </c>
      <c r="Q139" s="6">
        <f t="shared" ca="1" si="12"/>
        <v>7</v>
      </c>
      <c r="R139" s="6">
        <f t="shared" ca="1" si="13"/>
        <v>0</v>
      </c>
      <c r="U139" s="6" t="str">
        <f ca="1">IF(Q139&gt;0,"SELECT "&amp;COUNTIF($Q$1:$T138,"&gt;0")+1&amp;", "&amp;$A139&amp;", "&amp;Q139&amp;" UNION ALL","")</f>
        <v>SELECT 151, 167, 7 UNION ALL</v>
      </c>
      <c r="V139" s="6" t="str">
        <f ca="1">IF(R139&gt;0,"SELECT "&amp;COUNTIF($Q$1:$T138,"&gt;0")+COUNTIF($Q139:Q139,"&gt;0")+1&amp;", "&amp;$A139&amp;", "&amp;R139&amp;" UNION ALL","")</f>
        <v/>
      </c>
      <c r="W139" s="6" t="str">
        <f>IF(S139&gt;0,"SELECT "&amp;COUNTIF($Q$1:$T138,"&gt;0")+COUNTIF($Q139:R139,"&gt;0")+1&amp;", "&amp;$A139&amp;", "&amp;S139&amp;" UNION ALL","")</f>
        <v/>
      </c>
      <c r="X139" s="6" t="str">
        <f>IF(T139&gt;0,"SELECT "&amp;COUNTIF($Q$1:$T138,"&gt;0")+COUNTIF($Q139:S139,"&gt;0")+1&amp;", "&amp;$A139&amp;", "&amp;T139&amp;" UNION ALL","")</f>
        <v/>
      </c>
      <c r="Y139" s="5" t="str">
        <f t="shared" ca="1" si="14"/>
        <v>SELECT 151, 167, 7 UNION ALL</v>
      </c>
    </row>
    <row r="140" spans="1:25">
      <c r="A140">
        <v>168</v>
      </c>
      <c r="B140" t="s">
        <v>449</v>
      </c>
      <c r="C140">
        <v>1</v>
      </c>
      <c r="D140">
        <v>5</v>
      </c>
      <c r="E140">
        <v>1</v>
      </c>
      <c r="F140">
        <v>1</v>
      </c>
      <c r="G140" t="s">
        <v>450</v>
      </c>
      <c r="H140">
        <v>0</v>
      </c>
      <c r="I140">
        <v>0</v>
      </c>
      <c r="J140">
        <v>0</v>
      </c>
      <c r="L140" t="str">
        <f t="shared" si="11"/>
        <v>SELECT 168, N'Mozambik', 1, 5 UNION ALL</v>
      </c>
      <c r="M140" t="s">
        <v>558</v>
      </c>
      <c r="Q140" s="6">
        <f t="shared" ca="1" si="12"/>
        <v>7</v>
      </c>
      <c r="R140" s="6">
        <f t="shared" ca="1" si="13"/>
        <v>0</v>
      </c>
      <c r="U140" s="6" t="str">
        <f ca="1">IF(Q140&gt;0,"SELECT "&amp;COUNTIF($Q$1:$T139,"&gt;0")+1&amp;", "&amp;$A140&amp;", "&amp;Q140&amp;" UNION ALL","")</f>
        <v>SELECT 152, 168, 7 UNION ALL</v>
      </c>
      <c r="V140" s="6" t="str">
        <f ca="1">IF(R140&gt;0,"SELECT "&amp;COUNTIF($Q$1:$T139,"&gt;0")+COUNTIF($Q140:Q140,"&gt;0")+1&amp;", "&amp;$A140&amp;", "&amp;R140&amp;" UNION ALL","")</f>
        <v/>
      </c>
      <c r="W140" s="6" t="str">
        <f>IF(S140&gt;0,"SELECT "&amp;COUNTIF($Q$1:$T139,"&gt;0")+COUNTIF($Q140:R140,"&gt;0")+1&amp;", "&amp;$A140&amp;", "&amp;S140&amp;" UNION ALL","")</f>
        <v/>
      </c>
      <c r="X140" s="6" t="str">
        <f>IF(T140&gt;0,"SELECT "&amp;COUNTIF($Q$1:$T139,"&gt;0")+COUNTIF($Q140:S140,"&gt;0")+1&amp;", "&amp;$A140&amp;", "&amp;T140&amp;" UNION ALL","")</f>
        <v/>
      </c>
      <c r="Y140" s="5" t="str">
        <f t="shared" ca="1" si="14"/>
        <v>SELECT 152, 168, 7 UNION ALL</v>
      </c>
    </row>
    <row r="141" spans="1:25">
      <c r="A141">
        <v>169</v>
      </c>
      <c r="B141" t="s">
        <v>451</v>
      </c>
      <c r="C141">
        <v>1</v>
      </c>
      <c r="D141">
        <v>3</v>
      </c>
      <c r="E141">
        <v>1</v>
      </c>
      <c r="F141">
        <v>1</v>
      </c>
      <c r="G141" t="s">
        <v>452</v>
      </c>
      <c r="H141">
        <v>0</v>
      </c>
      <c r="I141">
        <v>0</v>
      </c>
      <c r="J141">
        <v>0</v>
      </c>
      <c r="L141" t="str">
        <f t="shared" si="11"/>
        <v>SELECT 169, N'Ruanda', 1, 3 UNION ALL</v>
      </c>
      <c r="M141" t="s">
        <v>558</v>
      </c>
      <c r="Q141" s="6">
        <f t="shared" ca="1" si="12"/>
        <v>7</v>
      </c>
      <c r="R141" s="6">
        <f t="shared" ca="1" si="13"/>
        <v>0</v>
      </c>
      <c r="U141" s="6" t="str">
        <f ca="1">IF(Q141&gt;0,"SELECT "&amp;COUNTIF($Q$1:$T140,"&gt;0")+1&amp;", "&amp;$A141&amp;", "&amp;Q141&amp;" UNION ALL","")</f>
        <v>SELECT 153, 169, 7 UNION ALL</v>
      </c>
      <c r="V141" s="6" t="str">
        <f ca="1">IF(R141&gt;0,"SELECT "&amp;COUNTIF($Q$1:$T140,"&gt;0")+COUNTIF($Q141:Q141,"&gt;0")+1&amp;", "&amp;$A141&amp;", "&amp;R141&amp;" UNION ALL","")</f>
        <v/>
      </c>
      <c r="W141" s="6" t="str">
        <f>IF(S141&gt;0,"SELECT "&amp;COUNTIF($Q$1:$T140,"&gt;0")+COUNTIF($Q141:R141,"&gt;0")+1&amp;", "&amp;$A141&amp;", "&amp;S141&amp;" UNION ALL","")</f>
        <v/>
      </c>
      <c r="X141" s="6" t="str">
        <f>IF(T141&gt;0,"SELECT "&amp;COUNTIF($Q$1:$T140,"&gt;0")+COUNTIF($Q141:S141,"&gt;0")+1&amp;", "&amp;$A141&amp;", "&amp;T141&amp;" UNION ALL","")</f>
        <v/>
      </c>
      <c r="Y141" s="5" t="str">
        <f t="shared" ca="1" si="14"/>
        <v>SELECT 153, 169, 7 UNION ALL</v>
      </c>
    </row>
    <row r="142" spans="1:25" ht="30">
      <c r="A142">
        <v>170</v>
      </c>
      <c r="B142" t="s">
        <v>453</v>
      </c>
      <c r="C142">
        <v>1</v>
      </c>
      <c r="D142">
        <v>7</v>
      </c>
      <c r="E142">
        <v>1</v>
      </c>
      <c r="F142">
        <v>1</v>
      </c>
      <c r="G142" t="s">
        <v>454</v>
      </c>
      <c r="H142">
        <v>0</v>
      </c>
      <c r="I142">
        <v>0</v>
      </c>
      <c r="J142">
        <v>0</v>
      </c>
      <c r="L142" t="str">
        <f t="shared" si="11"/>
        <v>SELECT 170, N'Madagaskar', 1, 7 UNION ALL</v>
      </c>
      <c r="M142" t="s">
        <v>558</v>
      </c>
      <c r="N142" t="s">
        <v>553</v>
      </c>
      <c r="Q142" s="6">
        <f t="shared" ca="1" si="12"/>
        <v>7</v>
      </c>
      <c r="R142" s="6">
        <f t="shared" ca="1" si="13"/>
        <v>42</v>
      </c>
      <c r="U142" s="6" t="str">
        <f ca="1">IF(Q142&gt;0,"SELECT "&amp;COUNTIF($Q$1:$T141,"&gt;0")+1&amp;", "&amp;$A142&amp;", "&amp;Q142&amp;" UNION ALL","")</f>
        <v>SELECT 154, 170, 7 UNION ALL</v>
      </c>
      <c r="V142" s="6" t="str">
        <f ca="1">IF(R142&gt;0,"SELECT "&amp;COUNTIF($Q$1:$T141,"&gt;0")+COUNTIF($Q142:Q142,"&gt;0")+1&amp;", "&amp;$A142&amp;", "&amp;R142&amp;" UNION ALL","")</f>
        <v>SELECT 155, 170, 42 UNION ALL</v>
      </c>
      <c r="W142" s="6" t="str">
        <f>IF(S142&gt;0,"SELECT "&amp;COUNTIF($Q$1:$T141,"&gt;0")+COUNTIF($Q142:R142,"&gt;0")+1&amp;", "&amp;$A142&amp;", "&amp;S142&amp;" UNION ALL","")</f>
        <v/>
      </c>
      <c r="X142" s="6" t="str">
        <f>IF(T142&gt;0,"SELECT "&amp;COUNTIF($Q$1:$T141,"&gt;0")+COUNTIF($Q142:S142,"&gt;0")+1&amp;", "&amp;$A142&amp;", "&amp;T142&amp;" UNION ALL","")</f>
        <v/>
      </c>
      <c r="Y142" s="5" t="str">
        <f t="shared" ca="1" si="14"/>
        <v>SELECT 154, 170, 7 UNION ALL
SELECT 155, 170, 42 UNION ALL</v>
      </c>
    </row>
    <row r="143" spans="1:25">
      <c r="A143">
        <v>171</v>
      </c>
      <c r="B143" t="s">
        <v>455</v>
      </c>
      <c r="C143">
        <v>1</v>
      </c>
      <c r="D143">
        <v>5</v>
      </c>
      <c r="E143">
        <v>1</v>
      </c>
      <c r="F143">
        <v>1</v>
      </c>
      <c r="G143" t="s">
        <v>456</v>
      </c>
      <c r="H143">
        <v>0</v>
      </c>
      <c r="I143">
        <v>0</v>
      </c>
      <c r="J143">
        <v>0</v>
      </c>
      <c r="L143" t="str">
        <f t="shared" si="11"/>
        <v>SELECT 171, N'Angola', 1, 5 UNION ALL</v>
      </c>
      <c r="M143" t="s">
        <v>558</v>
      </c>
      <c r="Q143" s="6">
        <f t="shared" ca="1" si="12"/>
        <v>7</v>
      </c>
      <c r="R143" s="6">
        <f t="shared" ca="1" si="13"/>
        <v>0</v>
      </c>
      <c r="U143" s="6" t="str">
        <f ca="1">IF(Q143&gt;0,"SELECT "&amp;COUNTIF($Q$1:$T142,"&gt;0")+1&amp;", "&amp;$A143&amp;", "&amp;Q143&amp;" UNION ALL","")</f>
        <v>SELECT 156, 171, 7 UNION ALL</v>
      </c>
      <c r="V143" s="6" t="str">
        <f ca="1">IF(R143&gt;0,"SELECT "&amp;COUNTIF($Q$1:$T142,"&gt;0")+COUNTIF($Q143:Q143,"&gt;0")+1&amp;", "&amp;$A143&amp;", "&amp;R143&amp;" UNION ALL","")</f>
        <v/>
      </c>
      <c r="W143" s="6" t="str">
        <f>IF(S143&gt;0,"SELECT "&amp;COUNTIF($Q$1:$T142,"&gt;0")+COUNTIF($Q143:R143,"&gt;0")+1&amp;", "&amp;$A143&amp;", "&amp;S143&amp;" UNION ALL","")</f>
        <v/>
      </c>
      <c r="X143" s="6" t="str">
        <f>IF(T143&gt;0,"SELECT "&amp;COUNTIF($Q$1:$T142,"&gt;0")+COUNTIF($Q143:S143,"&gt;0")+1&amp;", "&amp;$A143&amp;", "&amp;T143&amp;" UNION ALL","")</f>
        <v/>
      </c>
      <c r="Y143" s="5" t="str">
        <f t="shared" ca="1" si="14"/>
        <v>SELECT 156, 171, 7 UNION ALL</v>
      </c>
    </row>
    <row r="144" spans="1:25">
      <c r="A144">
        <v>172</v>
      </c>
      <c r="B144" t="s">
        <v>457</v>
      </c>
      <c r="C144">
        <v>1</v>
      </c>
      <c r="D144">
        <v>3</v>
      </c>
      <c r="E144">
        <v>1</v>
      </c>
      <c r="F144">
        <v>1</v>
      </c>
      <c r="G144" t="s">
        <v>458</v>
      </c>
      <c r="H144">
        <v>0</v>
      </c>
      <c r="I144">
        <v>0</v>
      </c>
      <c r="J144">
        <v>0</v>
      </c>
      <c r="L144" t="str">
        <f t="shared" si="11"/>
        <v>SELECT 172, N'Namibia', 1, 3 UNION ALL</v>
      </c>
      <c r="M144" t="s">
        <v>558</v>
      </c>
      <c r="Q144" s="6">
        <f t="shared" ca="1" si="12"/>
        <v>7</v>
      </c>
      <c r="R144" s="6">
        <f t="shared" ca="1" si="13"/>
        <v>0</v>
      </c>
      <c r="U144" s="6" t="str">
        <f ca="1">IF(Q144&gt;0,"SELECT "&amp;COUNTIF($Q$1:$T143,"&gt;0")+1&amp;", "&amp;$A144&amp;", "&amp;Q144&amp;" UNION ALL","")</f>
        <v>SELECT 157, 172, 7 UNION ALL</v>
      </c>
      <c r="V144" s="6" t="str">
        <f ca="1">IF(R144&gt;0,"SELECT "&amp;COUNTIF($Q$1:$T143,"&gt;0")+COUNTIF($Q144:Q144,"&gt;0")+1&amp;", "&amp;$A144&amp;", "&amp;R144&amp;" UNION ALL","")</f>
        <v/>
      </c>
      <c r="W144" s="6" t="str">
        <f>IF(S144&gt;0,"SELECT "&amp;COUNTIF($Q$1:$T143,"&gt;0")+COUNTIF($Q144:R144,"&gt;0")+1&amp;", "&amp;$A144&amp;", "&amp;S144&amp;" UNION ALL","")</f>
        <v/>
      </c>
      <c r="X144" s="6" t="str">
        <f>IF(T144&gt;0,"SELECT "&amp;COUNTIF($Q$1:$T143,"&gt;0")+COUNTIF($Q144:S144,"&gt;0")+1&amp;", "&amp;$A144&amp;", "&amp;T144&amp;" UNION ALL","")</f>
        <v/>
      </c>
      <c r="Y144" s="5" t="str">
        <f t="shared" ca="1" si="14"/>
        <v>SELECT 157, 172, 7 UNION ALL</v>
      </c>
    </row>
    <row r="145" spans="1:25">
      <c r="A145">
        <v>174</v>
      </c>
      <c r="B145" t="s">
        <v>459</v>
      </c>
      <c r="C145">
        <v>1</v>
      </c>
      <c r="D145">
        <v>9</v>
      </c>
      <c r="E145">
        <v>1</v>
      </c>
      <c r="F145">
        <v>1</v>
      </c>
      <c r="G145" t="s">
        <v>460</v>
      </c>
      <c r="H145">
        <v>0</v>
      </c>
      <c r="I145">
        <v>0</v>
      </c>
      <c r="J145">
        <v>0</v>
      </c>
      <c r="L145" t="str">
        <f t="shared" si="11"/>
        <v>SELECT 174, N'RPA', 1, 9 UNION ALL</v>
      </c>
      <c r="M145" t="s">
        <v>558</v>
      </c>
      <c r="Q145" s="6">
        <f t="shared" ca="1" si="12"/>
        <v>7</v>
      </c>
      <c r="R145" s="6">
        <f t="shared" ca="1" si="13"/>
        <v>0</v>
      </c>
      <c r="U145" s="6" t="str">
        <f ca="1">IF(Q145&gt;0,"SELECT "&amp;COUNTIF($Q$1:$T144,"&gt;0")+1&amp;", "&amp;$A145&amp;", "&amp;Q145&amp;" UNION ALL","")</f>
        <v>SELECT 158, 174, 7 UNION ALL</v>
      </c>
      <c r="V145" s="6" t="str">
        <f ca="1">IF(R145&gt;0,"SELECT "&amp;COUNTIF($Q$1:$T144,"&gt;0")+COUNTIF($Q145:Q145,"&gt;0")+1&amp;", "&amp;$A145&amp;", "&amp;R145&amp;" UNION ALL","")</f>
        <v/>
      </c>
      <c r="W145" s="6" t="str">
        <f>IF(S145&gt;0,"SELECT "&amp;COUNTIF($Q$1:$T144,"&gt;0")+COUNTIF($Q145:R145,"&gt;0")+1&amp;", "&amp;$A145&amp;", "&amp;S145&amp;" UNION ALL","")</f>
        <v/>
      </c>
      <c r="X145" s="6" t="str">
        <f>IF(T145&gt;0,"SELECT "&amp;COUNTIF($Q$1:$T144,"&gt;0")+COUNTIF($Q145:S145,"&gt;0")+1&amp;", "&amp;$A145&amp;", "&amp;T145&amp;" UNION ALL","")</f>
        <v/>
      </c>
      <c r="Y145" s="5" t="str">
        <f t="shared" ca="1" si="14"/>
        <v>SELECT 158, 174, 7 UNION ALL</v>
      </c>
    </row>
    <row r="146" spans="1:25">
      <c r="A146">
        <v>175</v>
      </c>
      <c r="B146" t="s">
        <v>461</v>
      </c>
      <c r="C146">
        <v>1</v>
      </c>
      <c r="D146">
        <v>7</v>
      </c>
      <c r="E146">
        <v>1</v>
      </c>
      <c r="F146">
        <v>1</v>
      </c>
      <c r="G146" t="s">
        <v>462</v>
      </c>
      <c r="H146">
        <v>0</v>
      </c>
      <c r="I146">
        <v>0</v>
      </c>
      <c r="J146">
        <v>0</v>
      </c>
      <c r="L146" t="str">
        <f t="shared" si="11"/>
        <v>SELECT 175, N'Zambia', 1, 7 UNION ALL</v>
      </c>
      <c r="M146" t="s">
        <v>558</v>
      </c>
      <c r="Q146" s="6">
        <f t="shared" ca="1" si="12"/>
        <v>7</v>
      </c>
      <c r="R146" s="6">
        <f t="shared" ca="1" si="13"/>
        <v>0</v>
      </c>
      <c r="U146" s="6" t="str">
        <f ca="1">IF(Q146&gt;0,"SELECT "&amp;COUNTIF($Q$1:$T145,"&gt;0")+1&amp;", "&amp;$A146&amp;", "&amp;Q146&amp;" UNION ALL","")</f>
        <v>SELECT 159, 175, 7 UNION ALL</v>
      </c>
      <c r="V146" s="6" t="str">
        <f ca="1">IF(R146&gt;0,"SELECT "&amp;COUNTIF($Q$1:$T145,"&gt;0")+COUNTIF($Q146:Q146,"&gt;0")+1&amp;", "&amp;$A146&amp;", "&amp;R146&amp;" UNION ALL","")</f>
        <v/>
      </c>
      <c r="W146" s="6" t="str">
        <f>IF(S146&gt;0,"SELECT "&amp;COUNTIF($Q$1:$T145,"&gt;0")+COUNTIF($Q146:R146,"&gt;0")+1&amp;", "&amp;$A146&amp;", "&amp;S146&amp;" UNION ALL","")</f>
        <v/>
      </c>
      <c r="X146" s="6" t="str">
        <f>IF(T146&gt;0,"SELECT "&amp;COUNTIF($Q$1:$T145,"&gt;0")+COUNTIF($Q146:S146,"&gt;0")+1&amp;", "&amp;$A146&amp;", "&amp;T146&amp;" UNION ALL","")</f>
        <v/>
      </c>
      <c r="Y146" s="5" t="str">
        <f t="shared" ca="1" si="14"/>
        <v>SELECT 159, 175, 7 UNION ALL</v>
      </c>
    </row>
    <row r="147" spans="1:25">
      <c r="A147">
        <v>176</v>
      </c>
      <c r="B147" t="s">
        <v>463</v>
      </c>
      <c r="C147">
        <v>1</v>
      </c>
      <c r="D147">
        <v>7</v>
      </c>
      <c r="E147">
        <v>1</v>
      </c>
      <c r="F147">
        <v>1</v>
      </c>
      <c r="G147" t="s">
        <v>464</v>
      </c>
      <c r="H147">
        <v>0</v>
      </c>
      <c r="I147">
        <v>0</v>
      </c>
      <c r="J147">
        <v>0</v>
      </c>
      <c r="L147" t="str">
        <f t="shared" si="11"/>
        <v>SELECT 176, N'Zimbabwe', 1, 7 UNION ALL</v>
      </c>
      <c r="M147" t="s">
        <v>558</v>
      </c>
      <c r="Q147" s="6">
        <f t="shared" ca="1" si="12"/>
        <v>7</v>
      </c>
      <c r="R147" s="6">
        <f t="shared" ca="1" si="13"/>
        <v>0</v>
      </c>
      <c r="U147" s="6" t="str">
        <f ca="1">IF(Q147&gt;0,"SELECT "&amp;COUNTIF($Q$1:$T146,"&gt;0")+1&amp;", "&amp;$A147&amp;", "&amp;Q147&amp;" UNION ALL","")</f>
        <v>SELECT 160, 176, 7 UNION ALL</v>
      </c>
      <c r="V147" s="6" t="str">
        <f ca="1">IF(R147&gt;0,"SELECT "&amp;COUNTIF($Q$1:$T146,"&gt;0")+COUNTIF($Q147:Q147,"&gt;0")+1&amp;", "&amp;$A147&amp;", "&amp;R147&amp;" UNION ALL","")</f>
        <v/>
      </c>
      <c r="W147" s="6" t="str">
        <f>IF(S147&gt;0,"SELECT "&amp;COUNTIF($Q$1:$T146,"&gt;0")+COUNTIF($Q147:R147,"&gt;0")+1&amp;", "&amp;$A147&amp;", "&amp;S147&amp;" UNION ALL","")</f>
        <v/>
      </c>
      <c r="X147" s="6" t="str">
        <f>IF(T147&gt;0,"SELECT "&amp;COUNTIF($Q$1:$T146,"&gt;0")+COUNTIF($Q147:S147,"&gt;0")+1&amp;", "&amp;$A147&amp;", "&amp;T147&amp;" UNION ALL","")</f>
        <v/>
      </c>
      <c r="Y147" s="5" t="str">
        <f t="shared" ca="1" si="14"/>
        <v>SELECT 160, 176, 7 UNION ALL</v>
      </c>
    </row>
    <row r="148" spans="1:25">
      <c r="A148">
        <v>177</v>
      </c>
      <c r="B148" t="s">
        <v>465</v>
      </c>
      <c r="C148">
        <v>1</v>
      </c>
      <c r="D148">
        <v>2</v>
      </c>
      <c r="E148">
        <v>1</v>
      </c>
      <c r="F148">
        <v>1</v>
      </c>
      <c r="G148" t="s">
        <v>466</v>
      </c>
      <c r="H148">
        <v>0</v>
      </c>
      <c r="I148">
        <v>0</v>
      </c>
      <c r="J148">
        <v>0</v>
      </c>
      <c r="L148" t="str">
        <f t="shared" si="11"/>
        <v>SELECT 177, N'Botswana', 1, 2 UNION ALL</v>
      </c>
      <c r="M148" t="s">
        <v>558</v>
      </c>
      <c r="Q148" s="6">
        <f t="shared" ca="1" si="12"/>
        <v>7</v>
      </c>
      <c r="R148" s="6">
        <f t="shared" ca="1" si="13"/>
        <v>0</v>
      </c>
      <c r="U148" s="6" t="str">
        <f ca="1">IF(Q148&gt;0,"SELECT "&amp;COUNTIF($Q$1:$T147,"&gt;0")+1&amp;", "&amp;$A148&amp;", "&amp;Q148&amp;" UNION ALL","")</f>
        <v>SELECT 161, 177, 7 UNION ALL</v>
      </c>
      <c r="V148" s="6" t="str">
        <f ca="1">IF(R148&gt;0,"SELECT "&amp;COUNTIF($Q$1:$T147,"&gt;0")+COUNTIF($Q148:Q148,"&gt;0")+1&amp;", "&amp;$A148&amp;", "&amp;R148&amp;" UNION ALL","")</f>
        <v/>
      </c>
      <c r="W148" s="6" t="str">
        <f>IF(S148&gt;0,"SELECT "&amp;COUNTIF($Q$1:$T147,"&gt;0")+COUNTIF($Q148:R148,"&gt;0")+1&amp;", "&amp;$A148&amp;", "&amp;S148&amp;" UNION ALL","")</f>
        <v/>
      </c>
      <c r="X148" s="6" t="str">
        <f>IF(T148&gt;0,"SELECT "&amp;COUNTIF($Q$1:$T147,"&gt;0")+COUNTIF($Q148:S148,"&gt;0")+1&amp;", "&amp;$A148&amp;", "&amp;T148&amp;" UNION ALL","")</f>
        <v/>
      </c>
      <c r="Y148" s="5" t="str">
        <f t="shared" ca="1" si="14"/>
        <v>SELECT 161, 177, 7 UNION ALL</v>
      </c>
    </row>
    <row r="149" spans="1:25" ht="30">
      <c r="A149">
        <v>178</v>
      </c>
      <c r="B149" t="s">
        <v>467</v>
      </c>
      <c r="C149">
        <v>1</v>
      </c>
      <c r="D149">
        <v>7</v>
      </c>
      <c r="E149">
        <v>1</v>
      </c>
      <c r="F149">
        <v>1</v>
      </c>
      <c r="G149" t="s">
        <v>468</v>
      </c>
      <c r="H149">
        <v>0</v>
      </c>
      <c r="I149">
        <v>0</v>
      </c>
      <c r="J149">
        <v>0</v>
      </c>
      <c r="L149" t="str">
        <f t="shared" si="11"/>
        <v>SELECT 178, N'Seszele', 1, 7 UNION ALL</v>
      </c>
      <c r="M149" t="s">
        <v>558</v>
      </c>
      <c r="N149" t="s">
        <v>553</v>
      </c>
      <c r="Q149" s="6">
        <f t="shared" ca="1" si="12"/>
        <v>7</v>
      </c>
      <c r="R149" s="6">
        <f t="shared" ca="1" si="13"/>
        <v>42</v>
      </c>
      <c r="U149" s="6" t="str">
        <f ca="1">IF(Q149&gt;0,"SELECT "&amp;COUNTIF($Q$1:$T148,"&gt;0")+1&amp;", "&amp;$A149&amp;", "&amp;Q149&amp;" UNION ALL","")</f>
        <v>SELECT 162, 178, 7 UNION ALL</v>
      </c>
      <c r="V149" s="6" t="str">
        <f ca="1">IF(R149&gt;0,"SELECT "&amp;COUNTIF($Q$1:$T148,"&gt;0")+COUNTIF($Q149:Q149,"&gt;0")+1&amp;", "&amp;$A149&amp;", "&amp;R149&amp;" UNION ALL","")</f>
        <v>SELECT 163, 178, 42 UNION ALL</v>
      </c>
      <c r="W149" s="6" t="str">
        <f>IF(S149&gt;0,"SELECT "&amp;COUNTIF($Q$1:$T148,"&gt;0")+COUNTIF($Q149:R149,"&gt;0")+1&amp;", "&amp;$A149&amp;", "&amp;S149&amp;" UNION ALL","")</f>
        <v/>
      </c>
      <c r="X149" s="6" t="str">
        <f>IF(T149&gt;0,"SELECT "&amp;COUNTIF($Q$1:$T148,"&gt;0")+COUNTIF($Q149:S149,"&gt;0")+1&amp;", "&amp;$A149&amp;", "&amp;T149&amp;" UNION ALL","")</f>
        <v/>
      </c>
      <c r="Y149" s="5" t="str">
        <f t="shared" ca="1" si="14"/>
        <v>SELECT 162, 178, 7 UNION ALL
SELECT 163, 178, 42 UNION ALL</v>
      </c>
    </row>
    <row r="150" spans="1:25" ht="30">
      <c r="A150">
        <v>180</v>
      </c>
      <c r="B150" t="s">
        <v>469</v>
      </c>
      <c r="C150">
        <v>1</v>
      </c>
      <c r="D150">
        <v>8</v>
      </c>
      <c r="E150">
        <v>1</v>
      </c>
      <c r="F150">
        <v>1</v>
      </c>
      <c r="G150" t="s">
        <v>470</v>
      </c>
      <c r="H150">
        <v>0</v>
      </c>
      <c r="I150">
        <v>0</v>
      </c>
      <c r="J150">
        <v>0</v>
      </c>
      <c r="L150" t="str">
        <f t="shared" si="11"/>
        <v>SELECT 180, N'Mauritius', 1, 8 UNION ALL</v>
      </c>
      <c r="M150" t="s">
        <v>558</v>
      </c>
      <c r="N150" t="s">
        <v>553</v>
      </c>
      <c r="Q150" s="6">
        <f t="shared" ca="1" si="12"/>
        <v>7</v>
      </c>
      <c r="R150" s="6">
        <f t="shared" ca="1" si="13"/>
        <v>42</v>
      </c>
      <c r="U150" s="6" t="str">
        <f ca="1">IF(Q150&gt;0,"SELECT "&amp;COUNTIF($Q$1:$T149,"&gt;0")+1&amp;", "&amp;$A150&amp;", "&amp;Q150&amp;" UNION ALL","")</f>
        <v>SELECT 164, 180, 7 UNION ALL</v>
      </c>
      <c r="V150" s="6" t="str">
        <f ca="1">IF(R150&gt;0,"SELECT "&amp;COUNTIF($Q$1:$T149,"&gt;0")+COUNTIF($Q150:Q150,"&gt;0")+1&amp;", "&amp;$A150&amp;", "&amp;R150&amp;" UNION ALL","")</f>
        <v>SELECT 165, 180, 42 UNION ALL</v>
      </c>
      <c r="W150" s="6" t="str">
        <f>IF(S150&gt;0,"SELECT "&amp;COUNTIF($Q$1:$T149,"&gt;0")+COUNTIF($Q150:R150,"&gt;0")+1&amp;", "&amp;$A150&amp;", "&amp;S150&amp;" UNION ALL","")</f>
        <v/>
      </c>
      <c r="X150" s="6" t="str">
        <f>IF(T150&gt;0,"SELECT "&amp;COUNTIF($Q$1:$T149,"&gt;0")+COUNTIF($Q150:S150,"&gt;0")+1&amp;", "&amp;$A150&amp;", "&amp;T150&amp;" UNION ALL","")</f>
        <v/>
      </c>
      <c r="Y150" s="5" t="str">
        <f t="shared" ca="1" si="14"/>
        <v>SELECT 164, 180, 7 UNION ALL
SELECT 165, 180, 42 UNION ALL</v>
      </c>
    </row>
    <row r="151" spans="1:25">
      <c r="A151">
        <v>181</v>
      </c>
      <c r="B151" t="s">
        <v>471</v>
      </c>
      <c r="C151">
        <v>1</v>
      </c>
      <c r="D151">
        <v>10</v>
      </c>
      <c r="E151">
        <v>1</v>
      </c>
      <c r="F151">
        <v>1</v>
      </c>
      <c r="G151" t="s">
        <v>472</v>
      </c>
      <c r="H151">
        <v>0</v>
      </c>
      <c r="I151">
        <v>0</v>
      </c>
      <c r="J151">
        <v>0</v>
      </c>
      <c r="L151" t="str">
        <f t="shared" si="11"/>
        <v>SELECT 181, N'USA', 1, 10 UNION ALL</v>
      </c>
      <c r="M151" t="s">
        <v>556</v>
      </c>
      <c r="Q151" s="6">
        <f t="shared" ca="1" si="12"/>
        <v>5</v>
      </c>
      <c r="R151" s="6">
        <f t="shared" ca="1" si="13"/>
        <v>0</v>
      </c>
      <c r="U151" s="6" t="str">
        <f ca="1">IF(Q151&gt;0,"SELECT "&amp;COUNTIF($Q$1:$T150,"&gt;0")+1&amp;", "&amp;$A151&amp;", "&amp;Q151&amp;" UNION ALL","")</f>
        <v>SELECT 166, 181, 5 UNION ALL</v>
      </c>
      <c r="V151" s="6" t="str">
        <f ca="1">IF(R151&gt;0,"SELECT "&amp;COUNTIF($Q$1:$T150,"&gt;0")+COUNTIF($Q151:Q151,"&gt;0")+1&amp;", "&amp;$A151&amp;", "&amp;R151&amp;" UNION ALL","")</f>
        <v/>
      </c>
      <c r="W151" s="6" t="str">
        <f>IF(S151&gt;0,"SELECT "&amp;COUNTIF($Q$1:$T150,"&gt;0")+COUNTIF($Q151:R151,"&gt;0")+1&amp;", "&amp;$A151&amp;", "&amp;S151&amp;" UNION ALL","")</f>
        <v/>
      </c>
      <c r="X151" s="6" t="str">
        <f>IF(T151&gt;0,"SELECT "&amp;COUNTIF($Q$1:$T150,"&gt;0")+COUNTIF($Q151:S151,"&gt;0")+1&amp;", "&amp;$A151&amp;", "&amp;T151&amp;" UNION ALL","")</f>
        <v/>
      </c>
      <c r="Y151" s="5" t="str">
        <f t="shared" ca="1" si="14"/>
        <v>SELECT 166, 181, 5 UNION ALL</v>
      </c>
    </row>
    <row r="152" spans="1:25">
      <c r="A152">
        <v>182</v>
      </c>
      <c r="B152" t="s">
        <v>473</v>
      </c>
      <c r="C152">
        <v>1</v>
      </c>
      <c r="D152">
        <v>10</v>
      </c>
      <c r="E152">
        <v>1</v>
      </c>
      <c r="F152">
        <v>1</v>
      </c>
      <c r="G152" t="s">
        <v>474</v>
      </c>
      <c r="H152">
        <v>0</v>
      </c>
      <c r="I152">
        <v>0</v>
      </c>
      <c r="J152">
        <v>0</v>
      </c>
      <c r="L152" t="str">
        <f t="shared" si="11"/>
        <v>SELECT 182, N'Kanada', 1, 10 UNION ALL</v>
      </c>
      <c r="M152" t="s">
        <v>556</v>
      </c>
      <c r="Q152" s="6">
        <f t="shared" ca="1" si="12"/>
        <v>5</v>
      </c>
      <c r="R152" s="6">
        <f t="shared" ca="1" si="13"/>
        <v>0</v>
      </c>
      <c r="U152" s="6" t="str">
        <f ca="1">IF(Q152&gt;0,"SELECT "&amp;COUNTIF($Q$1:$T151,"&gt;0")+1&amp;", "&amp;$A152&amp;", "&amp;Q152&amp;" UNION ALL","")</f>
        <v>SELECT 167, 182, 5 UNION ALL</v>
      </c>
      <c r="V152" s="6" t="str">
        <f ca="1">IF(R152&gt;0,"SELECT "&amp;COUNTIF($Q$1:$T151,"&gt;0")+COUNTIF($Q152:Q152,"&gt;0")+1&amp;", "&amp;$A152&amp;", "&amp;R152&amp;" UNION ALL","")</f>
        <v/>
      </c>
      <c r="W152" s="6" t="str">
        <f>IF(S152&gt;0,"SELECT "&amp;COUNTIF($Q$1:$T151,"&gt;0")+COUNTIF($Q152:R152,"&gt;0")+1&amp;", "&amp;$A152&amp;", "&amp;S152&amp;" UNION ALL","")</f>
        <v/>
      </c>
      <c r="X152" s="6" t="str">
        <f>IF(T152&gt;0,"SELECT "&amp;COUNTIF($Q$1:$T151,"&gt;0")+COUNTIF($Q152:S152,"&gt;0")+1&amp;", "&amp;$A152&amp;", "&amp;T152&amp;" UNION ALL","")</f>
        <v/>
      </c>
      <c r="Y152" s="5" t="str">
        <f t="shared" ca="1" si="14"/>
        <v>SELECT 167, 182, 5 UNION ALL</v>
      </c>
    </row>
    <row r="153" spans="1:25">
      <c r="A153">
        <v>183</v>
      </c>
      <c r="B153" t="s">
        <v>475</v>
      </c>
      <c r="C153">
        <v>1</v>
      </c>
      <c r="D153">
        <v>10</v>
      </c>
      <c r="E153">
        <v>1</v>
      </c>
      <c r="F153">
        <v>1</v>
      </c>
      <c r="G153" t="s">
        <v>476</v>
      </c>
      <c r="H153">
        <v>0</v>
      </c>
      <c r="I153">
        <v>0</v>
      </c>
      <c r="J153">
        <v>0</v>
      </c>
      <c r="L153" t="str">
        <f t="shared" si="11"/>
        <v>SELECT 183, N'Meksyk', 1, 10 UNION ALL</v>
      </c>
      <c r="M153" t="s">
        <v>556</v>
      </c>
      <c r="Q153" s="6">
        <f t="shared" ca="1" si="12"/>
        <v>5</v>
      </c>
      <c r="R153" s="6">
        <f t="shared" ca="1" si="13"/>
        <v>0</v>
      </c>
      <c r="U153" s="6" t="str">
        <f ca="1">IF(Q153&gt;0,"SELECT "&amp;COUNTIF($Q$1:$T152,"&gt;0")+1&amp;", "&amp;$A153&amp;", "&amp;Q153&amp;" UNION ALL","")</f>
        <v>SELECT 168, 183, 5 UNION ALL</v>
      </c>
      <c r="V153" s="6" t="str">
        <f ca="1">IF(R153&gt;0,"SELECT "&amp;COUNTIF($Q$1:$T152,"&gt;0")+COUNTIF($Q153:Q153,"&gt;0")+1&amp;", "&amp;$A153&amp;", "&amp;R153&amp;" UNION ALL","")</f>
        <v/>
      </c>
      <c r="W153" s="6" t="str">
        <f>IF(S153&gt;0,"SELECT "&amp;COUNTIF($Q$1:$T152,"&gt;0")+COUNTIF($Q153:R153,"&gt;0")+1&amp;", "&amp;$A153&amp;", "&amp;S153&amp;" UNION ALL","")</f>
        <v/>
      </c>
      <c r="X153" s="6" t="str">
        <f>IF(T153&gt;0,"SELECT "&amp;COUNTIF($Q$1:$T152,"&gt;0")+COUNTIF($Q153:S153,"&gt;0")+1&amp;", "&amp;$A153&amp;", "&amp;T153&amp;" UNION ALL","")</f>
        <v/>
      </c>
      <c r="Y153" s="5" t="str">
        <f t="shared" ca="1" si="14"/>
        <v>SELECT 168, 183, 5 UNION ALL</v>
      </c>
    </row>
    <row r="154" spans="1:25" ht="30">
      <c r="A154">
        <v>184</v>
      </c>
      <c r="B154" t="s">
        <v>477</v>
      </c>
      <c r="C154">
        <v>1</v>
      </c>
      <c r="D154">
        <v>8</v>
      </c>
      <c r="E154">
        <v>1</v>
      </c>
      <c r="F154">
        <v>1</v>
      </c>
      <c r="G154" t="s">
        <v>478</v>
      </c>
      <c r="H154">
        <v>0</v>
      </c>
      <c r="I154">
        <v>0</v>
      </c>
      <c r="J154">
        <v>0</v>
      </c>
      <c r="L154" t="str">
        <f t="shared" si="11"/>
        <v>SELECT 184, N'Grenlandia', 1, 8 UNION ALL</v>
      </c>
      <c r="M154" t="s">
        <v>556</v>
      </c>
      <c r="N154" t="s">
        <v>553</v>
      </c>
      <c r="Q154" s="6">
        <f t="shared" ca="1" si="12"/>
        <v>5</v>
      </c>
      <c r="R154" s="6">
        <f t="shared" ca="1" si="13"/>
        <v>42</v>
      </c>
      <c r="U154" s="6" t="str">
        <f ca="1">IF(Q154&gt;0,"SELECT "&amp;COUNTIF($Q$1:$T153,"&gt;0")+1&amp;", "&amp;$A154&amp;", "&amp;Q154&amp;" UNION ALL","")</f>
        <v>SELECT 169, 184, 5 UNION ALL</v>
      </c>
      <c r="V154" s="6" t="str">
        <f ca="1">IF(R154&gt;0,"SELECT "&amp;COUNTIF($Q$1:$T153,"&gt;0")+COUNTIF($Q154:Q154,"&gt;0")+1&amp;", "&amp;$A154&amp;", "&amp;R154&amp;" UNION ALL","")</f>
        <v>SELECT 170, 184, 42 UNION ALL</v>
      </c>
      <c r="W154" s="6" t="str">
        <f>IF(S154&gt;0,"SELECT "&amp;COUNTIF($Q$1:$T153,"&gt;0")+COUNTIF($Q154:R154,"&gt;0")+1&amp;", "&amp;$A154&amp;", "&amp;S154&amp;" UNION ALL","")</f>
        <v/>
      </c>
      <c r="X154" s="6" t="str">
        <f>IF(T154&gt;0,"SELECT "&amp;COUNTIF($Q$1:$T153,"&gt;0")+COUNTIF($Q154:S154,"&gt;0")+1&amp;", "&amp;$A154&amp;", "&amp;T154&amp;" UNION ALL","")</f>
        <v/>
      </c>
      <c r="Y154" s="5" t="str">
        <f t="shared" ca="1" si="14"/>
        <v>SELECT 169, 184, 5 UNION ALL
SELECT 170, 184, 42 UNION ALL</v>
      </c>
    </row>
    <row r="155" spans="1:25" ht="30">
      <c r="A155">
        <v>185</v>
      </c>
      <c r="B155" t="s">
        <v>479</v>
      </c>
      <c r="C155">
        <v>1</v>
      </c>
      <c r="D155">
        <v>9</v>
      </c>
      <c r="E155">
        <v>1</v>
      </c>
      <c r="F155">
        <v>1</v>
      </c>
      <c r="G155" t="s">
        <v>480</v>
      </c>
      <c r="H155">
        <v>0</v>
      </c>
      <c r="I155">
        <v>0</v>
      </c>
      <c r="J155">
        <v>0</v>
      </c>
      <c r="L155" t="str">
        <f t="shared" si="11"/>
        <v>SELECT 185, N'Jamajka', 1, 9 UNION ALL</v>
      </c>
      <c r="M155" t="s">
        <v>556</v>
      </c>
      <c r="N155" t="s">
        <v>553</v>
      </c>
      <c r="Q155" s="6">
        <f t="shared" ca="1" si="12"/>
        <v>5</v>
      </c>
      <c r="R155" s="6">
        <f t="shared" ca="1" si="13"/>
        <v>42</v>
      </c>
      <c r="U155" s="6" t="str">
        <f ca="1">IF(Q155&gt;0,"SELECT "&amp;COUNTIF($Q$1:$T154,"&gt;0")+1&amp;", "&amp;$A155&amp;", "&amp;Q155&amp;" UNION ALL","")</f>
        <v>SELECT 171, 185, 5 UNION ALL</v>
      </c>
      <c r="V155" s="6" t="str">
        <f ca="1">IF(R155&gt;0,"SELECT "&amp;COUNTIF($Q$1:$T154,"&gt;0")+COUNTIF($Q155:Q155,"&gt;0")+1&amp;", "&amp;$A155&amp;", "&amp;R155&amp;" UNION ALL","")</f>
        <v>SELECT 172, 185, 42 UNION ALL</v>
      </c>
      <c r="W155" s="6" t="str">
        <f>IF(S155&gt;0,"SELECT "&amp;COUNTIF($Q$1:$T154,"&gt;0")+COUNTIF($Q155:R155,"&gt;0")+1&amp;", "&amp;$A155&amp;", "&amp;S155&amp;" UNION ALL","")</f>
        <v/>
      </c>
      <c r="X155" s="6" t="str">
        <f>IF(T155&gt;0,"SELECT "&amp;COUNTIF($Q$1:$T154,"&gt;0")+COUNTIF($Q155:S155,"&gt;0")+1&amp;", "&amp;$A155&amp;", "&amp;T155&amp;" UNION ALL","")</f>
        <v/>
      </c>
      <c r="Y155" s="5" t="str">
        <f t="shared" ca="1" si="14"/>
        <v>SELECT 171, 185, 5 UNION ALL
SELECT 172, 185, 42 UNION ALL</v>
      </c>
    </row>
    <row r="156" spans="1:25" ht="30">
      <c r="A156">
        <v>186</v>
      </c>
      <c r="B156" t="s">
        <v>481</v>
      </c>
      <c r="C156">
        <v>1</v>
      </c>
      <c r="D156">
        <v>10</v>
      </c>
      <c r="E156">
        <v>1</v>
      </c>
      <c r="F156">
        <v>1</v>
      </c>
      <c r="G156" t="s">
        <v>482</v>
      </c>
      <c r="H156">
        <v>0</v>
      </c>
      <c r="I156">
        <v>0</v>
      </c>
      <c r="J156">
        <v>0</v>
      </c>
      <c r="L156" t="str">
        <f t="shared" si="11"/>
        <v>SELECT 186, N'Kuba', 1, 10 UNION ALL</v>
      </c>
      <c r="M156" t="s">
        <v>556</v>
      </c>
      <c r="N156" t="s">
        <v>553</v>
      </c>
      <c r="Q156" s="6">
        <f t="shared" ca="1" si="12"/>
        <v>5</v>
      </c>
      <c r="R156" s="6">
        <f t="shared" ca="1" si="13"/>
        <v>42</v>
      </c>
      <c r="U156" s="6" t="str">
        <f ca="1">IF(Q156&gt;0,"SELECT "&amp;COUNTIF($Q$1:$T155,"&gt;0")+1&amp;", "&amp;$A156&amp;", "&amp;Q156&amp;" UNION ALL","")</f>
        <v>SELECT 173, 186, 5 UNION ALL</v>
      </c>
      <c r="V156" s="6" t="str">
        <f ca="1">IF(R156&gt;0,"SELECT "&amp;COUNTIF($Q$1:$T155,"&gt;0")+COUNTIF($Q156:Q156,"&gt;0")+1&amp;", "&amp;$A156&amp;", "&amp;R156&amp;" UNION ALL","")</f>
        <v>SELECT 174, 186, 42 UNION ALL</v>
      </c>
      <c r="W156" s="6" t="str">
        <f>IF(S156&gt;0,"SELECT "&amp;COUNTIF($Q$1:$T155,"&gt;0")+COUNTIF($Q156:R156,"&gt;0")+1&amp;", "&amp;$A156&amp;", "&amp;S156&amp;" UNION ALL","")</f>
        <v/>
      </c>
      <c r="X156" s="6" t="str">
        <f>IF(T156&gt;0,"SELECT "&amp;COUNTIF($Q$1:$T155,"&gt;0")+COUNTIF($Q156:S156,"&gt;0")+1&amp;", "&amp;$A156&amp;", "&amp;T156&amp;" UNION ALL","")</f>
        <v/>
      </c>
      <c r="Y156" s="5" t="str">
        <f t="shared" ca="1" si="14"/>
        <v>SELECT 173, 186, 5 UNION ALL
SELECT 174, 186, 42 UNION ALL</v>
      </c>
    </row>
    <row r="157" spans="1:25">
      <c r="A157">
        <v>187</v>
      </c>
      <c r="B157" t="s">
        <v>483</v>
      </c>
      <c r="C157">
        <v>1</v>
      </c>
      <c r="D157">
        <v>6</v>
      </c>
      <c r="E157">
        <v>1</v>
      </c>
      <c r="F157">
        <v>1</v>
      </c>
      <c r="G157" t="s">
        <v>484</v>
      </c>
      <c r="H157">
        <v>0</v>
      </c>
      <c r="I157">
        <v>0</v>
      </c>
      <c r="J157">
        <v>0</v>
      </c>
      <c r="L157" t="str">
        <f t="shared" si="11"/>
        <v>SELECT 187, N'Honduras', 1, 6 UNION ALL</v>
      </c>
      <c r="M157" t="s">
        <v>556</v>
      </c>
      <c r="Q157" s="6">
        <f t="shared" ca="1" si="12"/>
        <v>5</v>
      </c>
      <c r="R157" s="6">
        <f t="shared" ca="1" si="13"/>
        <v>0</v>
      </c>
      <c r="U157" s="6" t="str">
        <f ca="1">IF(Q157&gt;0,"SELECT "&amp;COUNTIF($Q$1:$T156,"&gt;0")+1&amp;", "&amp;$A157&amp;", "&amp;Q157&amp;" UNION ALL","")</f>
        <v>SELECT 175, 187, 5 UNION ALL</v>
      </c>
      <c r="V157" s="6" t="str">
        <f ca="1">IF(R157&gt;0,"SELECT "&amp;COUNTIF($Q$1:$T156,"&gt;0")+COUNTIF($Q157:Q157,"&gt;0")+1&amp;", "&amp;$A157&amp;", "&amp;R157&amp;" UNION ALL","")</f>
        <v/>
      </c>
      <c r="W157" s="6" t="str">
        <f>IF(S157&gt;0,"SELECT "&amp;COUNTIF($Q$1:$T156,"&gt;0")+COUNTIF($Q157:R157,"&gt;0")+1&amp;", "&amp;$A157&amp;", "&amp;S157&amp;" UNION ALL","")</f>
        <v/>
      </c>
      <c r="X157" s="6" t="str">
        <f>IF(T157&gt;0,"SELECT "&amp;COUNTIF($Q$1:$T156,"&gt;0")+COUNTIF($Q157:S157,"&gt;0")+1&amp;", "&amp;$A157&amp;", "&amp;T157&amp;" UNION ALL","")</f>
        <v/>
      </c>
      <c r="Y157" s="5" t="str">
        <f t="shared" ca="1" si="14"/>
        <v>SELECT 175, 187, 5 UNION ALL</v>
      </c>
    </row>
    <row r="158" spans="1:25">
      <c r="A158">
        <v>188</v>
      </c>
      <c r="B158" t="s">
        <v>485</v>
      </c>
      <c r="C158">
        <v>1</v>
      </c>
      <c r="D158">
        <v>6</v>
      </c>
      <c r="E158">
        <v>1</v>
      </c>
      <c r="F158">
        <v>1</v>
      </c>
      <c r="G158" t="s">
        <v>486</v>
      </c>
      <c r="H158">
        <v>0</v>
      </c>
      <c r="I158">
        <v>0</v>
      </c>
      <c r="J158">
        <v>0</v>
      </c>
      <c r="L158" t="str">
        <f t="shared" si="11"/>
        <v>SELECT 188, N'Salwador', 1, 6 UNION ALL</v>
      </c>
      <c r="M158" t="s">
        <v>556</v>
      </c>
      <c r="Q158" s="6">
        <f t="shared" ca="1" si="12"/>
        <v>5</v>
      </c>
      <c r="R158" s="6">
        <f t="shared" ca="1" si="13"/>
        <v>0</v>
      </c>
      <c r="U158" s="6" t="str">
        <f ca="1">IF(Q158&gt;0,"SELECT "&amp;COUNTIF($Q$1:$T157,"&gt;0")+1&amp;", "&amp;$A158&amp;", "&amp;Q158&amp;" UNION ALL","")</f>
        <v>SELECT 176, 188, 5 UNION ALL</v>
      </c>
      <c r="V158" s="6" t="str">
        <f ca="1">IF(R158&gt;0,"SELECT "&amp;COUNTIF($Q$1:$T157,"&gt;0")+COUNTIF($Q158:Q158,"&gt;0")+1&amp;", "&amp;$A158&amp;", "&amp;R158&amp;" UNION ALL","")</f>
        <v/>
      </c>
      <c r="W158" s="6" t="str">
        <f>IF(S158&gt;0,"SELECT "&amp;COUNTIF($Q$1:$T157,"&gt;0")+COUNTIF($Q158:R158,"&gt;0")+1&amp;", "&amp;$A158&amp;", "&amp;S158&amp;" UNION ALL","")</f>
        <v/>
      </c>
      <c r="X158" s="6" t="str">
        <f>IF(T158&gt;0,"SELECT "&amp;COUNTIF($Q$1:$T157,"&gt;0")+COUNTIF($Q158:S158,"&gt;0")+1&amp;", "&amp;$A158&amp;", "&amp;T158&amp;" UNION ALL","")</f>
        <v/>
      </c>
      <c r="Y158" s="5" t="str">
        <f t="shared" ca="1" si="14"/>
        <v>SELECT 176, 188, 5 UNION ALL</v>
      </c>
    </row>
    <row r="159" spans="1:25">
      <c r="A159">
        <v>189</v>
      </c>
      <c r="B159" t="s">
        <v>487</v>
      </c>
      <c r="C159">
        <v>1</v>
      </c>
      <c r="D159">
        <v>6</v>
      </c>
      <c r="E159">
        <v>1</v>
      </c>
      <c r="F159">
        <v>1</v>
      </c>
      <c r="G159" t="s">
        <v>488</v>
      </c>
      <c r="H159">
        <v>0</v>
      </c>
      <c r="I159">
        <v>0</v>
      </c>
      <c r="J159">
        <v>0</v>
      </c>
      <c r="L159" t="str">
        <f t="shared" si="11"/>
        <v>SELECT 189, N'Gwatemala', 1, 6 UNION ALL</v>
      </c>
      <c r="M159" t="s">
        <v>556</v>
      </c>
      <c r="Q159" s="6">
        <f t="shared" ca="1" si="12"/>
        <v>5</v>
      </c>
      <c r="R159" s="6">
        <f t="shared" ca="1" si="13"/>
        <v>0</v>
      </c>
      <c r="U159" s="6" t="str">
        <f ca="1">IF(Q159&gt;0,"SELECT "&amp;COUNTIF($Q$1:$T158,"&gt;0")+1&amp;", "&amp;$A159&amp;", "&amp;Q159&amp;" UNION ALL","")</f>
        <v>SELECT 177, 189, 5 UNION ALL</v>
      </c>
      <c r="V159" s="6" t="str">
        <f ca="1">IF(R159&gt;0,"SELECT "&amp;COUNTIF($Q$1:$T158,"&gt;0")+COUNTIF($Q159:Q159,"&gt;0")+1&amp;", "&amp;$A159&amp;", "&amp;R159&amp;" UNION ALL","")</f>
        <v/>
      </c>
      <c r="W159" s="6" t="str">
        <f>IF(S159&gt;0,"SELECT "&amp;COUNTIF($Q$1:$T158,"&gt;0")+COUNTIF($Q159:R159,"&gt;0")+1&amp;", "&amp;$A159&amp;", "&amp;S159&amp;" UNION ALL","")</f>
        <v/>
      </c>
      <c r="X159" s="6" t="str">
        <f>IF(T159&gt;0,"SELECT "&amp;COUNTIF($Q$1:$T158,"&gt;0")+COUNTIF($Q159:S159,"&gt;0")+1&amp;", "&amp;$A159&amp;", "&amp;T159&amp;" UNION ALL","")</f>
        <v/>
      </c>
      <c r="Y159" s="5" t="str">
        <f t="shared" ca="1" si="14"/>
        <v>SELECT 177, 189, 5 UNION ALL</v>
      </c>
    </row>
    <row r="160" spans="1:25">
      <c r="A160">
        <v>190</v>
      </c>
      <c r="B160" t="s">
        <v>489</v>
      </c>
      <c r="C160">
        <v>1</v>
      </c>
      <c r="D160">
        <v>6</v>
      </c>
      <c r="E160">
        <v>1</v>
      </c>
      <c r="F160">
        <v>1</v>
      </c>
      <c r="G160" t="s">
        <v>490</v>
      </c>
      <c r="H160">
        <v>0</v>
      </c>
      <c r="I160">
        <v>0</v>
      </c>
      <c r="J160">
        <v>0</v>
      </c>
      <c r="L160" t="str">
        <f t="shared" si="11"/>
        <v>SELECT 190, N'Nikaragua', 1, 6 UNION ALL</v>
      </c>
      <c r="M160" t="s">
        <v>556</v>
      </c>
      <c r="Q160" s="6">
        <f t="shared" ca="1" si="12"/>
        <v>5</v>
      </c>
      <c r="R160" s="6">
        <f t="shared" ca="1" si="13"/>
        <v>0</v>
      </c>
      <c r="U160" s="6" t="str">
        <f ca="1">IF(Q160&gt;0,"SELECT "&amp;COUNTIF($Q$1:$T159,"&gt;0")+1&amp;", "&amp;$A160&amp;", "&amp;Q160&amp;" UNION ALL","")</f>
        <v>SELECT 178, 190, 5 UNION ALL</v>
      </c>
      <c r="V160" s="6" t="str">
        <f ca="1">IF(R160&gt;0,"SELECT "&amp;COUNTIF($Q$1:$T159,"&gt;0")+COUNTIF($Q160:Q160,"&gt;0")+1&amp;", "&amp;$A160&amp;", "&amp;R160&amp;" UNION ALL","")</f>
        <v/>
      </c>
      <c r="W160" s="6" t="str">
        <f>IF(S160&gt;0,"SELECT "&amp;COUNTIF($Q$1:$T159,"&gt;0")+COUNTIF($Q160:R160,"&gt;0")+1&amp;", "&amp;$A160&amp;", "&amp;S160&amp;" UNION ALL","")</f>
        <v/>
      </c>
      <c r="X160" s="6" t="str">
        <f>IF(T160&gt;0,"SELECT "&amp;COUNTIF($Q$1:$T159,"&gt;0")+COUNTIF($Q160:S160,"&gt;0")+1&amp;", "&amp;$A160&amp;", "&amp;T160&amp;" UNION ALL","")</f>
        <v/>
      </c>
      <c r="Y160" s="5" t="str">
        <f t="shared" ca="1" si="14"/>
        <v>SELECT 178, 190, 5 UNION ALL</v>
      </c>
    </row>
    <row r="161" spans="1:25">
      <c r="A161">
        <v>191</v>
      </c>
      <c r="B161" t="s">
        <v>491</v>
      </c>
      <c r="C161">
        <v>1</v>
      </c>
      <c r="D161">
        <v>7</v>
      </c>
      <c r="E161">
        <v>1</v>
      </c>
      <c r="F161">
        <v>1</v>
      </c>
      <c r="G161" t="s">
        <v>492</v>
      </c>
      <c r="H161">
        <v>0</v>
      </c>
      <c r="I161">
        <v>0</v>
      </c>
      <c r="J161">
        <v>0</v>
      </c>
      <c r="L161" t="str">
        <f t="shared" si="11"/>
        <v>SELECT 191, N'Panama', 1, 7 UNION ALL</v>
      </c>
      <c r="M161" t="s">
        <v>556</v>
      </c>
      <c r="Q161" s="6">
        <f t="shared" ca="1" si="12"/>
        <v>5</v>
      </c>
      <c r="R161" s="6">
        <f t="shared" ca="1" si="13"/>
        <v>0</v>
      </c>
      <c r="U161" s="6" t="str">
        <f ca="1">IF(Q161&gt;0,"SELECT "&amp;COUNTIF($Q$1:$T160,"&gt;0")+1&amp;", "&amp;$A161&amp;", "&amp;Q161&amp;" UNION ALL","")</f>
        <v>SELECT 179, 191, 5 UNION ALL</v>
      </c>
      <c r="V161" s="6" t="str">
        <f ca="1">IF(R161&gt;0,"SELECT "&amp;COUNTIF($Q$1:$T160,"&gt;0")+COUNTIF($Q161:Q161,"&gt;0")+1&amp;", "&amp;$A161&amp;", "&amp;R161&amp;" UNION ALL","")</f>
        <v/>
      </c>
      <c r="W161" s="6" t="str">
        <f>IF(S161&gt;0,"SELECT "&amp;COUNTIF($Q$1:$T160,"&gt;0")+COUNTIF($Q161:R161,"&gt;0")+1&amp;", "&amp;$A161&amp;", "&amp;S161&amp;" UNION ALL","")</f>
        <v/>
      </c>
      <c r="X161" s="6" t="str">
        <f>IF(T161&gt;0,"SELECT "&amp;COUNTIF($Q$1:$T160,"&gt;0")+COUNTIF($Q161:S161,"&gt;0")+1&amp;", "&amp;$A161&amp;", "&amp;T161&amp;" UNION ALL","")</f>
        <v/>
      </c>
      <c r="Y161" s="5" t="str">
        <f t="shared" ca="1" si="14"/>
        <v>SELECT 179, 191, 5 UNION ALL</v>
      </c>
    </row>
    <row r="162" spans="1:25" ht="30">
      <c r="A162">
        <v>193</v>
      </c>
      <c r="B162" t="s">
        <v>493</v>
      </c>
      <c r="C162">
        <v>1</v>
      </c>
      <c r="D162">
        <v>8</v>
      </c>
      <c r="E162">
        <v>1</v>
      </c>
      <c r="F162">
        <v>1</v>
      </c>
      <c r="G162" t="s">
        <v>494</v>
      </c>
      <c r="H162">
        <v>0</v>
      </c>
      <c r="I162">
        <v>0</v>
      </c>
      <c r="J162">
        <v>0</v>
      </c>
      <c r="L162" t="str">
        <f t="shared" si="11"/>
        <v>SELECT 193, N'Dominikana', 1, 8 UNION ALL</v>
      </c>
      <c r="M162" t="s">
        <v>556</v>
      </c>
      <c r="N162" t="s">
        <v>553</v>
      </c>
      <c r="Q162" s="6">
        <f t="shared" ca="1" si="12"/>
        <v>5</v>
      </c>
      <c r="R162" s="6">
        <f t="shared" ca="1" si="13"/>
        <v>42</v>
      </c>
      <c r="U162" s="6" t="str">
        <f ca="1">IF(Q162&gt;0,"SELECT "&amp;COUNTIF($Q$1:$T161,"&gt;0")+1&amp;", "&amp;$A162&amp;", "&amp;Q162&amp;" UNION ALL","")</f>
        <v>SELECT 180, 193, 5 UNION ALL</v>
      </c>
      <c r="V162" s="6" t="str">
        <f ca="1">IF(R162&gt;0,"SELECT "&amp;COUNTIF($Q$1:$T161,"&gt;0")+COUNTIF($Q162:Q162,"&gt;0")+1&amp;", "&amp;$A162&amp;", "&amp;R162&amp;" UNION ALL","")</f>
        <v>SELECT 181, 193, 42 UNION ALL</v>
      </c>
      <c r="W162" s="6" t="str">
        <f>IF(S162&gt;0,"SELECT "&amp;COUNTIF($Q$1:$T161,"&gt;0")+COUNTIF($Q162:R162,"&gt;0")+1&amp;", "&amp;$A162&amp;", "&amp;S162&amp;" UNION ALL","")</f>
        <v/>
      </c>
      <c r="X162" s="6" t="str">
        <f>IF(T162&gt;0,"SELECT "&amp;COUNTIF($Q$1:$T161,"&gt;0")+COUNTIF($Q162:S162,"&gt;0")+1&amp;", "&amp;$A162&amp;", "&amp;T162&amp;" UNION ALL","")</f>
        <v/>
      </c>
      <c r="Y162" s="5" t="str">
        <f t="shared" ca="1" si="14"/>
        <v>SELECT 180, 193, 5 UNION ALL
SELECT 181, 193, 42 UNION ALL</v>
      </c>
    </row>
    <row r="163" spans="1:25">
      <c r="A163">
        <v>194</v>
      </c>
      <c r="B163" t="s">
        <v>495</v>
      </c>
      <c r="C163">
        <v>1</v>
      </c>
      <c r="D163">
        <v>7</v>
      </c>
      <c r="E163">
        <v>1</v>
      </c>
      <c r="F163">
        <v>1</v>
      </c>
      <c r="G163" t="s">
        <v>496</v>
      </c>
      <c r="H163">
        <v>0</v>
      </c>
      <c r="I163">
        <v>0</v>
      </c>
      <c r="J163">
        <v>0</v>
      </c>
      <c r="L163" t="str">
        <f t="shared" si="11"/>
        <v>SELECT 194, N'Haiti', 1, 7 UNION ALL</v>
      </c>
      <c r="M163" t="s">
        <v>556</v>
      </c>
      <c r="Q163" s="6">
        <f t="shared" ca="1" si="12"/>
        <v>5</v>
      </c>
      <c r="R163" s="6">
        <f t="shared" ca="1" si="13"/>
        <v>0</v>
      </c>
      <c r="U163" s="6" t="str">
        <f ca="1">IF(Q163&gt;0,"SELECT "&amp;COUNTIF($Q$1:$T162,"&gt;0")+1&amp;", "&amp;$A163&amp;", "&amp;Q163&amp;" UNION ALL","")</f>
        <v>SELECT 182, 194, 5 UNION ALL</v>
      </c>
      <c r="V163" s="6" t="str">
        <f ca="1">IF(R163&gt;0,"SELECT "&amp;COUNTIF($Q$1:$T162,"&gt;0")+COUNTIF($Q163:Q163,"&gt;0")+1&amp;", "&amp;$A163&amp;", "&amp;R163&amp;" UNION ALL","")</f>
        <v/>
      </c>
      <c r="W163" s="6" t="str">
        <f>IF(S163&gt;0,"SELECT "&amp;COUNTIF($Q$1:$T162,"&gt;0")+COUNTIF($Q163:R163,"&gt;0")+1&amp;", "&amp;$A163&amp;", "&amp;S163&amp;" UNION ALL","")</f>
        <v/>
      </c>
      <c r="X163" s="6" t="str">
        <f>IF(T163&gt;0,"SELECT "&amp;COUNTIF($Q$1:$T162,"&gt;0")+COUNTIF($Q163:S163,"&gt;0")+1&amp;", "&amp;$A163&amp;", "&amp;T163&amp;" UNION ALL","")</f>
        <v/>
      </c>
      <c r="Y163" s="5" t="str">
        <f t="shared" ca="1" si="14"/>
        <v>SELECT 182, 194, 5 UNION ALL</v>
      </c>
    </row>
    <row r="164" spans="1:25">
      <c r="A164">
        <v>195</v>
      </c>
      <c r="B164" t="s">
        <v>497</v>
      </c>
      <c r="C164">
        <v>1</v>
      </c>
      <c r="D164">
        <v>7</v>
      </c>
      <c r="E164">
        <v>1</v>
      </c>
      <c r="F164">
        <v>1</v>
      </c>
      <c r="G164" t="s">
        <v>498</v>
      </c>
      <c r="H164">
        <v>0</v>
      </c>
      <c r="I164">
        <v>0</v>
      </c>
      <c r="J164">
        <v>0</v>
      </c>
      <c r="L164" t="str">
        <f t="shared" si="11"/>
        <v>SELECT 195, N'Portoryko', 1, 7 UNION ALL</v>
      </c>
      <c r="M164" t="s">
        <v>556</v>
      </c>
      <c r="Q164" s="6">
        <f t="shared" ca="1" si="12"/>
        <v>5</v>
      </c>
      <c r="R164" s="6">
        <f t="shared" ca="1" si="13"/>
        <v>0</v>
      </c>
      <c r="U164" s="6" t="str">
        <f ca="1">IF(Q164&gt;0,"SELECT "&amp;COUNTIF($Q$1:$T163,"&gt;0")+1&amp;", "&amp;$A164&amp;", "&amp;Q164&amp;" UNION ALL","")</f>
        <v>SELECT 183, 195, 5 UNION ALL</v>
      </c>
      <c r="V164" s="6" t="str">
        <f ca="1">IF(R164&gt;0,"SELECT "&amp;COUNTIF($Q$1:$T163,"&gt;0")+COUNTIF($Q164:Q164,"&gt;0")+1&amp;", "&amp;$A164&amp;", "&amp;R164&amp;" UNION ALL","")</f>
        <v/>
      </c>
      <c r="W164" s="6" t="str">
        <f>IF(S164&gt;0,"SELECT "&amp;COUNTIF($Q$1:$T163,"&gt;0")+COUNTIF($Q164:R164,"&gt;0")+1&amp;", "&amp;$A164&amp;", "&amp;S164&amp;" UNION ALL","")</f>
        <v/>
      </c>
      <c r="X164" s="6" t="str">
        <f>IF(T164&gt;0,"SELECT "&amp;COUNTIF($Q$1:$T163,"&gt;0")+COUNTIF($Q164:S164,"&gt;0")+1&amp;", "&amp;$A164&amp;", "&amp;T164&amp;" UNION ALL","")</f>
        <v/>
      </c>
      <c r="Y164" s="5" t="str">
        <f t="shared" ca="1" si="14"/>
        <v>SELECT 183, 195, 5 UNION ALL</v>
      </c>
    </row>
    <row r="165" spans="1:25">
      <c r="A165">
        <v>196</v>
      </c>
      <c r="B165" t="s">
        <v>499</v>
      </c>
      <c r="C165">
        <v>1</v>
      </c>
      <c r="D165">
        <v>7</v>
      </c>
      <c r="E165">
        <v>1</v>
      </c>
      <c r="F165">
        <v>1</v>
      </c>
      <c r="G165" t="s">
        <v>500</v>
      </c>
      <c r="H165">
        <v>0</v>
      </c>
      <c r="I165">
        <v>0</v>
      </c>
      <c r="J165">
        <v>0</v>
      </c>
      <c r="L165" t="str">
        <f t="shared" si="11"/>
        <v>SELECT 196, N'Kostaryka', 1, 7 UNION ALL</v>
      </c>
      <c r="M165" t="s">
        <v>556</v>
      </c>
      <c r="Q165" s="6">
        <f t="shared" ca="1" si="12"/>
        <v>5</v>
      </c>
      <c r="R165" s="6">
        <f t="shared" ca="1" si="13"/>
        <v>0</v>
      </c>
      <c r="U165" s="6" t="str">
        <f ca="1">IF(Q165&gt;0,"SELECT "&amp;COUNTIF($Q$1:$T164,"&gt;0")+1&amp;", "&amp;$A165&amp;", "&amp;Q165&amp;" UNION ALL","")</f>
        <v>SELECT 184, 196, 5 UNION ALL</v>
      </c>
      <c r="V165" s="6" t="str">
        <f ca="1">IF(R165&gt;0,"SELECT "&amp;COUNTIF($Q$1:$T164,"&gt;0")+COUNTIF($Q165:Q165,"&gt;0")+1&amp;", "&amp;$A165&amp;", "&amp;R165&amp;" UNION ALL","")</f>
        <v/>
      </c>
      <c r="W165" s="6" t="str">
        <f>IF(S165&gt;0,"SELECT "&amp;COUNTIF($Q$1:$T164,"&gt;0")+COUNTIF($Q165:R165,"&gt;0")+1&amp;", "&amp;$A165&amp;", "&amp;S165&amp;" UNION ALL","")</f>
        <v/>
      </c>
      <c r="X165" s="6" t="str">
        <f>IF(T165&gt;0,"SELECT "&amp;COUNTIF($Q$1:$T164,"&gt;0")+COUNTIF($Q165:S165,"&gt;0")+1&amp;", "&amp;$A165&amp;", "&amp;T165&amp;" UNION ALL","")</f>
        <v/>
      </c>
      <c r="Y165" s="5" t="str">
        <f t="shared" ca="1" si="14"/>
        <v>SELECT 184, 196, 5 UNION ALL</v>
      </c>
    </row>
    <row r="166" spans="1:25">
      <c r="A166">
        <v>197</v>
      </c>
      <c r="B166" t="s">
        <v>501</v>
      </c>
      <c r="C166">
        <v>1</v>
      </c>
      <c r="D166">
        <v>3</v>
      </c>
      <c r="E166">
        <v>1</v>
      </c>
      <c r="F166">
        <v>1</v>
      </c>
      <c r="G166" t="s">
        <v>502</v>
      </c>
      <c r="H166">
        <v>0</v>
      </c>
      <c r="I166">
        <v>0</v>
      </c>
      <c r="J166">
        <v>0</v>
      </c>
      <c r="L166" t="str">
        <f t="shared" si="11"/>
        <v>SELECT 197, N'Belize', 1, 3 UNION ALL</v>
      </c>
      <c r="M166" t="s">
        <v>556</v>
      </c>
      <c r="Q166" s="6">
        <f t="shared" ca="1" si="12"/>
        <v>5</v>
      </c>
      <c r="R166" s="6">
        <f t="shared" ca="1" si="13"/>
        <v>0</v>
      </c>
      <c r="U166" s="6" t="str">
        <f ca="1">IF(Q166&gt;0,"SELECT "&amp;COUNTIF($Q$1:$T165,"&gt;0")+1&amp;", "&amp;$A166&amp;", "&amp;Q166&amp;" UNION ALL","")</f>
        <v>SELECT 185, 197, 5 UNION ALL</v>
      </c>
      <c r="V166" s="6" t="str">
        <f ca="1">IF(R166&gt;0,"SELECT "&amp;COUNTIF($Q$1:$T165,"&gt;0")+COUNTIF($Q166:Q166,"&gt;0")+1&amp;", "&amp;$A166&amp;", "&amp;R166&amp;" UNION ALL","")</f>
        <v/>
      </c>
      <c r="W166" s="6" t="str">
        <f>IF(S166&gt;0,"SELECT "&amp;COUNTIF($Q$1:$T165,"&gt;0")+COUNTIF($Q166:R166,"&gt;0")+1&amp;", "&amp;$A166&amp;", "&amp;S166&amp;" UNION ALL","")</f>
        <v/>
      </c>
      <c r="X166" s="6" t="str">
        <f>IF(T166&gt;0,"SELECT "&amp;COUNTIF($Q$1:$T165,"&gt;0")+COUNTIF($Q166:S166,"&gt;0")+1&amp;", "&amp;$A166&amp;", "&amp;T166&amp;" UNION ALL","")</f>
        <v/>
      </c>
      <c r="Y166" s="5" t="str">
        <f t="shared" ca="1" si="14"/>
        <v>SELECT 185, 197, 5 UNION ALL</v>
      </c>
    </row>
    <row r="167" spans="1:25" ht="30">
      <c r="A167">
        <v>198</v>
      </c>
      <c r="B167" t="s">
        <v>503</v>
      </c>
      <c r="C167">
        <v>1</v>
      </c>
      <c r="D167">
        <v>5</v>
      </c>
      <c r="E167">
        <v>1</v>
      </c>
      <c r="F167">
        <v>1</v>
      </c>
      <c r="G167" t="s">
        <v>504</v>
      </c>
      <c r="H167">
        <v>0</v>
      </c>
      <c r="I167">
        <v>0</v>
      </c>
      <c r="J167">
        <v>0</v>
      </c>
      <c r="L167" t="str">
        <f t="shared" si="11"/>
        <v>SELECT 198, N'Bahamy', 1, 5 UNION ALL</v>
      </c>
      <c r="M167" t="s">
        <v>556</v>
      </c>
      <c r="N167" t="s">
        <v>553</v>
      </c>
      <c r="Q167" s="6">
        <f t="shared" ca="1" si="12"/>
        <v>5</v>
      </c>
      <c r="R167" s="6">
        <f t="shared" ca="1" si="13"/>
        <v>42</v>
      </c>
      <c r="U167" s="6" t="str">
        <f ca="1">IF(Q167&gt;0,"SELECT "&amp;COUNTIF($Q$1:$T166,"&gt;0")+1&amp;", "&amp;$A167&amp;", "&amp;Q167&amp;" UNION ALL","")</f>
        <v>SELECT 186, 198, 5 UNION ALL</v>
      </c>
      <c r="V167" s="6" t="str">
        <f ca="1">IF(R167&gt;0,"SELECT "&amp;COUNTIF($Q$1:$T166,"&gt;0")+COUNTIF($Q167:Q167,"&gt;0")+1&amp;", "&amp;$A167&amp;", "&amp;R167&amp;" UNION ALL","")</f>
        <v>SELECT 187, 198, 42 UNION ALL</v>
      </c>
      <c r="W167" s="6" t="str">
        <f>IF(S167&gt;0,"SELECT "&amp;COUNTIF($Q$1:$T166,"&gt;0")+COUNTIF($Q167:R167,"&gt;0")+1&amp;", "&amp;$A167&amp;", "&amp;S167&amp;" UNION ALL","")</f>
        <v/>
      </c>
      <c r="X167" s="6" t="str">
        <f>IF(T167&gt;0,"SELECT "&amp;COUNTIF($Q$1:$T166,"&gt;0")+COUNTIF($Q167:S167,"&gt;0")+1&amp;", "&amp;$A167&amp;", "&amp;T167&amp;" UNION ALL","")</f>
        <v/>
      </c>
      <c r="Y167" s="5" t="str">
        <f t="shared" ca="1" si="14"/>
        <v>SELECT 186, 198, 5 UNION ALL
SELECT 187, 198, 42 UNION ALL</v>
      </c>
    </row>
    <row r="168" spans="1:25">
      <c r="A168">
        <f>A167+1</f>
        <v>199</v>
      </c>
      <c r="B168" t="s">
        <v>982</v>
      </c>
      <c r="C168">
        <v>1</v>
      </c>
      <c r="D168">
        <v>10</v>
      </c>
      <c r="L168" t="str">
        <f t="shared" si="11"/>
        <v>SELECT 199, N'Europa', 1, 10 UNION ALL</v>
      </c>
      <c r="M168" t="s">
        <v>551</v>
      </c>
      <c r="Q168" s="6">
        <f t="shared" ca="1" si="12"/>
        <v>41</v>
      </c>
      <c r="R168" s="6">
        <f t="shared" ca="1" si="13"/>
        <v>0</v>
      </c>
      <c r="U168" s="6" t="str">
        <f ca="1">IF(Q168&gt;0,"SELECT "&amp;COUNTIF($Q$1:$T167,"&gt;0")+1&amp;", "&amp;$A168&amp;", "&amp;Q168&amp;" UNION ALL","")</f>
        <v>SELECT 188, 199, 41 UNION ALL</v>
      </c>
      <c r="V168" s="6" t="str">
        <f ca="1">IF(R168&gt;0,"SELECT "&amp;COUNTIF($Q$1:$T167,"&gt;0")+COUNTIF($Q168:Q168,"&gt;0")+1&amp;", "&amp;$A168&amp;", "&amp;R168&amp;" UNION ALL","")</f>
        <v/>
      </c>
      <c r="W168" s="6" t="str">
        <f>IF(S168&gt;0,"SELECT "&amp;COUNTIF($Q$1:$T167,"&gt;0")+COUNTIF($Q168:R168,"&gt;0")+1&amp;", "&amp;$A168&amp;", "&amp;S168&amp;" UNION ALL","")</f>
        <v/>
      </c>
      <c r="X168" s="6" t="str">
        <f>IF(T168&gt;0,"SELECT "&amp;COUNTIF($Q$1:$T167,"&gt;0")+COUNTIF($Q168:S168,"&gt;0")+1&amp;", "&amp;$A168&amp;", "&amp;T168&amp;" UNION ALL","")</f>
        <v/>
      </c>
      <c r="Y168" s="5" t="str">
        <f t="shared" ca="1" si="14"/>
        <v>SELECT 188, 199, 41 UNION ALL</v>
      </c>
    </row>
    <row r="169" spans="1:25">
      <c r="A169">
        <f t="shared" ref="A169:A232" si="15">A168+1</f>
        <v>200</v>
      </c>
      <c r="B169" t="s">
        <v>983</v>
      </c>
      <c r="C169">
        <v>1</v>
      </c>
      <c r="D169">
        <v>10</v>
      </c>
      <c r="L169" t="str">
        <f t="shared" si="11"/>
        <v>SELECT 200, N'Ameryka Południowa', 1, 10 UNION ALL</v>
      </c>
      <c r="M169" t="s">
        <v>551</v>
      </c>
      <c r="Q169" s="6">
        <f t="shared" ca="1" si="12"/>
        <v>41</v>
      </c>
      <c r="R169" s="6">
        <f t="shared" ca="1" si="13"/>
        <v>0</v>
      </c>
      <c r="U169" s="6" t="str">
        <f ca="1">IF(Q169&gt;0,"SELECT "&amp;COUNTIF($Q$1:$T168,"&gt;0")+1&amp;", "&amp;$A169&amp;", "&amp;Q169&amp;" UNION ALL","")</f>
        <v>SELECT 189, 200, 41 UNION ALL</v>
      </c>
      <c r="V169" s="6" t="str">
        <f ca="1">IF(R169&gt;0,"SELECT "&amp;COUNTIF($Q$1:$T168,"&gt;0")+COUNTIF($Q169:Q169,"&gt;0")+1&amp;", "&amp;$A169&amp;", "&amp;R169&amp;" UNION ALL","")</f>
        <v/>
      </c>
      <c r="W169" s="6" t="str">
        <f>IF(S169&gt;0,"SELECT "&amp;COUNTIF($Q$1:$T168,"&gt;0")+COUNTIF($Q169:R169,"&gt;0")+1&amp;", "&amp;$A169&amp;", "&amp;S169&amp;" UNION ALL","")</f>
        <v/>
      </c>
      <c r="X169" s="6" t="str">
        <f>IF(T169&gt;0,"SELECT "&amp;COUNTIF($Q$1:$T168,"&gt;0")+COUNTIF($Q169:S169,"&gt;0")+1&amp;", "&amp;$A169&amp;", "&amp;T169&amp;" UNION ALL","")</f>
        <v/>
      </c>
      <c r="Y169" s="5" t="str">
        <f t="shared" ca="1" si="14"/>
        <v>SELECT 189, 200, 41 UNION ALL</v>
      </c>
    </row>
    <row r="170" spans="1:25">
      <c r="A170">
        <f t="shared" si="15"/>
        <v>201</v>
      </c>
      <c r="B170" t="s">
        <v>984</v>
      </c>
      <c r="C170">
        <v>1</v>
      </c>
      <c r="D170">
        <v>10</v>
      </c>
      <c r="L170" t="str">
        <f t="shared" si="11"/>
        <v>SELECT 201, N'Ameryka Północna', 1, 10 UNION ALL</v>
      </c>
      <c r="M170" t="s">
        <v>551</v>
      </c>
      <c r="Q170" s="6">
        <f t="shared" ca="1" si="12"/>
        <v>41</v>
      </c>
      <c r="R170" s="6">
        <f t="shared" ca="1" si="13"/>
        <v>0</v>
      </c>
      <c r="U170" s="6" t="str">
        <f ca="1">IF(Q170&gt;0,"SELECT "&amp;COUNTIF($Q$1:$T169,"&gt;0")+1&amp;", "&amp;$A170&amp;", "&amp;Q170&amp;" UNION ALL","")</f>
        <v>SELECT 190, 201, 41 UNION ALL</v>
      </c>
      <c r="V170" s="6" t="str">
        <f ca="1">IF(R170&gt;0,"SELECT "&amp;COUNTIF($Q$1:$T169,"&gt;0")+COUNTIF($Q170:Q170,"&gt;0")+1&amp;", "&amp;$A170&amp;", "&amp;R170&amp;" UNION ALL","")</f>
        <v/>
      </c>
      <c r="W170" s="6" t="str">
        <f>IF(S170&gt;0,"SELECT "&amp;COUNTIF($Q$1:$T169,"&gt;0")+COUNTIF($Q170:R170,"&gt;0")+1&amp;", "&amp;$A170&amp;", "&amp;S170&amp;" UNION ALL","")</f>
        <v/>
      </c>
      <c r="X170" s="6" t="str">
        <f>IF(T170&gt;0,"SELECT "&amp;COUNTIF($Q$1:$T169,"&gt;0")+COUNTIF($Q170:S170,"&gt;0")+1&amp;", "&amp;$A170&amp;", "&amp;T170&amp;" UNION ALL","")</f>
        <v/>
      </c>
      <c r="Y170" s="5" t="str">
        <f t="shared" ca="1" si="14"/>
        <v>SELECT 190, 201, 41 UNION ALL</v>
      </c>
    </row>
    <row r="171" spans="1:25">
      <c r="A171">
        <f t="shared" si="15"/>
        <v>202</v>
      </c>
      <c r="B171" t="s">
        <v>985</v>
      </c>
      <c r="C171">
        <v>1</v>
      </c>
      <c r="D171">
        <v>10</v>
      </c>
      <c r="L171" t="str">
        <f t="shared" si="11"/>
        <v>SELECT 202, N'Afryka', 1, 10 UNION ALL</v>
      </c>
      <c r="M171" t="s">
        <v>551</v>
      </c>
      <c r="Q171" s="6">
        <f t="shared" ca="1" si="12"/>
        <v>41</v>
      </c>
      <c r="R171" s="6">
        <f t="shared" ca="1" si="13"/>
        <v>0</v>
      </c>
      <c r="U171" s="6" t="str">
        <f ca="1">IF(Q171&gt;0,"SELECT "&amp;COUNTIF($Q$1:$T170,"&gt;0")+1&amp;", "&amp;$A171&amp;", "&amp;Q171&amp;" UNION ALL","")</f>
        <v>SELECT 191, 202, 41 UNION ALL</v>
      </c>
      <c r="V171" s="6" t="str">
        <f ca="1">IF(R171&gt;0,"SELECT "&amp;COUNTIF($Q$1:$T170,"&gt;0")+COUNTIF($Q171:Q171,"&gt;0")+1&amp;", "&amp;$A171&amp;", "&amp;R171&amp;" UNION ALL","")</f>
        <v/>
      </c>
      <c r="W171" s="6" t="str">
        <f>IF(S171&gt;0,"SELECT "&amp;COUNTIF($Q$1:$T170,"&gt;0")+COUNTIF($Q171:R171,"&gt;0")+1&amp;", "&amp;$A171&amp;", "&amp;S171&amp;" UNION ALL","")</f>
        <v/>
      </c>
      <c r="X171" s="6" t="str">
        <f>IF(T171&gt;0,"SELECT "&amp;COUNTIF($Q$1:$T170,"&gt;0")+COUNTIF($Q171:S171,"&gt;0")+1&amp;", "&amp;$A171&amp;", "&amp;T171&amp;" UNION ALL","")</f>
        <v/>
      </c>
      <c r="Y171" s="5" t="str">
        <f t="shared" ca="1" si="14"/>
        <v>SELECT 191, 202, 41 UNION ALL</v>
      </c>
    </row>
    <row r="172" spans="1:25">
      <c r="A172">
        <f t="shared" si="15"/>
        <v>203</v>
      </c>
      <c r="B172" t="s">
        <v>986</v>
      </c>
      <c r="C172">
        <v>1</v>
      </c>
      <c r="D172">
        <v>10</v>
      </c>
      <c r="L172" t="str">
        <f t="shared" si="11"/>
        <v>SELECT 203, N'Azja', 1, 10 UNION ALL</v>
      </c>
      <c r="M172" t="s">
        <v>551</v>
      </c>
      <c r="Q172" s="6">
        <f t="shared" ca="1" si="12"/>
        <v>41</v>
      </c>
      <c r="R172" s="6">
        <f t="shared" ca="1" si="13"/>
        <v>0</v>
      </c>
      <c r="U172" s="6" t="str">
        <f ca="1">IF(Q172&gt;0,"SELECT "&amp;COUNTIF($Q$1:$T171,"&gt;0")+1&amp;", "&amp;$A172&amp;", "&amp;Q172&amp;" UNION ALL","")</f>
        <v>SELECT 192, 203, 41 UNION ALL</v>
      </c>
      <c r="V172" s="6" t="str">
        <f ca="1">IF(R172&gt;0,"SELECT "&amp;COUNTIF($Q$1:$T171,"&gt;0")+COUNTIF($Q172:Q172,"&gt;0")+1&amp;", "&amp;$A172&amp;", "&amp;R172&amp;" UNION ALL","")</f>
        <v/>
      </c>
      <c r="W172" s="6" t="str">
        <f>IF(S172&gt;0,"SELECT "&amp;COUNTIF($Q$1:$T171,"&gt;0")+COUNTIF($Q172:R172,"&gt;0")+1&amp;", "&amp;$A172&amp;", "&amp;S172&amp;" UNION ALL","")</f>
        <v/>
      </c>
      <c r="X172" s="6" t="str">
        <f>IF(T172&gt;0,"SELECT "&amp;COUNTIF($Q$1:$T171,"&gt;0")+COUNTIF($Q172:S172,"&gt;0")+1&amp;", "&amp;$A172&amp;", "&amp;T172&amp;" UNION ALL","")</f>
        <v/>
      </c>
      <c r="Y172" s="5" t="str">
        <f t="shared" ca="1" si="14"/>
        <v>SELECT 192, 203, 41 UNION ALL</v>
      </c>
    </row>
    <row r="173" spans="1:25">
      <c r="A173">
        <f t="shared" si="15"/>
        <v>204</v>
      </c>
      <c r="B173" t="s">
        <v>987</v>
      </c>
      <c r="C173">
        <v>1</v>
      </c>
      <c r="D173">
        <v>10</v>
      </c>
      <c r="L173" t="str">
        <f t="shared" si="11"/>
        <v>SELECT 204, N'Oceania', 1, 10 UNION ALL</v>
      </c>
      <c r="M173" t="s">
        <v>551</v>
      </c>
      <c r="Q173" s="6">
        <f t="shared" ca="1" si="12"/>
        <v>41</v>
      </c>
      <c r="R173" s="6">
        <f t="shared" ca="1" si="13"/>
        <v>0</v>
      </c>
      <c r="U173" s="6" t="str">
        <f ca="1">IF(Q173&gt;0,"SELECT "&amp;COUNTIF($Q$1:$T172,"&gt;0")+1&amp;", "&amp;$A173&amp;", "&amp;Q173&amp;" UNION ALL","")</f>
        <v>SELECT 193, 204, 41 UNION ALL</v>
      </c>
      <c r="V173" s="6" t="str">
        <f ca="1">IF(R173&gt;0,"SELECT "&amp;COUNTIF($Q$1:$T172,"&gt;0")+COUNTIF($Q173:Q173,"&gt;0")+1&amp;", "&amp;$A173&amp;", "&amp;R173&amp;" UNION ALL","")</f>
        <v/>
      </c>
      <c r="W173" s="6" t="str">
        <f>IF(S173&gt;0,"SELECT "&amp;COUNTIF($Q$1:$T172,"&gt;0")+COUNTIF($Q173:R173,"&gt;0")+1&amp;", "&amp;$A173&amp;", "&amp;S173&amp;" UNION ALL","")</f>
        <v/>
      </c>
      <c r="X173" s="6" t="str">
        <f>IF(T173&gt;0,"SELECT "&amp;COUNTIF($Q$1:$T172,"&gt;0")+COUNTIF($Q173:S173,"&gt;0")+1&amp;", "&amp;$A173&amp;", "&amp;T173&amp;" UNION ALL","")</f>
        <v/>
      </c>
      <c r="Y173" s="5" t="str">
        <f t="shared" ca="1" si="14"/>
        <v>SELECT 193, 204, 41 UNION ALL</v>
      </c>
    </row>
    <row r="174" spans="1:25">
      <c r="A174">
        <f t="shared" si="15"/>
        <v>205</v>
      </c>
      <c r="B174" t="s">
        <v>988</v>
      </c>
      <c r="C174">
        <v>1</v>
      </c>
      <c r="D174">
        <v>9</v>
      </c>
      <c r="L174" t="str">
        <f t="shared" si="11"/>
        <v>SELECT 205, N'Skandynawia', 1, 9 UNION ALL</v>
      </c>
      <c r="M174" t="s">
        <v>992</v>
      </c>
      <c r="Q174" s="6">
        <f t="shared" ca="1" si="12"/>
        <v>44</v>
      </c>
      <c r="R174" s="6">
        <f t="shared" ca="1" si="13"/>
        <v>0</v>
      </c>
      <c r="U174" s="6" t="str">
        <f ca="1">IF(Q174&gt;0,"SELECT "&amp;COUNTIF($Q$1:$T173,"&gt;0")+1&amp;", "&amp;$A174&amp;", "&amp;Q174&amp;" UNION ALL","")</f>
        <v>SELECT 194, 205, 44 UNION ALL</v>
      </c>
      <c r="V174" s="6" t="str">
        <f ca="1">IF(R174&gt;0,"SELECT "&amp;COUNTIF($Q$1:$T173,"&gt;0")+COUNTIF($Q174:Q174,"&gt;0")+1&amp;", "&amp;$A174&amp;", "&amp;R174&amp;" UNION ALL","")</f>
        <v/>
      </c>
      <c r="W174" s="6" t="str">
        <f>IF(S174&gt;0,"SELECT "&amp;COUNTIF($Q$1:$T173,"&gt;0")+COUNTIF($Q174:R174,"&gt;0")+1&amp;", "&amp;$A174&amp;", "&amp;S174&amp;" UNION ALL","")</f>
        <v/>
      </c>
      <c r="X174" s="6" t="str">
        <f>IF(T174&gt;0,"SELECT "&amp;COUNTIF($Q$1:$T173,"&gt;0")+COUNTIF($Q174:S174,"&gt;0")+1&amp;", "&amp;$A174&amp;", "&amp;T174&amp;" UNION ALL","")</f>
        <v/>
      </c>
      <c r="Y174" s="5" t="str">
        <f t="shared" ca="1" si="14"/>
        <v>SELECT 194, 205, 44 UNION ALL</v>
      </c>
    </row>
    <row r="175" spans="1:25">
      <c r="A175">
        <f t="shared" si="15"/>
        <v>206</v>
      </c>
      <c r="B175" t="s">
        <v>989</v>
      </c>
      <c r="C175">
        <v>1</v>
      </c>
      <c r="D175">
        <v>9</v>
      </c>
      <c r="L175" t="str">
        <f t="shared" si="11"/>
        <v>SELECT 206, N'Kaukaz', 1, 9 UNION ALL</v>
      </c>
      <c r="M175" t="s">
        <v>994</v>
      </c>
      <c r="Q175" s="6">
        <f t="shared" ca="1" si="12"/>
        <v>46</v>
      </c>
      <c r="R175" s="6">
        <f t="shared" ca="1" si="13"/>
        <v>0</v>
      </c>
      <c r="U175" s="6" t="str">
        <f ca="1">IF(Q175&gt;0,"SELECT "&amp;COUNTIF($Q$1:$T174,"&gt;0")+1&amp;", "&amp;$A175&amp;", "&amp;Q175&amp;" UNION ALL","")</f>
        <v>SELECT 195, 206, 46 UNION ALL</v>
      </c>
      <c r="V175" s="6" t="str">
        <f ca="1">IF(R175&gt;0,"SELECT "&amp;COUNTIF($Q$1:$T174,"&gt;0")+COUNTIF($Q175:Q175,"&gt;0")+1&amp;", "&amp;$A175&amp;", "&amp;R175&amp;" UNION ALL","")</f>
        <v/>
      </c>
      <c r="W175" s="6" t="str">
        <f>IF(S175&gt;0,"SELECT "&amp;COUNTIF($Q$1:$T174,"&gt;0")+COUNTIF($Q175:R175,"&gt;0")+1&amp;", "&amp;$A175&amp;", "&amp;S175&amp;" UNION ALL","")</f>
        <v/>
      </c>
      <c r="X175" s="6" t="str">
        <f>IF(T175&gt;0,"SELECT "&amp;COUNTIF($Q$1:$T174,"&gt;0")+COUNTIF($Q175:S175,"&gt;0")+1&amp;", "&amp;$A175&amp;", "&amp;T175&amp;" UNION ALL","")</f>
        <v/>
      </c>
      <c r="Y175" s="5" t="str">
        <f t="shared" ca="1" si="14"/>
        <v>SELECT 195, 206, 46 UNION ALL</v>
      </c>
    </row>
    <row r="176" spans="1:25">
      <c r="A176">
        <f t="shared" si="15"/>
        <v>207</v>
      </c>
      <c r="B176" t="s">
        <v>990</v>
      </c>
      <c r="C176">
        <v>1</v>
      </c>
      <c r="D176">
        <v>9</v>
      </c>
      <c r="L176" t="str">
        <f t="shared" si="11"/>
        <v>SELECT 207, N'Karaiby', 1, 9 UNION ALL</v>
      </c>
      <c r="M176" t="s">
        <v>993</v>
      </c>
      <c r="Q176" s="6">
        <f t="shared" ca="1" si="12"/>
        <v>45</v>
      </c>
      <c r="R176" s="6">
        <f t="shared" ca="1" si="13"/>
        <v>0</v>
      </c>
      <c r="U176" s="6" t="str">
        <f ca="1">IF(Q176&gt;0,"SELECT "&amp;COUNTIF($Q$1:$T175,"&gt;0")+1&amp;", "&amp;$A176&amp;", "&amp;Q176&amp;" UNION ALL","")</f>
        <v>SELECT 196, 207, 45 UNION ALL</v>
      </c>
      <c r="V176" s="6" t="str">
        <f ca="1">IF(R176&gt;0,"SELECT "&amp;COUNTIF($Q$1:$T175,"&gt;0")+COUNTIF($Q176:Q176,"&gt;0")+1&amp;", "&amp;$A176&amp;", "&amp;R176&amp;" UNION ALL","")</f>
        <v/>
      </c>
      <c r="W176" s="6" t="str">
        <f>IF(S176&gt;0,"SELECT "&amp;COUNTIF($Q$1:$T175,"&gt;0")+COUNTIF($Q176:R176,"&gt;0")+1&amp;", "&amp;$A176&amp;", "&amp;S176&amp;" UNION ALL","")</f>
        <v/>
      </c>
      <c r="X176" s="6" t="str">
        <f>IF(T176&gt;0,"SELECT "&amp;COUNTIF($Q$1:$T175,"&gt;0")+COUNTIF($Q176:S176,"&gt;0")+1&amp;", "&amp;$A176&amp;", "&amp;T176&amp;" UNION ALL","")</f>
        <v/>
      </c>
      <c r="Y176" s="5" t="str">
        <f t="shared" ca="1" si="14"/>
        <v>SELECT 196, 207, 45 UNION ALL</v>
      </c>
    </row>
    <row r="177" spans="1:25">
      <c r="A177">
        <f t="shared" si="15"/>
        <v>208</v>
      </c>
      <c r="B177" t="s">
        <v>996</v>
      </c>
      <c r="C177">
        <v>1</v>
      </c>
      <c r="D177">
        <v>10</v>
      </c>
      <c r="L177" t="str">
        <f t="shared" si="11"/>
        <v>SELECT 208, N'kot', 1, 10 UNION ALL</v>
      </c>
      <c r="M177" t="s">
        <v>561</v>
      </c>
      <c r="Q177" s="6">
        <f t="shared" ca="1" si="12"/>
        <v>18</v>
      </c>
      <c r="R177" s="6">
        <f t="shared" ca="1" si="13"/>
        <v>0</v>
      </c>
      <c r="U177" s="6" t="str">
        <f ca="1">IF(Q177&gt;0,"SELECT "&amp;COUNTIF($Q$1:$T176,"&gt;0")+1&amp;", "&amp;$A177&amp;", "&amp;Q177&amp;" UNION ALL","")</f>
        <v>SELECT 197, 208, 18 UNION ALL</v>
      </c>
      <c r="V177" s="6" t="str">
        <f ca="1">IF(R177&gt;0,"SELECT "&amp;COUNTIF($Q$1:$T176,"&gt;0")+COUNTIF($Q177:Q177,"&gt;0")+1&amp;", "&amp;$A177&amp;", "&amp;R177&amp;" UNION ALL","")</f>
        <v/>
      </c>
      <c r="W177" s="6" t="str">
        <f>IF(S177&gt;0,"SELECT "&amp;COUNTIF($Q$1:$T176,"&gt;0")+COUNTIF($Q177:R177,"&gt;0")+1&amp;", "&amp;$A177&amp;", "&amp;S177&amp;" UNION ALL","")</f>
        <v/>
      </c>
      <c r="X177" s="6" t="str">
        <f>IF(T177&gt;0,"SELECT "&amp;COUNTIF($Q$1:$T176,"&gt;0")+COUNTIF($Q177:S177,"&gt;0")+1&amp;", "&amp;$A177&amp;", "&amp;T177&amp;" UNION ALL","")</f>
        <v/>
      </c>
      <c r="Y177" s="5" t="str">
        <f t="shared" ca="1" si="14"/>
        <v>SELECT 197, 208, 18 UNION ALL</v>
      </c>
    </row>
    <row r="178" spans="1:25">
      <c r="A178">
        <f t="shared" si="15"/>
        <v>209</v>
      </c>
      <c r="B178" t="s">
        <v>997</v>
      </c>
      <c r="C178">
        <v>1</v>
      </c>
      <c r="D178">
        <v>8</v>
      </c>
      <c r="L178" t="str">
        <f t="shared" si="11"/>
        <v>SELECT 209, N'chomik', 1, 8 UNION ALL</v>
      </c>
      <c r="M178" t="s">
        <v>561</v>
      </c>
      <c r="Q178" s="6">
        <f t="shared" ca="1" si="12"/>
        <v>18</v>
      </c>
      <c r="R178" s="6">
        <f t="shared" ca="1" si="13"/>
        <v>0</v>
      </c>
      <c r="U178" s="6" t="str">
        <f ca="1">IF(Q178&gt;0,"SELECT "&amp;COUNTIF($Q$1:$T177,"&gt;0")+1&amp;", "&amp;$A178&amp;", "&amp;Q178&amp;" UNION ALL","")</f>
        <v>SELECT 198, 209, 18 UNION ALL</v>
      </c>
      <c r="V178" s="6" t="str">
        <f ca="1">IF(R178&gt;0,"SELECT "&amp;COUNTIF($Q$1:$T177,"&gt;0")+COUNTIF($Q178:Q178,"&gt;0")+1&amp;", "&amp;$A178&amp;", "&amp;R178&amp;" UNION ALL","")</f>
        <v/>
      </c>
      <c r="W178" s="6" t="str">
        <f>IF(S178&gt;0,"SELECT "&amp;COUNTIF($Q$1:$T177,"&gt;0")+COUNTIF($Q178:R178,"&gt;0")+1&amp;", "&amp;$A178&amp;", "&amp;S178&amp;" UNION ALL","")</f>
        <v/>
      </c>
      <c r="X178" s="6" t="str">
        <f>IF(T178&gt;0,"SELECT "&amp;COUNTIF($Q$1:$T177,"&gt;0")+COUNTIF($Q178:S178,"&gt;0")+1&amp;", "&amp;$A178&amp;", "&amp;T178&amp;" UNION ALL","")</f>
        <v/>
      </c>
      <c r="Y178" s="5" t="str">
        <f t="shared" ca="1" si="14"/>
        <v>SELECT 198, 209, 18 UNION ALL</v>
      </c>
    </row>
    <row r="179" spans="1:25">
      <c r="A179">
        <f t="shared" si="15"/>
        <v>210</v>
      </c>
      <c r="B179" t="s">
        <v>998</v>
      </c>
      <c r="C179">
        <v>1</v>
      </c>
      <c r="D179">
        <v>9</v>
      </c>
      <c r="L179" t="str">
        <f t="shared" si="11"/>
        <v>SELECT 210, N'krowa', 1, 9 UNION ALL</v>
      </c>
      <c r="M179" t="s">
        <v>562</v>
      </c>
      <c r="Q179" s="6">
        <f t="shared" ca="1" si="12"/>
        <v>19</v>
      </c>
      <c r="R179" s="6">
        <f t="shared" ca="1" si="13"/>
        <v>0</v>
      </c>
      <c r="U179" s="6" t="str">
        <f ca="1">IF(Q179&gt;0,"SELECT "&amp;COUNTIF($Q$1:$T178,"&gt;0")+1&amp;", "&amp;$A179&amp;", "&amp;Q179&amp;" UNION ALL","")</f>
        <v>SELECT 199, 210, 19 UNION ALL</v>
      </c>
      <c r="V179" s="6" t="str">
        <f ca="1">IF(R179&gt;0,"SELECT "&amp;COUNTIF($Q$1:$T178,"&gt;0")+COUNTIF($Q179:Q179,"&gt;0")+1&amp;", "&amp;$A179&amp;", "&amp;R179&amp;" UNION ALL","")</f>
        <v/>
      </c>
      <c r="W179" s="6" t="str">
        <f>IF(S179&gt;0,"SELECT "&amp;COUNTIF($Q$1:$T178,"&gt;0")+COUNTIF($Q179:R179,"&gt;0")+1&amp;", "&amp;$A179&amp;", "&amp;S179&amp;" UNION ALL","")</f>
        <v/>
      </c>
      <c r="X179" s="6" t="str">
        <f>IF(T179&gt;0,"SELECT "&amp;COUNTIF($Q$1:$T178,"&gt;0")+COUNTIF($Q179:S179,"&gt;0")+1&amp;", "&amp;$A179&amp;", "&amp;T179&amp;" UNION ALL","")</f>
        <v/>
      </c>
      <c r="Y179" s="5" t="str">
        <f t="shared" ca="1" si="14"/>
        <v>SELECT 199, 210, 19 UNION ALL</v>
      </c>
    </row>
    <row r="180" spans="1:25">
      <c r="A180">
        <f t="shared" si="15"/>
        <v>211</v>
      </c>
      <c r="B180" t="s">
        <v>999</v>
      </c>
      <c r="C180">
        <v>1</v>
      </c>
      <c r="D180">
        <v>10</v>
      </c>
      <c r="L180" t="str">
        <f t="shared" si="11"/>
        <v>SELECT 211, N'koń', 1, 10 UNION ALL</v>
      </c>
      <c r="M180" t="s">
        <v>562</v>
      </c>
      <c r="Q180" s="6">
        <f t="shared" ca="1" si="12"/>
        <v>19</v>
      </c>
      <c r="R180" s="6">
        <f t="shared" ca="1" si="13"/>
        <v>0</v>
      </c>
      <c r="U180" s="6" t="str">
        <f ca="1">IF(Q180&gt;0,"SELECT "&amp;COUNTIF($Q$1:$T179,"&gt;0")+1&amp;", "&amp;$A180&amp;", "&amp;Q180&amp;" UNION ALL","")</f>
        <v>SELECT 200, 211, 19 UNION ALL</v>
      </c>
      <c r="V180" s="6" t="str">
        <f ca="1">IF(R180&gt;0,"SELECT "&amp;COUNTIF($Q$1:$T179,"&gt;0")+COUNTIF($Q180:Q180,"&gt;0")+1&amp;", "&amp;$A180&amp;", "&amp;R180&amp;" UNION ALL","")</f>
        <v/>
      </c>
      <c r="W180" s="6" t="str">
        <f>IF(S180&gt;0,"SELECT "&amp;COUNTIF($Q$1:$T179,"&gt;0")+COUNTIF($Q180:R180,"&gt;0")+1&amp;", "&amp;$A180&amp;", "&amp;S180&amp;" UNION ALL","")</f>
        <v/>
      </c>
      <c r="X180" s="6" t="str">
        <f>IF(T180&gt;0,"SELECT "&amp;COUNTIF($Q$1:$T179,"&gt;0")+COUNTIF($Q180:S180,"&gt;0")+1&amp;", "&amp;$A180&amp;", "&amp;T180&amp;" UNION ALL","")</f>
        <v/>
      </c>
      <c r="Y180" s="5" t="str">
        <f t="shared" ca="1" si="14"/>
        <v>SELECT 200, 211, 19 UNION ALL</v>
      </c>
    </row>
    <row r="181" spans="1:25">
      <c r="A181">
        <f t="shared" si="15"/>
        <v>212</v>
      </c>
      <c r="B181" t="s">
        <v>1000</v>
      </c>
      <c r="C181">
        <v>1</v>
      </c>
      <c r="D181">
        <v>9</v>
      </c>
      <c r="L181" t="str">
        <f t="shared" si="11"/>
        <v>SELECT 212, N'mucha', 1, 9 UNION ALL</v>
      </c>
      <c r="M181" t="s">
        <v>564</v>
      </c>
      <c r="Q181" s="6">
        <f t="shared" ca="1" si="12"/>
        <v>21</v>
      </c>
      <c r="R181" s="6">
        <f t="shared" ca="1" si="13"/>
        <v>0</v>
      </c>
      <c r="U181" s="6" t="str">
        <f ca="1">IF(Q181&gt;0,"SELECT "&amp;COUNTIF($Q$1:$T180,"&gt;0")+1&amp;", "&amp;$A181&amp;", "&amp;Q181&amp;" UNION ALL","")</f>
        <v>SELECT 201, 212, 21 UNION ALL</v>
      </c>
      <c r="V181" s="6" t="str">
        <f ca="1">IF(R181&gt;0,"SELECT "&amp;COUNTIF($Q$1:$T180,"&gt;0")+COUNTIF($Q181:Q181,"&gt;0")+1&amp;", "&amp;$A181&amp;", "&amp;R181&amp;" UNION ALL","")</f>
        <v/>
      </c>
      <c r="W181" s="6" t="str">
        <f>IF(S181&gt;0,"SELECT "&amp;COUNTIF($Q$1:$T180,"&gt;0")+COUNTIF($Q181:R181,"&gt;0")+1&amp;", "&amp;$A181&amp;", "&amp;S181&amp;" UNION ALL","")</f>
        <v/>
      </c>
      <c r="X181" s="6" t="str">
        <f>IF(T181&gt;0,"SELECT "&amp;COUNTIF($Q$1:$T180,"&gt;0")+COUNTIF($Q181:S181,"&gt;0")+1&amp;", "&amp;$A181&amp;", "&amp;T181&amp;" UNION ALL","")</f>
        <v/>
      </c>
      <c r="Y181" s="5" t="str">
        <f t="shared" ca="1" si="14"/>
        <v>SELECT 201, 212, 21 UNION ALL</v>
      </c>
    </row>
    <row r="182" spans="1:25">
      <c r="A182">
        <f t="shared" si="15"/>
        <v>213</v>
      </c>
      <c r="B182" t="s">
        <v>1001</v>
      </c>
      <c r="C182">
        <v>1</v>
      </c>
      <c r="D182">
        <v>9</v>
      </c>
      <c r="L182" t="str">
        <f t="shared" si="11"/>
        <v>SELECT 213, N'pszczoła', 1, 9 UNION ALL</v>
      </c>
      <c r="M182" t="s">
        <v>564</v>
      </c>
      <c r="Q182" s="6">
        <f t="shared" ca="1" si="12"/>
        <v>21</v>
      </c>
      <c r="R182" s="6">
        <f t="shared" ca="1" si="13"/>
        <v>0</v>
      </c>
      <c r="U182" s="6" t="str">
        <f ca="1">IF(Q182&gt;0,"SELECT "&amp;COUNTIF($Q$1:$T181,"&gt;0")+1&amp;", "&amp;$A182&amp;", "&amp;Q182&amp;" UNION ALL","")</f>
        <v>SELECT 202, 213, 21 UNION ALL</v>
      </c>
      <c r="V182" s="6" t="str">
        <f ca="1">IF(R182&gt;0,"SELECT "&amp;COUNTIF($Q$1:$T181,"&gt;0")+COUNTIF($Q182:Q182,"&gt;0")+1&amp;", "&amp;$A182&amp;", "&amp;R182&amp;" UNION ALL","")</f>
        <v/>
      </c>
      <c r="W182" s="6" t="str">
        <f>IF(S182&gt;0,"SELECT "&amp;COUNTIF($Q$1:$T181,"&gt;0")+COUNTIF($Q182:R182,"&gt;0")+1&amp;", "&amp;$A182&amp;", "&amp;S182&amp;" UNION ALL","")</f>
        <v/>
      </c>
      <c r="X182" s="6" t="str">
        <f>IF(T182&gt;0,"SELECT "&amp;COUNTIF($Q$1:$T181,"&gt;0")+COUNTIF($Q182:S182,"&gt;0")+1&amp;", "&amp;$A182&amp;", "&amp;T182&amp;" UNION ALL","")</f>
        <v/>
      </c>
      <c r="Y182" s="5" t="str">
        <f t="shared" ca="1" si="14"/>
        <v>SELECT 202, 213, 21 UNION ALL</v>
      </c>
    </row>
    <row r="183" spans="1:25">
      <c r="A183">
        <f t="shared" si="15"/>
        <v>214</v>
      </c>
      <c r="B183" t="s">
        <v>1002</v>
      </c>
      <c r="C183">
        <v>1</v>
      </c>
      <c r="D183">
        <v>7</v>
      </c>
      <c r="L183" t="str">
        <f t="shared" si="11"/>
        <v>SELECT 214, N'osa', 1, 7 UNION ALL</v>
      </c>
      <c r="M183" t="s">
        <v>564</v>
      </c>
      <c r="Q183" s="6">
        <f t="shared" ca="1" si="12"/>
        <v>21</v>
      </c>
      <c r="R183" s="6">
        <f t="shared" ca="1" si="13"/>
        <v>0</v>
      </c>
      <c r="U183" s="6" t="str">
        <f ca="1">IF(Q183&gt;0,"SELECT "&amp;COUNTIF($Q$1:$T182,"&gt;0")+1&amp;", "&amp;$A183&amp;", "&amp;Q183&amp;" UNION ALL","")</f>
        <v>SELECT 203, 214, 21 UNION ALL</v>
      </c>
      <c r="V183" s="6" t="str">
        <f ca="1">IF(R183&gt;0,"SELECT "&amp;COUNTIF($Q$1:$T182,"&gt;0")+COUNTIF($Q183:Q183,"&gt;0")+1&amp;", "&amp;$A183&amp;", "&amp;R183&amp;" UNION ALL","")</f>
        <v/>
      </c>
      <c r="W183" s="6" t="str">
        <f>IF(S183&gt;0,"SELECT "&amp;COUNTIF($Q$1:$T182,"&gt;0")+COUNTIF($Q183:R183,"&gt;0")+1&amp;", "&amp;$A183&amp;", "&amp;S183&amp;" UNION ALL","")</f>
        <v/>
      </c>
      <c r="X183" s="6" t="str">
        <f>IF(T183&gt;0,"SELECT "&amp;COUNTIF($Q$1:$T182,"&gt;0")+COUNTIF($Q183:S183,"&gt;0")+1&amp;", "&amp;$A183&amp;", "&amp;T183&amp;" UNION ALL","")</f>
        <v/>
      </c>
      <c r="Y183" s="5" t="str">
        <f t="shared" ca="1" si="14"/>
        <v>SELECT 203, 214, 21 UNION ALL</v>
      </c>
    </row>
    <row r="184" spans="1:25">
      <c r="A184">
        <f t="shared" si="15"/>
        <v>215</v>
      </c>
      <c r="B184" t="s">
        <v>1003</v>
      </c>
      <c r="C184">
        <v>1</v>
      </c>
      <c r="D184">
        <v>8</v>
      </c>
      <c r="L184" t="str">
        <f t="shared" si="11"/>
        <v>SELECT 215, N'komar', 1, 8 UNION ALL</v>
      </c>
      <c r="M184" t="s">
        <v>564</v>
      </c>
      <c r="Q184" s="6">
        <f t="shared" ca="1" si="12"/>
        <v>21</v>
      </c>
      <c r="R184" s="6">
        <f t="shared" ca="1" si="13"/>
        <v>0</v>
      </c>
      <c r="U184" s="6" t="str">
        <f ca="1">IF(Q184&gt;0,"SELECT "&amp;COUNTIF($Q$1:$T183,"&gt;0")+1&amp;", "&amp;$A184&amp;", "&amp;Q184&amp;" UNION ALL","")</f>
        <v>SELECT 204, 215, 21 UNION ALL</v>
      </c>
      <c r="V184" s="6" t="str">
        <f ca="1">IF(R184&gt;0,"SELECT "&amp;COUNTIF($Q$1:$T183,"&gt;0")+COUNTIF($Q184:Q184,"&gt;0")+1&amp;", "&amp;$A184&amp;", "&amp;R184&amp;" UNION ALL","")</f>
        <v/>
      </c>
      <c r="W184" s="6" t="str">
        <f>IF(S184&gt;0,"SELECT "&amp;COUNTIF($Q$1:$T183,"&gt;0")+COUNTIF($Q184:R184,"&gt;0")+1&amp;", "&amp;$A184&amp;", "&amp;S184&amp;" UNION ALL","")</f>
        <v/>
      </c>
      <c r="X184" s="6" t="str">
        <f>IF(T184&gt;0,"SELECT "&amp;COUNTIF($Q$1:$T183,"&gt;0")+COUNTIF($Q184:S184,"&gt;0")+1&amp;", "&amp;$A184&amp;", "&amp;T184&amp;" UNION ALL","")</f>
        <v/>
      </c>
      <c r="Y184" s="5" t="str">
        <f t="shared" ca="1" si="14"/>
        <v>SELECT 204, 215, 21 UNION ALL</v>
      </c>
    </row>
    <row r="185" spans="1:25">
      <c r="A185">
        <f t="shared" si="15"/>
        <v>216</v>
      </c>
      <c r="B185" t="s">
        <v>1004</v>
      </c>
      <c r="C185">
        <v>1</v>
      </c>
      <c r="D185">
        <v>8</v>
      </c>
      <c r="L185" t="str">
        <f t="shared" si="11"/>
        <v>SELECT 216, N'żaba', 1, 8 UNION ALL</v>
      </c>
      <c r="M185" t="s">
        <v>565</v>
      </c>
      <c r="Q185" s="6">
        <f t="shared" ca="1" si="12"/>
        <v>22</v>
      </c>
      <c r="R185" s="6">
        <f t="shared" ca="1" si="13"/>
        <v>0</v>
      </c>
      <c r="U185" s="6" t="str">
        <f ca="1">IF(Q185&gt;0,"SELECT "&amp;COUNTIF($Q$1:$T184,"&gt;0")+1&amp;", "&amp;$A185&amp;", "&amp;Q185&amp;" UNION ALL","")</f>
        <v>SELECT 205, 216, 22 UNION ALL</v>
      </c>
      <c r="V185" s="6" t="str">
        <f ca="1">IF(R185&gt;0,"SELECT "&amp;COUNTIF($Q$1:$T184,"&gt;0")+COUNTIF($Q185:Q185,"&gt;0")+1&amp;", "&amp;$A185&amp;", "&amp;R185&amp;" UNION ALL","")</f>
        <v/>
      </c>
      <c r="W185" s="6" t="str">
        <f>IF(S185&gt;0,"SELECT "&amp;COUNTIF($Q$1:$T184,"&gt;0")+COUNTIF($Q185:R185,"&gt;0")+1&amp;", "&amp;$A185&amp;", "&amp;S185&amp;" UNION ALL","")</f>
        <v/>
      </c>
      <c r="X185" s="6" t="str">
        <f>IF(T185&gt;0,"SELECT "&amp;COUNTIF($Q$1:$T184,"&gt;0")+COUNTIF($Q185:S185,"&gt;0")+1&amp;", "&amp;$A185&amp;", "&amp;T185&amp;" UNION ALL","")</f>
        <v/>
      </c>
      <c r="Y185" s="5" t="str">
        <f t="shared" ca="1" si="14"/>
        <v>SELECT 205, 216, 22 UNION ALL</v>
      </c>
    </row>
    <row r="186" spans="1:25">
      <c r="A186">
        <f t="shared" si="15"/>
        <v>217</v>
      </c>
      <c r="B186" t="s">
        <v>1005</v>
      </c>
      <c r="C186">
        <v>1</v>
      </c>
      <c r="D186">
        <v>10</v>
      </c>
      <c r="L186" t="str">
        <f t="shared" si="11"/>
        <v>SELECT 217, N'ptak', 1, 10 UNION ALL</v>
      </c>
      <c r="M186" t="s">
        <v>567</v>
      </c>
      <c r="Q186" s="6">
        <f t="shared" ca="1" si="12"/>
        <v>17</v>
      </c>
      <c r="R186" s="6">
        <f t="shared" ca="1" si="13"/>
        <v>0</v>
      </c>
      <c r="U186" s="6" t="str">
        <f ca="1">IF(Q186&gt;0,"SELECT "&amp;COUNTIF($Q$1:$T185,"&gt;0")+1&amp;", "&amp;$A186&amp;", "&amp;Q186&amp;" UNION ALL","")</f>
        <v>SELECT 206, 217, 17 UNION ALL</v>
      </c>
      <c r="V186" s="6" t="str">
        <f ca="1">IF(R186&gt;0,"SELECT "&amp;COUNTIF($Q$1:$T185,"&gt;0")+COUNTIF($Q186:Q186,"&gt;0")+1&amp;", "&amp;$A186&amp;", "&amp;R186&amp;" UNION ALL","")</f>
        <v/>
      </c>
      <c r="W186" s="6" t="str">
        <f>IF(S186&gt;0,"SELECT "&amp;COUNTIF($Q$1:$T185,"&gt;0")+COUNTIF($Q186:R186,"&gt;0")+1&amp;", "&amp;$A186&amp;", "&amp;S186&amp;" UNION ALL","")</f>
        <v/>
      </c>
      <c r="X186" s="6" t="str">
        <f>IF(T186&gt;0,"SELECT "&amp;COUNTIF($Q$1:$T185,"&gt;0")+COUNTIF($Q186:S186,"&gt;0")+1&amp;", "&amp;$A186&amp;", "&amp;T186&amp;" UNION ALL","")</f>
        <v/>
      </c>
      <c r="Y186" s="5" t="str">
        <f t="shared" ca="1" si="14"/>
        <v>SELECT 206, 217, 17 UNION ALL</v>
      </c>
    </row>
    <row r="187" spans="1:25">
      <c r="A187">
        <f t="shared" si="15"/>
        <v>218</v>
      </c>
      <c r="B187" t="s">
        <v>1006</v>
      </c>
      <c r="C187">
        <v>1</v>
      </c>
      <c r="D187">
        <v>10</v>
      </c>
      <c r="L187" t="str">
        <f t="shared" si="11"/>
        <v>SELECT 218, N'ryba', 1, 10 UNION ALL</v>
      </c>
      <c r="M187" t="s">
        <v>563</v>
      </c>
      <c r="Q187" s="6">
        <f t="shared" ca="1" si="12"/>
        <v>20</v>
      </c>
      <c r="R187" s="6">
        <f t="shared" ca="1" si="13"/>
        <v>0</v>
      </c>
      <c r="U187" s="6" t="str">
        <f ca="1">IF(Q187&gt;0,"SELECT "&amp;COUNTIF($Q$1:$T186,"&gt;0")+1&amp;", "&amp;$A187&amp;", "&amp;Q187&amp;" UNION ALL","")</f>
        <v>SELECT 207, 218, 20 UNION ALL</v>
      </c>
      <c r="V187" s="6" t="str">
        <f ca="1">IF(R187&gt;0,"SELECT "&amp;COUNTIF($Q$1:$T186,"&gt;0")+COUNTIF($Q187:Q187,"&gt;0")+1&amp;", "&amp;$A187&amp;", "&amp;R187&amp;" UNION ALL","")</f>
        <v/>
      </c>
      <c r="W187" s="6" t="str">
        <f>IF(S187&gt;0,"SELECT "&amp;COUNTIF($Q$1:$T186,"&gt;0")+COUNTIF($Q187:R187,"&gt;0")+1&amp;", "&amp;$A187&amp;", "&amp;S187&amp;" UNION ALL","")</f>
        <v/>
      </c>
      <c r="X187" s="6" t="str">
        <f>IF(T187&gt;0,"SELECT "&amp;COUNTIF($Q$1:$T186,"&gt;0")+COUNTIF($Q187:S187,"&gt;0")+1&amp;", "&amp;$A187&amp;", "&amp;T187&amp;" UNION ALL","")</f>
        <v/>
      </c>
      <c r="Y187" s="5" t="str">
        <f t="shared" ca="1" si="14"/>
        <v>SELECT 207, 218, 20 UNION ALL</v>
      </c>
    </row>
    <row r="188" spans="1:25">
      <c r="A188">
        <f t="shared" si="15"/>
        <v>219</v>
      </c>
      <c r="B188" t="s">
        <v>1007</v>
      </c>
      <c r="C188">
        <v>1</v>
      </c>
      <c r="D188">
        <v>7</v>
      </c>
      <c r="L188" t="str">
        <f t="shared" si="11"/>
        <v>SELECT 219, N'bocian', 1, 7 UNION ALL</v>
      </c>
      <c r="M188" t="s">
        <v>567</v>
      </c>
      <c r="Q188" s="6">
        <f t="shared" ca="1" si="12"/>
        <v>17</v>
      </c>
      <c r="R188" s="6">
        <f t="shared" ca="1" si="13"/>
        <v>0</v>
      </c>
      <c r="U188" s="6" t="str">
        <f ca="1">IF(Q188&gt;0,"SELECT "&amp;COUNTIF($Q$1:$T187,"&gt;0")+1&amp;", "&amp;$A188&amp;", "&amp;Q188&amp;" UNION ALL","")</f>
        <v>SELECT 208, 219, 17 UNION ALL</v>
      </c>
      <c r="V188" s="6" t="str">
        <f ca="1">IF(R188&gt;0,"SELECT "&amp;COUNTIF($Q$1:$T187,"&gt;0")+COUNTIF($Q188:Q188,"&gt;0")+1&amp;", "&amp;$A188&amp;", "&amp;R188&amp;" UNION ALL","")</f>
        <v/>
      </c>
      <c r="W188" s="6" t="str">
        <f>IF(S188&gt;0,"SELECT "&amp;COUNTIF($Q$1:$T187,"&gt;0")+COUNTIF($Q188:R188,"&gt;0")+1&amp;", "&amp;$A188&amp;", "&amp;S188&amp;" UNION ALL","")</f>
        <v/>
      </c>
      <c r="X188" s="6" t="str">
        <f>IF(T188&gt;0,"SELECT "&amp;COUNTIF($Q$1:$T187,"&gt;0")+COUNTIF($Q188:S188,"&gt;0")+1&amp;", "&amp;$A188&amp;", "&amp;T188&amp;" UNION ALL","")</f>
        <v/>
      </c>
      <c r="Y188" s="5" t="str">
        <f t="shared" ca="1" si="14"/>
        <v>SELECT 208, 219, 17 UNION ALL</v>
      </c>
    </row>
    <row r="189" spans="1:25">
      <c r="A189">
        <f t="shared" si="15"/>
        <v>220</v>
      </c>
      <c r="B189" t="s">
        <v>1008</v>
      </c>
      <c r="C189">
        <v>1</v>
      </c>
      <c r="D189">
        <v>6</v>
      </c>
      <c r="L189" t="str">
        <f t="shared" si="11"/>
        <v>SELECT 220, N'wróbel', 1, 6 UNION ALL</v>
      </c>
      <c r="M189" t="s">
        <v>567</v>
      </c>
      <c r="Q189" s="6">
        <f t="shared" ca="1" si="12"/>
        <v>17</v>
      </c>
      <c r="R189" s="6">
        <f t="shared" ca="1" si="13"/>
        <v>0</v>
      </c>
      <c r="U189" s="6" t="str">
        <f ca="1">IF(Q189&gt;0,"SELECT "&amp;COUNTIF($Q$1:$T188,"&gt;0")+1&amp;", "&amp;$A189&amp;", "&amp;Q189&amp;" UNION ALL","")</f>
        <v>SELECT 209, 220, 17 UNION ALL</v>
      </c>
      <c r="V189" s="6" t="str">
        <f ca="1">IF(R189&gt;0,"SELECT "&amp;COUNTIF($Q$1:$T188,"&gt;0")+COUNTIF($Q189:Q189,"&gt;0")+1&amp;", "&amp;$A189&amp;", "&amp;R189&amp;" UNION ALL","")</f>
        <v/>
      </c>
      <c r="W189" s="6" t="str">
        <f>IF(S189&gt;0,"SELECT "&amp;COUNTIF($Q$1:$T188,"&gt;0")+COUNTIF($Q189:R189,"&gt;0")+1&amp;", "&amp;$A189&amp;", "&amp;S189&amp;" UNION ALL","")</f>
        <v/>
      </c>
      <c r="X189" s="6" t="str">
        <f>IF(T189&gt;0,"SELECT "&amp;COUNTIF($Q$1:$T188,"&gt;0")+COUNTIF($Q189:S189,"&gt;0")+1&amp;", "&amp;$A189&amp;", "&amp;T189&amp;" UNION ALL","")</f>
        <v/>
      </c>
      <c r="Y189" s="5" t="str">
        <f t="shared" ca="1" si="14"/>
        <v>SELECT 209, 220, 17 UNION ALL</v>
      </c>
    </row>
    <row r="190" spans="1:25">
      <c r="A190">
        <f t="shared" si="15"/>
        <v>221</v>
      </c>
      <c r="B190" t="s">
        <v>1009</v>
      </c>
      <c r="C190">
        <v>1</v>
      </c>
      <c r="D190">
        <v>10</v>
      </c>
      <c r="L190" t="str">
        <f t="shared" si="11"/>
        <v>SELECT 221, N'motyl', 1, 10 UNION ALL</v>
      </c>
      <c r="M190" t="s">
        <v>564</v>
      </c>
      <c r="Q190" s="6">
        <f t="shared" ca="1" si="12"/>
        <v>21</v>
      </c>
      <c r="R190" s="6">
        <f t="shared" ca="1" si="13"/>
        <v>0</v>
      </c>
      <c r="U190" s="6" t="str">
        <f ca="1">IF(Q190&gt;0,"SELECT "&amp;COUNTIF($Q$1:$T189,"&gt;0")+1&amp;", "&amp;$A190&amp;", "&amp;Q190&amp;" UNION ALL","")</f>
        <v>SELECT 210, 221, 21 UNION ALL</v>
      </c>
      <c r="V190" s="6" t="str">
        <f ca="1">IF(R190&gt;0,"SELECT "&amp;COUNTIF($Q$1:$T189,"&gt;0")+COUNTIF($Q190:Q190,"&gt;0")+1&amp;", "&amp;$A190&amp;", "&amp;R190&amp;" UNION ALL","")</f>
        <v/>
      </c>
      <c r="W190" s="6" t="str">
        <f>IF(S190&gt;0,"SELECT "&amp;COUNTIF($Q$1:$T189,"&gt;0")+COUNTIF($Q190:R190,"&gt;0")+1&amp;", "&amp;$A190&amp;", "&amp;S190&amp;" UNION ALL","")</f>
        <v/>
      </c>
      <c r="X190" s="6" t="str">
        <f>IF(T190&gt;0,"SELECT "&amp;COUNTIF($Q$1:$T189,"&gt;0")+COUNTIF($Q190:S190,"&gt;0")+1&amp;", "&amp;$A190&amp;", "&amp;T190&amp;" UNION ALL","")</f>
        <v/>
      </c>
      <c r="Y190" s="5" t="str">
        <f t="shared" ca="1" si="14"/>
        <v>SELECT 210, 221, 21 UNION ALL</v>
      </c>
    </row>
    <row r="191" spans="1:25">
      <c r="A191">
        <f t="shared" si="15"/>
        <v>222</v>
      </c>
      <c r="B191" t="s">
        <v>1010</v>
      </c>
      <c r="C191">
        <v>1</v>
      </c>
      <c r="D191">
        <v>10</v>
      </c>
      <c r="L191" t="str">
        <f t="shared" si="11"/>
        <v>SELECT 222, N'małpa', 1, 10 UNION ALL</v>
      </c>
      <c r="M191" t="s">
        <v>566</v>
      </c>
      <c r="Q191" s="6">
        <f t="shared" ca="1" si="12"/>
        <v>23</v>
      </c>
      <c r="R191" s="6">
        <f t="shared" ca="1" si="13"/>
        <v>0</v>
      </c>
      <c r="U191" s="6" t="str">
        <f ca="1">IF(Q191&gt;0,"SELECT "&amp;COUNTIF($Q$1:$T190,"&gt;0")+1&amp;", "&amp;$A191&amp;", "&amp;Q191&amp;" UNION ALL","")</f>
        <v>SELECT 211, 222, 23 UNION ALL</v>
      </c>
      <c r="V191" s="6" t="str">
        <f ca="1">IF(R191&gt;0,"SELECT "&amp;COUNTIF($Q$1:$T190,"&gt;0")+COUNTIF($Q191:Q191,"&gt;0")+1&amp;", "&amp;$A191&amp;", "&amp;R191&amp;" UNION ALL","")</f>
        <v/>
      </c>
      <c r="W191" s="6" t="str">
        <f>IF(S191&gt;0,"SELECT "&amp;COUNTIF($Q$1:$T190,"&gt;0")+COUNTIF($Q191:R191,"&gt;0")+1&amp;", "&amp;$A191&amp;", "&amp;S191&amp;" UNION ALL","")</f>
        <v/>
      </c>
      <c r="X191" s="6" t="str">
        <f>IF(T191&gt;0,"SELECT "&amp;COUNTIF($Q$1:$T190,"&gt;0")+COUNTIF($Q191:S191,"&gt;0")+1&amp;", "&amp;$A191&amp;", "&amp;T191&amp;" UNION ALL","")</f>
        <v/>
      </c>
      <c r="Y191" s="5" t="str">
        <f t="shared" ca="1" si="14"/>
        <v>SELECT 211, 222, 23 UNION ALL</v>
      </c>
    </row>
    <row r="192" spans="1:25">
      <c r="A192">
        <f t="shared" si="15"/>
        <v>223</v>
      </c>
      <c r="B192" t="s">
        <v>1011</v>
      </c>
      <c r="C192">
        <v>1</v>
      </c>
      <c r="D192">
        <v>10</v>
      </c>
      <c r="L192" t="str">
        <f t="shared" si="11"/>
        <v>SELECT 223, N'słoń', 1, 10 UNION ALL</v>
      </c>
      <c r="M192" t="s">
        <v>566</v>
      </c>
      <c r="Q192" s="6">
        <f t="shared" ca="1" si="12"/>
        <v>23</v>
      </c>
      <c r="R192" s="6">
        <f t="shared" ca="1" si="13"/>
        <v>0</v>
      </c>
      <c r="U192" s="6" t="str">
        <f ca="1">IF(Q192&gt;0,"SELECT "&amp;COUNTIF($Q$1:$T191,"&gt;0")+1&amp;", "&amp;$A192&amp;", "&amp;Q192&amp;" UNION ALL","")</f>
        <v>SELECT 212, 223, 23 UNION ALL</v>
      </c>
      <c r="V192" s="6" t="str">
        <f ca="1">IF(R192&gt;0,"SELECT "&amp;COUNTIF($Q$1:$T191,"&gt;0")+COUNTIF($Q192:Q192,"&gt;0")+1&amp;", "&amp;$A192&amp;", "&amp;R192&amp;" UNION ALL","")</f>
        <v/>
      </c>
      <c r="W192" s="6" t="str">
        <f>IF(S192&gt;0,"SELECT "&amp;COUNTIF($Q$1:$T191,"&gt;0")+COUNTIF($Q192:R192,"&gt;0")+1&amp;", "&amp;$A192&amp;", "&amp;S192&amp;" UNION ALL","")</f>
        <v/>
      </c>
      <c r="X192" s="6" t="str">
        <f>IF(T192&gt;0,"SELECT "&amp;COUNTIF($Q$1:$T191,"&gt;0")+COUNTIF($Q192:S192,"&gt;0")+1&amp;", "&amp;$A192&amp;", "&amp;T192&amp;" UNION ALL","")</f>
        <v/>
      </c>
      <c r="Y192" s="5" t="str">
        <f t="shared" ca="1" si="14"/>
        <v>SELECT 212, 223, 23 UNION ALL</v>
      </c>
    </row>
    <row r="193" spans="1:25">
      <c r="A193">
        <f t="shared" si="15"/>
        <v>224</v>
      </c>
      <c r="B193" t="s">
        <v>1012</v>
      </c>
      <c r="C193">
        <v>1</v>
      </c>
      <c r="D193">
        <v>10</v>
      </c>
      <c r="L193" t="str">
        <f t="shared" si="11"/>
        <v>SELECT 224, N'lew', 1, 10 UNION ALL</v>
      </c>
      <c r="M193" t="s">
        <v>566</v>
      </c>
      <c r="Q193" s="6">
        <f t="shared" ca="1" si="12"/>
        <v>23</v>
      </c>
      <c r="R193" s="6">
        <f t="shared" ca="1" si="13"/>
        <v>0</v>
      </c>
      <c r="U193" s="6" t="str">
        <f ca="1">IF(Q193&gt;0,"SELECT "&amp;COUNTIF($Q$1:$T192,"&gt;0")+1&amp;", "&amp;$A193&amp;", "&amp;Q193&amp;" UNION ALL","")</f>
        <v>SELECT 213, 224, 23 UNION ALL</v>
      </c>
      <c r="V193" s="6" t="str">
        <f ca="1">IF(R193&gt;0,"SELECT "&amp;COUNTIF($Q$1:$T192,"&gt;0")+COUNTIF($Q193:Q193,"&gt;0")+1&amp;", "&amp;$A193&amp;", "&amp;R193&amp;" UNION ALL","")</f>
        <v/>
      </c>
      <c r="W193" s="6" t="str">
        <f>IF(S193&gt;0,"SELECT "&amp;COUNTIF($Q$1:$T192,"&gt;0")+COUNTIF($Q193:R193,"&gt;0")+1&amp;", "&amp;$A193&amp;", "&amp;S193&amp;" UNION ALL","")</f>
        <v/>
      </c>
      <c r="X193" s="6" t="str">
        <f>IF(T193&gt;0,"SELECT "&amp;COUNTIF($Q$1:$T192,"&gt;0")+COUNTIF($Q193:S193,"&gt;0")+1&amp;", "&amp;$A193&amp;", "&amp;T193&amp;" UNION ALL","")</f>
        <v/>
      </c>
      <c r="Y193" s="5" t="str">
        <f t="shared" ca="1" si="14"/>
        <v>SELECT 213, 224, 23 UNION ALL</v>
      </c>
    </row>
    <row r="194" spans="1:25">
      <c r="A194">
        <f t="shared" si="15"/>
        <v>225</v>
      </c>
      <c r="B194" t="s">
        <v>1013</v>
      </c>
      <c r="C194">
        <v>1</v>
      </c>
      <c r="D194">
        <v>10</v>
      </c>
      <c r="L194" t="str">
        <f t="shared" si="11"/>
        <v>SELECT 225, N'żyrafa', 1, 10 UNION ALL</v>
      </c>
      <c r="M194" t="s">
        <v>566</v>
      </c>
      <c r="Q194" s="6">
        <f t="shared" ca="1" si="12"/>
        <v>23</v>
      </c>
      <c r="R194" s="6">
        <f t="shared" ca="1" si="13"/>
        <v>0</v>
      </c>
      <c r="U194" s="6" t="str">
        <f ca="1">IF(Q194&gt;0,"SELECT "&amp;COUNTIF($Q$1:$T193,"&gt;0")+1&amp;", "&amp;$A194&amp;", "&amp;Q194&amp;" UNION ALL","")</f>
        <v>SELECT 214, 225, 23 UNION ALL</v>
      </c>
      <c r="V194" s="6" t="str">
        <f ca="1">IF(R194&gt;0,"SELECT "&amp;COUNTIF($Q$1:$T193,"&gt;0")+COUNTIF($Q194:Q194,"&gt;0")+1&amp;", "&amp;$A194&amp;", "&amp;R194&amp;" UNION ALL","")</f>
        <v/>
      </c>
      <c r="W194" s="6" t="str">
        <f>IF(S194&gt;0,"SELECT "&amp;COUNTIF($Q$1:$T193,"&gt;0")+COUNTIF($Q194:R194,"&gt;0")+1&amp;", "&amp;$A194&amp;", "&amp;S194&amp;" UNION ALL","")</f>
        <v/>
      </c>
      <c r="X194" s="6" t="str">
        <f>IF(T194&gt;0,"SELECT "&amp;COUNTIF($Q$1:$T193,"&gt;0")+COUNTIF($Q194:S194,"&gt;0")+1&amp;", "&amp;$A194&amp;", "&amp;T194&amp;" UNION ALL","")</f>
        <v/>
      </c>
      <c r="Y194" s="5" t="str">
        <f t="shared" ca="1" si="14"/>
        <v>SELECT 214, 225, 23 UNION ALL</v>
      </c>
    </row>
    <row r="195" spans="1:25">
      <c r="A195">
        <f t="shared" si="15"/>
        <v>226</v>
      </c>
      <c r="B195" t="s">
        <v>1014</v>
      </c>
      <c r="C195">
        <v>1</v>
      </c>
      <c r="D195">
        <v>10</v>
      </c>
      <c r="L195" t="str">
        <f t="shared" si="11"/>
        <v>SELECT 226, N'wielbłąd', 1, 10 UNION ALL</v>
      </c>
      <c r="M195" t="s">
        <v>566</v>
      </c>
      <c r="Q195" s="6">
        <f t="shared" ref="Q195:Q258" ca="1" si="16">IFERROR(VLOOKUP(M195,Kategorie,9,0),0)</f>
        <v>23</v>
      </c>
      <c r="R195" s="6">
        <f t="shared" ref="R195:R258" ca="1" si="17">IFERROR(VLOOKUP(N195,Kategorie,9,0),0)</f>
        <v>0</v>
      </c>
      <c r="U195" s="6" t="str">
        <f ca="1">IF(Q195&gt;0,"SELECT "&amp;COUNTIF($Q$1:$T194,"&gt;0")+1&amp;", "&amp;$A195&amp;", "&amp;Q195&amp;" UNION ALL","")</f>
        <v>SELECT 215, 226, 23 UNION ALL</v>
      </c>
      <c r="V195" s="6" t="str">
        <f ca="1">IF(R195&gt;0,"SELECT "&amp;COUNTIF($Q$1:$T194,"&gt;0")+COUNTIF($Q195:Q195,"&gt;0")+1&amp;", "&amp;$A195&amp;", "&amp;R195&amp;" UNION ALL","")</f>
        <v/>
      </c>
      <c r="W195" s="6" t="str">
        <f>IF(S195&gt;0,"SELECT "&amp;COUNTIF($Q$1:$T194,"&gt;0")+COUNTIF($Q195:R195,"&gt;0")+1&amp;", "&amp;$A195&amp;", "&amp;S195&amp;" UNION ALL","")</f>
        <v/>
      </c>
      <c r="X195" s="6" t="str">
        <f>IF(T195&gt;0,"SELECT "&amp;COUNTIF($Q$1:$T194,"&gt;0")+COUNTIF($Q195:S195,"&gt;0")+1&amp;", "&amp;$A195&amp;", "&amp;T195&amp;" UNION ALL","")</f>
        <v/>
      </c>
      <c r="Y195" s="5" t="str">
        <f t="shared" ca="1" si="14"/>
        <v>SELECT 215, 226, 23 UNION ALL</v>
      </c>
    </row>
    <row r="196" spans="1:25">
      <c r="A196">
        <f t="shared" si="15"/>
        <v>227</v>
      </c>
      <c r="B196" t="s">
        <v>1015</v>
      </c>
      <c r="C196">
        <v>1</v>
      </c>
      <c r="D196">
        <v>10</v>
      </c>
      <c r="L196" t="str">
        <f t="shared" si="11"/>
        <v>SELECT 227, N'tygrys', 1, 10 UNION ALL</v>
      </c>
      <c r="M196" t="s">
        <v>566</v>
      </c>
      <c r="Q196" s="6">
        <f t="shared" ca="1" si="16"/>
        <v>23</v>
      </c>
      <c r="R196" s="6">
        <f t="shared" ca="1" si="17"/>
        <v>0</v>
      </c>
      <c r="U196" s="6" t="str">
        <f ca="1">IF(Q196&gt;0,"SELECT "&amp;COUNTIF($Q$1:$T195,"&gt;0")+1&amp;", "&amp;$A196&amp;", "&amp;Q196&amp;" UNION ALL","")</f>
        <v>SELECT 216, 227, 23 UNION ALL</v>
      </c>
      <c r="V196" s="6" t="str">
        <f ca="1">IF(R196&gt;0,"SELECT "&amp;COUNTIF($Q$1:$T195,"&gt;0")+COUNTIF($Q196:Q196,"&gt;0")+1&amp;", "&amp;$A196&amp;", "&amp;R196&amp;" UNION ALL","")</f>
        <v/>
      </c>
      <c r="W196" s="6" t="str">
        <f>IF(S196&gt;0,"SELECT "&amp;COUNTIF($Q$1:$T195,"&gt;0")+COUNTIF($Q196:R196,"&gt;0")+1&amp;", "&amp;$A196&amp;", "&amp;S196&amp;" UNION ALL","")</f>
        <v/>
      </c>
      <c r="X196" s="6" t="str">
        <f>IF(T196&gt;0,"SELECT "&amp;COUNTIF($Q$1:$T195,"&gt;0")+COUNTIF($Q196:S196,"&gt;0")+1&amp;", "&amp;$A196&amp;", "&amp;T196&amp;" UNION ALL","")</f>
        <v/>
      </c>
      <c r="Y196" s="5" t="str">
        <f t="shared" ref="Y196:Y259" ca="1" si="18">SUBSTITUTE(IF(LEN(U196)&gt;0,U196,"")&amp;IF(LEN(V196)&gt;0,CHAR(10)&amp;V196,"")&amp;IF(LEN(W196)&gt;0,CHAR(10)&amp;W196,"")&amp;IF(LEN(X196)&gt;0,CHAR(10)&amp;X196,""),CHAR(34),"")</f>
        <v>SELECT 216, 227, 23 UNION ALL</v>
      </c>
    </row>
    <row r="197" spans="1:25">
      <c r="A197">
        <f t="shared" si="15"/>
        <v>228</v>
      </c>
      <c r="B197" t="s">
        <v>1016</v>
      </c>
      <c r="C197">
        <v>1</v>
      </c>
      <c r="D197">
        <v>10</v>
      </c>
      <c r="L197" t="str">
        <f t="shared" ref="L197:L216" si="19">"SELECT "&amp;A197&amp;", N'"&amp;B197&amp;"', "&amp;C197&amp;", "&amp;D197&amp;" UNION ALL"</f>
        <v>SELECT 228, N'wąż', 1, 10 UNION ALL</v>
      </c>
      <c r="M197" t="s">
        <v>565</v>
      </c>
      <c r="Q197" s="6">
        <f t="shared" ca="1" si="16"/>
        <v>22</v>
      </c>
      <c r="R197" s="6">
        <f t="shared" ca="1" si="17"/>
        <v>0</v>
      </c>
      <c r="U197" s="6" t="str">
        <f ca="1">IF(Q197&gt;0,"SELECT "&amp;COUNTIF($Q$1:$T196,"&gt;0")+1&amp;", "&amp;$A197&amp;", "&amp;Q197&amp;" UNION ALL","")</f>
        <v>SELECT 217, 228, 22 UNION ALL</v>
      </c>
      <c r="V197" s="6" t="str">
        <f ca="1">IF(R197&gt;0,"SELECT "&amp;COUNTIF($Q$1:$T196,"&gt;0")+COUNTIF($Q197:Q197,"&gt;0")+1&amp;", "&amp;$A197&amp;", "&amp;R197&amp;" UNION ALL","")</f>
        <v/>
      </c>
      <c r="W197" s="6" t="str">
        <f>IF(S197&gt;0,"SELECT "&amp;COUNTIF($Q$1:$T196,"&gt;0")+COUNTIF($Q197:R197,"&gt;0")+1&amp;", "&amp;$A197&amp;", "&amp;S197&amp;" UNION ALL","")</f>
        <v/>
      </c>
      <c r="X197" s="6" t="str">
        <f>IF(T197&gt;0,"SELECT "&amp;COUNTIF($Q$1:$T196,"&gt;0")+COUNTIF($Q197:S197,"&gt;0")+1&amp;", "&amp;$A197&amp;", "&amp;T197&amp;" UNION ALL","")</f>
        <v/>
      </c>
      <c r="Y197" s="5" t="str">
        <f t="shared" ca="1" si="18"/>
        <v>SELECT 217, 228, 22 UNION ALL</v>
      </c>
    </row>
    <row r="198" spans="1:25">
      <c r="A198">
        <f t="shared" si="15"/>
        <v>229</v>
      </c>
      <c r="B198" t="s">
        <v>1017</v>
      </c>
      <c r="C198">
        <v>1</v>
      </c>
      <c r="D198">
        <v>9</v>
      </c>
      <c r="L198" t="str">
        <f t="shared" si="19"/>
        <v>SELECT 229, N'rekin', 1, 9 UNION ALL</v>
      </c>
      <c r="M198" t="s">
        <v>563</v>
      </c>
      <c r="Q198" s="6">
        <f t="shared" ca="1" si="16"/>
        <v>20</v>
      </c>
      <c r="R198" s="6">
        <f t="shared" ca="1" si="17"/>
        <v>0</v>
      </c>
      <c r="U198" s="6" t="str">
        <f ca="1">IF(Q198&gt;0,"SELECT "&amp;COUNTIF($Q$1:$T197,"&gt;0")+1&amp;", "&amp;$A198&amp;", "&amp;Q198&amp;" UNION ALL","")</f>
        <v>SELECT 218, 229, 20 UNION ALL</v>
      </c>
      <c r="V198" s="6" t="str">
        <f ca="1">IF(R198&gt;0,"SELECT "&amp;COUNTIF($Q$1:$T197,"&gt;0")+COUNTIF($Q198:Q198,"&gt;0")+1&amp;", "&amp;$A198&amp;", "&amp;R198&amp;" UNION ALL","")</f>
        <v/>
      </c>
      <c r="W198" s="6" t="str">
        <f>IF(S198&gt;0,"SELECT "&amp;COUNTIF($Q$1:$T197,"&gt;0")+COUNTIF($Q198:R198,"&gt;0")+1&amp;", "&amp;$A198&amp;", "&amp;S198&amp;" UNION ALL","")</f>
        <v/>
      </c>
      <c r="X198" s="6" t="str">
        <f>IF(T198&gt;0,"SELECT "&amp;COUNTIF($Q$1:$T197,"&gt;0")+COUNTIF($Q198:S198,"&gt;0")+1&amp;", "&amp;$A198&amp;", "&amp;T198&amp;" UNION ALL","")</f>
        <v/>
      </c>
      <c r="Y198" s="5" t="str">
        <f t="shared" ca="1" si="18"/>
        <v>SELECT 218, 229, 20 UNION ALL</v>
      </c>
    </row>
    <row r="199" spans="1:25">
      <c r="A199">
        <f t="shared" si="15"/>
        <v>230</v>
      </c>
      <c r="B199" t="s">
        <v>1018</v>
      </c>
      <c r="C199">
        <v>1</v>
      </c>
      <c r="D199">
        <v>7</v>
      </c>
      <c r="L199" t="str">
        <f t="shared" si="19"/>
        <v>SELECT 230, N'wieloryb', 1, 7 UNION ALL</v>
      </c>
      <c r="M199" t="s">
        <v>563</v>
      </c>
      <c r="Q199" s="6">
        <f t="shared" ca="1" si="16"/>
        <v>20</v>
      </c>
      <c r="R199" s="6">
        <f t="shared" ca="1" si="17"/>
        <v>0</v>
      </c>
      <c r="U199" s="6" t="str">
        <f ca="1">IF(Q199&gt;0,"SELECT "&amp;COUNTIF($Q$1:$T198,"&gt;0")+1&amp;", "&amp;$A199&amp;", "&amp;Q199&amp;" UNION ALL","")</f>
        <v>SELECT 219, 230, 20 UNION ALL</v>
      </c>
      <c r="V199" s="6" t="str">
        <f ca="1">IF(R199&gt;0,"SELECT "&amp;COUNTIF($Q$1:$T198,"&gt;0")+COUNTIF($Q199:Q199,"&gt;0")+1&amp;", "&amp;$A199&amp;", "&amp;R199&amp;" UNION ALL","")</f>
        <v/>
      </c>
      <c r="W199" s="6" t="str">
        <f>IF(S199&gt;0,"SELECT "&amp;COUNTIF($Q$1:$T198,"&gt;0")+COUNTIF($Q199:R199,"&gt;0")+1&amp;", "&amp;$A199&amp;", "&amp;S199&amp;" UNION ALL","")</f>
        <v/>
      </c>
      <c r="X199" s="6" t="str">
        <f>IF(T199&gt;0,"SELECT "&amp;COUNTIF($Q$1:$T198,"&gt;0")+COUNTIF($Q199:S199,"&gt;0")+1&amp;", "&amp;$A199&amp;", "&amp;T199&amp;" UNION ALL","")</f>
        <v/>
      </c>
      <c r="Y199" s="5" t="str">
        <f t="shared" ca="1" si="18"/>
        <v>SELECT 219, 230, 20 UNION ALL</v>
      </c>
    </row>
    <row r="200" spans="1:25">
      <c r="A200">
        <f t="shared" si="15"/>
        <v>231</v>
      </c>
      <c r="B200" t="s">
        <v>1019</v>
      </c>
      <c r="C200">
        <v>1</v>
      </c>
      <c r="D200">
        <v>8</v>
      </c>
      <c r="L200" t="str">
        <f t="shared" si="19"/>
        <v>SELECT 231, N'osioł', 1, 8 UNION ALL</v>
      </c>
      <c r="M200" t="s">
        <v>562</v>
      </c>
      <c r="Q200" s="6">
        <f t="shared" ca="1" si="16"/>
        <v>19</v>
      </c>
      <c r="R200" s="6">
        <f t="shared" ca="1" si="17"/>
        <v>0</v>
      </c>
      <c r="U200" s="6" t="str">
        <f ca="1">IF(Q200&gt;0,"SELECT "&amp;COUNTIF($Q$1:$T199,"&gt;0")+1&amp;", "&amp;$A200&amp;", "&amp;Q200&amp;" UNION ALL","")</f>
        <v>SELECT 220, 231, 19 UNION ALL</v>
      </c>
      <c r="V200" s="6" t="str">
        <f ca="1">IF(R200&gt;0,"SELECT "&amp;COUNTIF($Q$1:$T199,"&gt;0")+COUNTIF($Q200:Q200,"&gt;0")+1&amp;", "&amp;$A200&amp;", "&amp;R200&amp;" UNION ALL","")</f>
        <v/>
      </c>
      <c r="W200" s="6" t="str">
        <f>IF(S200&gt;0,"SELECT "&amp;COUNTIF($Q$1:$T199,"&gt;0")+COUNTIF($Q200:R200,"&gt;0")+1&amp;", "&amp;$A200&amp;", "&amp;S200&amp;" UNION ALL","")</f>
        <v/>
      </c>
      <c r="X200" s="6" t="str">
        <f>IF(T200&gt;0,"SELECT "&amp;COUNTIF($Q$1:$T199,"&gt;0")+COUNTIF($Q200:S200,"&gt;0")+1&amp;", "&amp;$A200&amp;", "&amp;T200&amp;" UNION ALL","")</f>
        <v/>
      </c>
      <c r="Y200" s="5" t="str">
        <f t="shared" ca="1" si="18"/>
        <v>SELECT 220, 231, 19 UNION ALL</v>
      </c>
    </row>
    <row r="201" spans="1:25">
      <c r="A201">
        <f t="shared" si="15"/>
        <v>232</v>
      </c>
      <c r="B201" t="s">
        <v>1020</v>
      </c>
      <c r="C201">
        <v>1</v>
      </c>
      <c r="D201">
        <v>9</v>
      </c>
      <c r="L201" t="str">
        <f t="shared" si="19"/>
        <v>SELECT 232, N'owca', 1, 9 UNION ALL</v>
      </c>
      <c r="M201" t="s">
        <v>562</v>
      </c>
      <c r="Q201" s="6">
        <f t="shared" ca="1" si="16"/>
        <v>19</v>
      </c>
      <c r="R201" s="6">
        <f t="shared" ca="1" si="17"/>
        <v>0</v>
      </c>
      <c r="U201" s="6" t="str">
        <f ca="1">IF(Q201&gt;0,"SELECT "&amp;COUNTIF($Q$1:$T200,"&gt;0")+1&amp;", "&amp;$A201&amp;", "&amp;Q201&amp;" UNION ALL","")</f>
        <v>SELECT 221, 232, 19 UNION ALL</v>
      </c>
      <c r="V201" s="6" t="str">
        <f ca="1">IF(R201&gt;0,"SELECT "&amp;COUNTIF($Q$1:$T200,"&gt;0")+COUNTIF($Q201:Q201,"&gt;0")+1&amp;", "&amp;$A201&amp;", "&amp;R201&amp;" UNION ALL","")</f>
        <v/>
      </c>
      <c r="W201" s="6" t="str">
        <f>IF(S201&gt;0,"SELECT "&amp;COUNTIF($Q$1:$T200,"&gt;0")+COUNTIF($Q201:R201,"&gt;0")+1&amp;", "&amp;$A201&amp;", "&amp;S201&amp;" UNION ALL","")</f>
        <v/>
      </c>
      <c r="X201" s="6" t="str">
        <f>IF(T201&gt;0,"SELECT "&amp;COUNTIF($Q$1:$T200,"&gt;0")+COUNTIF($Q201:S201,"&gt;0")+1&amp;", "&amp;$A201&amp;", "&amp;T201&amp;" UNION ALL","")</f>
        <v/>
      </c>
      <c r="Y201" s="5" t="str">
        <f t="shared" ca="1" si="18"/>
        <v>SELECT 221, 232, 19 UNION ALL</v>
      </c>
    </row>
    <row r="202" spans="1:25">
      <c r="A202">
        <f t="shared" si="15"/>
        <v>233</v>
      </c>
      <c r="B202" t="s">
        <v>1021</v>
      </c>
      <c r="C202">
        <v>1</v>
      </c>
      <c r="D202">
        <v>7</v>
      </c>
      <c r="L202" t="str">
        <f t="shared" si="19"/>
        <v>SELECT 233, N'gołąb', 1, 7 UNION ALL</v>
      </c>
      <c r="M202" t="s">
        <v>567</v>
      </c>
      <c r="Q202" s="6">
        <f t="shared" ca="1" si="16"/>
        <v>17</v>
      </c>
      <c r="R202" s="6">
        <f t="shared" ca="1" si="17"/>
        <v>0</v>
      </c>
      <c r="U202" s="6" t="str">
        <f ca="1">IF(Q202&gt;0,"SELECT "&amp;COUNTIF($Q$1:$T201,"&gt;0")+1&amp;", "&amp;$A202&amp;", "&amp;Q202&amp;" UNION ALL","")</f>
        <v>SELECT 222, 233, 17 UNION ALL</v>
      </c>
      <c r="V202" s="6" t="str">
        <f ca="1">IF(R202&gt;0,"SELECT "&amp;COUNTIF($Q$1:$T201,"&gt;0")+COUNTIF($Q202:Q202,"&gt;0")+1&amp;", "&amp;$A202&amp;", "&amp;R202&amp;" UNION ALL","")</f>
        <v/>
      </c>
      <c r="W202" s="6" t="str">
        <f>IF(S202&gt;0,"SELECT "&amp;COUNTIF($Q$1:$T201,"&gt;0")+COUNTIF($Q202:R202,"&gt;0")+1&amp;", "&amp;$A202&amp;", "&amp;S202&amp;" UNION ALL","")</f>
        <v/>
      </c>
      <c r="X202" s="6" t="str">
        <f>IF(T202&gt;0,"SELECT "&amp;COUNTIF($Q$1:$T201,"&gt;0")+COUNTIF($Q202:S202,"&gt;0")+1&amp;", "&amp;$A202&amp;", "&amp;T202&amp;" UNION ALL","")</f>
        <v/>
      </c>
      <c r="Y202" s="5" t="str">
        <f t="shared" ca="1" si="18"/>
        <v>SELECT 222, 233, 17 UNION ALL</v>
      </c>
    </row>
    <row r="203" spans="1:25">
      <c r="A203">
        <f t="shared" si="15"/>
        <v>234</v>
      </c>
      <c r="B203" t="s">
        <v>1022</v>
      </c>
      <c r="C203">
        <v>1</v>
      </c>
      <c r="D203">
        <v>8</v>
      </c>
      <c r="L203" t="str">
        <f t="shared" si="19"/>
        <v>SELECT 234, N'sokół', 1, 8 UNION ALL</v>
      </c>
      <c r="M203" t="s">
        <v>567</v>
      </c>
      <c r="Q203" s="6">
        <f t="shared" ca="1" si="16"/>
        <v>17</v>
      </c>
      <c r="R203" s="6">
        <f t="shared" ca="1" si="17"/>
        <v>0</v>
      </c>
      <c r="U203" s="6" t="str">
        <f ca="1">IF(Q203&gt;0,"SELECT "&amp;COUNTIF($Q$1:$T202,"&gt;0")+1&amp;", "&amp;$A203&amp;", "&amp;Q203&amp;" UNION ALL","")</f>
        <v>SELECT 223, 234, 17 UNION ALL</v>
      </c>
      <c r="V203" s="6" t="str">
        <f ca="1">IF(R203&gt;0,"SELECT "&amp;COUNTIF($Q$1:$T202,"&gt;0")+COUNTIF($Q203:Q203,"&gt;0")+1&amp;", "&amp;$A203&amp;", "&amp;R203&amp;" UNION ALL","")</f>
        <v/>
      </c>
      <c r="W203" s="6" t="str">
        <f>IF(S203&gt;0,"SELECT "&amp;COUNTIF($Q$1:$T202,"&gt;0")+COUNTIF($Q203:R203,"&gt;0")+1&amp;", "&amp;$A203&amp;", "&amp;S203&amp;" UNION ALL","")</f>
        <v/>
      </c>
      <c r="X203" s="6" t="str">
        <f>IF(T203&gt;0,"SELECT "&amp;COUNTIF($Q$1:$T202,"&gt;0")+COUNTIF($Q203:S203,"&gt;0")+1&amp;", "&amp;$A203&amp;", "&amp;T203&amp;" UNION ALL","")</f>
        <v/>
      </c>
      <c r="Y203" s="5" t="str">
        <f t="shared" ca="1" si="18"/>
        <v>SELECT 223, 234, 17 UNION ALL</v>
      </c>
    </row>
    <row r="204" spans="1:25">
      <c r="A204">
        <f t="shared" si="15"/>
        <v>235</v>
      </c>
      <c r="B204" t="s">
        <v>1023</v>
      </c>
      <c r="C204">
        <v>1</v>
      </c>
      <c r="D204">
        <v>10</v>
      </c>
      <c r="L204" t="str">
        <f t="shared" si="19"/>
        <v>SELECT 235, N'orzeł', 1, 10 UNION ALL</v>
      </c>
      <c r="M204" t="s">
        <v>567</v>
      </c>
      <c r="Q204" s="6">
        <f t="shared" ca="1" si="16"/>
        <v>17</v>
      </c>
      <c r="R204" s="6">
        <f t="shared" ca="1" si="17"/>
        <v>0</v>
      </c>
      <c r="U204" s="6" t="str">
        <f ca="1">IF(Q204&gt;0,"SELECT "&amp;COUNTIF($Q$1:$T203,"&gt;0")+1&amp;", "&amp;$A204&amp;", "&amp;Q204&amp;" UNION ALL","")</f>
        <v>SELECT 224, 235, 17 UNION ALL</v>
      </c>
      <c r="V204" s="6" t="str">
        <f ca="1">IF(R204&gt;0,"SELECT "&amp;COUNTIF($Q$1:$T203,"&gt;0")+COUNTIF($Q204:Q204,"&gt;0")+1&amp;", "&amp;$A204&amp;", "&amp;R204&amp;" UNION ALL","")</f>
        <v/>
      </c>
      <c r="W204" s="6" t="str">
        <f>IF(S204&gt;0,"SELECT "&amp;COUNTIF($Q$1:$T203,"&gt;0")+COUNTIF($Q204:R204,"&gt;0")+1&amp;", "&amp;$A204&amp;", "&amp;S204&amp;" UNION ALL","")</f>
        <v/>
      </c>
      <c r="X204" s="6" t="str">
        <f>IF(T204&gt;0,"SELECT "&amp;COUNTIF($Q$1:$T203,"&gt;0")+COUNTIF($Q204:S204,"&gt;0")+1&amp;", "&amp;$A204&amp;", "&amp;T204&amp;" UNION ALL","")</f>
        <v/>
      </c>
      <c r="Y204" s="5" t="str">
        <f t="shared" ca="1" si="18"/>
        <v>SELECT 224, 235, 17 UNION ALL</v>
      </c>
    </row>
    <row r="205" spans="1:25">
      <c r="A205">
        <f t="shared" si="15"/>
        <v>236</v>
      </c>
      <c r="B205" t="s">
        <v>1024</v>
      </c>
      <c r="C205">
        <v>1</v>
      </c>
      <c r="D205">
        <v>8</v>
      </c>
      <c r="L205" t="str">
        <f t="shared" si="19"/>
        <v>SELECT 236, N'jastrząb', 1, 8 UNION ALL</v>
      </c>
      <c r="M205" t="s">
        <v>567</v>
      </c>
      <c r="Q205" s="6">
        <f t="shared" ca="1" si="16"/>
        <v>17</v>
      </c>
      <c r="R205" s="6">
        <f t="shared" ca="1" si="17"/>
        <v>0</v>
      </c>
      <c r="U205" s="6" t="str">
        <f ca="1">IF(Q205&gt;0,"SELECT "&amp;COUNTIF($Q$1:$T204,"&gt;0")+1&amp;", "&amp;$A205&amp;", "&amp;Q205&amp;" UNION ALL","")</f>
        <v>SELECT 225, 236, 17 UNION ALL</v>
      </c>
      <c r="V205" s="6" t="str">
        <f ca="1">IF(R205&gt;0,"SELECT "&amp;COUNTIF($Q$1:$T204,"&gt;0")+COUNTIF($Q205:Q205,"&gt;0")+1&amp;", "&amp;$A205&amp;", "&amp;R205&amp;" UNION ALL","")</f>
        <v/>
      </c>
      <c r="W205" s="6" t="str">
        <f>IF(S205&gt;0,"SELECT "&amp;COUNTIF($Q$1:$T204,"&gt;0")+COUNTIF($Q205:R205,"&gt;0")+1&amp;", "&amp;$A205&amp;", "&amp;S205&amp;" UNION ALL","")</f>
        <v/>
      </c>
      <c r="X205" s="6" t="str">
        <f>IF(T205&gt;0,"SELECT "&amp;COUNTIF($Q$1:$T204,"&gt;0")+COUNTIF($Q205:S205,"&gt;0")+1&amp;", "&amp;$A205&amp;", "&amp;T205&amp;" UNION ALL","")</f>
        <v/>
      </c>
      <c r="Y205" s="5" t="str">
        <f t="shared" ca="1" si="18"/>
        <v>SELECT 225, 236, 17 UNION ALL</v>
      </c>
    </row>
    <row r="206" spans="1:25">
      <c r="A206">
        <f t="shared" si="15"/>
        <v>237</v>
      </c>
      <c r="B206" t="s">
        <v>1025</v>
      </c>
      <c r="C206">
        <v>1</v>
      </c>
      <c r="D206">
        <v>10</v>
      </c>
      <c r="L206" t="str">
        <f t="shared" si="19"/>
        <v>SELECT 237, N'Andy', 1, 10 UNION ALL</v>
      </c>
      <c r="M206" t="s">
        <v>522</v>
      </c>
      <c r="Q206" s="6">
        <f t="shared" ca="1" si="16"/>
        <v>12</v>
      </c>
      <c r="R206" s="6">
        <f t="shared" ca="1" si="17"/>
        <v>0</v>
      </c>
      <c r="U206" s="6" t="str">
        <f ca="1">IF(Q206&gt;0,"SELECT "&amp;COUNTIF($Q$1:$T205,"&gt;0")+1&amp;", "&amp;$A206&amp;", "&amp;Q206&amp;" UNION ALL","")</f>
        <v>SELECT 226, 237, 12 UNION ALL</v>
      </c>
      <c r="V206" s="6" t="str">
        <f ca="1">IF(R206&gt;0,"SELECT "&amp;COUNTIF($Q$1:$T205,"&gt;0")+COUNTIF($Q206:Q206,"&gt;0")+1&amp;", "&amp;$A206&amp;", "&amp;R206&amp;" UNION ALL","")</f>
        <v/>
      </c>
      <c r="W206" s="6" t="str">
        <f>IF(S206&gt;0,"SELECT "&amp;COUNTIF($Q$1:$T205,"&gt;0")+COUNTIF($Q206:R206,"&gt;0")+1&amp;", "&amp;$A206&amp;", "&amp;S206&amp;" UNION ALL","")</f>
        <v/>
      </c>
      <c r="X206" s="6" t="str">
        <f>IF(T206&gt;0,"SELECT "&amp;COUNTIF($Q$1:$T205,"&gt;0")+COUNTIF($Q206:S206,"&gt;0")+1&amp;", "&amp;$A206&amp;", "&amp;T206&amp;" UNION ALL","")</f>
        <v/>
      </c>
      <c r="Y206" s="5" t="str">
        <f t="shared" ca="1" si="18"/>
        <v>SELECT 226, 237, 12 UNION ALL</v>
      </c>
    </row>
    <row r="207" spans="1:25">
      <c r="A207">
        <f t="shared" si="15"/>
        <v>238</v>
      </c>
      <c r="B207" t="s">
        <v>1026</v>
      </c>
      <c r="C207">
        <v>1</v>
      </c>
      <c r="D207">
        <v>10</v>
      </c>
      <c r="L207" t="str">
        <f t="shared" si="19"/>
        <v>SELECT 238, N'Himalaje', 1, 10 UNION ALL</v>
      </c>
      <c r="M207" t="s">
        <v>522</v>
      </c>
      <c r="Q207" s="6">
        <f t="shared" ca="1" si="16"/>
        <v>12</v>
      </c>
      <c r="R207" s="6">
        <f t="shared" ca="1" si="17"/>
        <v>0</v>
      </c>
      <c r="U207" s="6" t="str">
        <f ca="1">IF(Q207&gt;0,"SELECT "&amp;COUNTIF($Q$1:$T206,"&gt;0")+1&amp;", "&amp;$A207&amp;", "&amp;Q207&amp;" UNION ALL","")</f>
        <v>SELECT 227, 238, 12 UNION ALL</v>
      </c>
      <c r="V207" s="6" t="str">
        <f ca="1">IF(R207&gt;0,"SELECT "&amp;COUNTIF($Q$1:$T206,"&gt;0")+COUNTIF($Q207:Q207,"&gt;0")+1&amp;", "&amp;$A207&amp;", "&amp;R207&amp;" UNION ALL","")</f>
        <v/>
      </c>
      <c r="W207" s="6" t="str">
        <f>IF(S207&gt;0,"SELECT "&amp;COUNTIF($Q$1:$T206,"&gt;0")+COUNTIF($Q207:R207,"&gt;0")+1&amp;", "&amp;$A207&amp;", "&amp;S207&amp;" UNION ALL","")</f>
        <v/>
      </c>
      <c r="X207" s="6" t="str">
        <f>IF(T207&gt;0,"SELECT "&amp;COUNTIF($Q$1:$T206,"&gt;0")+COUNTIF($Q207:S207,"&gt;0")+1&amp;", "&amp;$A207&amp;", "&amp;T207&amp;" UNION ALL","")</f>
        <v/>
      </c>
      <c r="Y207" s="5" t="str">
        <f t="shared" ca="1" si="18"/>
        <v>SELECT 227, 238, 12 UNION ALL</v>
      </c>
    </row>
    <row r="208" spans="1:25">
      <c r="A208">
        <f t="shared" si="15"/>
        <v>239</v>
      </c>
      <c r="B208" t="s">
        <v>1027</v>
      </c>
      <c r="C208">
        <v>1</v>
      </c>
      <c r="D208">
        <v>10</v>
      </c>
      <c r="L208" t="str">
        <f t="shared" si="19"/>
        <v>SELECT 239, N'Alpy', 1, 10 UNION ALL</v>
      </c>
      <c r="M208" t="s">
        <v>522</v>
      </c>
      <c r="Q208" s="6">
        <f t="shared" ca="1" si="16"/>
        <v>12</v>
      </c>
      <c r="R208" s="6">
        <f t="shared" ca="1" si="17"/>
        <v>0</v>
      </c>
      <c r="U208" s="6" t="str">
        <f ca="1">IF(Q208&gt;0,"SELECT "&amp;COUNTIF($Q$1:$T207,"&gt;0")+1&amp;", "&amp;$A208&amp;", "&amp;Q208&amp;" UNION ALL","")</f>
        <v>SELECT 228, 239, 12 UNION ALL</v>
      </c>
      <c r="V208" s="6" t="str">
        <f ca="1">IF(R208&gt;0,"SELECT "&amp;COUNTIF($Q$1:$T207,"&gt;0")+COUNTIF($Q208:Q208,"&gt;0")+1&amp;", "&amp;$A208&amp;", "&amp;R208&amp;" UNION ALL","")</f>
        <v/>
      </c>
      <c r="W208" s="6" t="str">
        <f>IF(S208&gt;0,"SELECT "&amp;COUNTIF($Q$1:$T207,"&gt;0")+COUNTIF($Q208:R208,"&gt;0")+1&amp;", "&amp;$A208&amp;", "&amp;S208&amp;" UNION ALL","")</f>
        <v/>
      </c>
      <c r="X208" s="6" t="str">
        <f>IF(T208&gt;0,"SELECT "&amp;COUNTIF($Q$1:$T207,"&gt;0")+COUNTIF($Q208:S208,"&gt;0")+1&amp;", "&amp;$A208&amp;", "&amp;T208&amp;" UNION ALL","")</f>
        <v/>
      </c>
      <c r="Y208" s="5" t="str">
        <f t="shared" ca="1" si="18"/>
        <v>SELECT 228, 239, 12 UNION ALL</v>
      </c>
    </row>
    <row r="209" spans="1:25">
      <c r="A209">
        <f t="shared" si="15"/>
        <v>240</v>
      </c>
      <c r="B209" t="s">
        <v>1028</v>
      </c>
      <c r="C209">
        <v>1</v>
      </c>
      <c r="D209">
        <v>10</v>
      </c>
      <c r="L209" t="str">
        <f t="shared" si="19"/>
        <v>SELECT 240, N'Morze Śródziemne', 1, 10 UNION ALL</v>
      </c>
      <c r="M209" t="s">
        <v>524</v>
      </c>
      <c r="Q209" s="6">
        <f t="shared" ca="1" si="16"/>
        <v>13</v>
      </c>
      <c r="R209" s="6">
        <f t="shared" ca="1" si="17"/>
        <v>0</v>
      </c>
      <c r="U209" s="6" t="str">
        <f ca="1">IF(Q209&gt;0,"SELECT "&amp;COUNTIF($Q$1:$T208,"&gt;0")+1&amp;", "&amp;$A209&amp;", "&amp;Q209&amp;" UNION ALL","")</f>
        <v>SELECT 229, 240, 13 UNION ALL</v>
      </c>
      <c r="V209" s="6" t="str">
        <f ca="1">IF(R209&gt;0,"SELECT "&amp;COUNTIF($Q$1:$T208,"&gt;0")+COUNTIF($Q209:Q209,"&gt;0")+1&amp;", "&amp;$A209&amp;", "&amp;R209&amp;" UNION ALL","")</f>
        <v/>
      </c>
      <c r="W209" s="6" t="str">
        <f>IF(S209&gt;0,"SELECT "&amp;COUNTIF($Q$1:$T208,"&gt;0")+COUNTIF($Q209:R209,"&gt;0")+1&amp;", "&amp;$A209&amp;", "&amp;S209&amp;" UNION ALL","")</f>
        <v/>
      </c>
      <c r="X209" s="6" t="str">
        <f>IF(T209&gt;0,"SELECT "&amp;COUNTIF($Q$1:$T208,"&gt;0")+COUNTIF($Q209:S209,"&gt;0")+1&amp;", "&amp;$A209&amp;", "&amp;T209&amp;" UNION ALL","")</f>
        <v/>
      </c>
      <c r="Y209" s="5" t="str">
        <f t="shared" ca="1" si="18"/>
        <v>SELECT 229, 240, 13 UNION ALL</v>
      </c>
    </row>
    <row r="210" spans="1:25">
      <c r="A210">
        <f t="shared" si="15"/>
        <v>241</v>
      </c>
      <c r="B210" t="s">
        <v>1029</v>
      </c>
      <c r="C210">
        <v>1</v>
      </c>
      <c r="D210">
        <v>10</v>
      </c>
      <c r="L210" t="str">
        <f t="shared" si="19"/>
        <v>SELECT 241, N'Ocean Atlantycki', 1, 10 UNION ALL</v>
      </c>
      <c r="M210" t="s">
        <v>524</v>
      </c>
      <c r="Q210" s="6">
        <f t="shared" ca="1" si="16"/>
        <v>13</v>
      </c>
      <c r="R210" s="6">
        <f t="shared" ca="1" si="17"/>
        <v>0</v>
      </c>
      <c r="U210" s="6" t="str">
        <f ca="1">IF(Q210&gt;0,"SELECT "&amp;COUNTIF($Q$1:$T209,"&gt;0")+1&amp;", "&amp;$A210&amp;", "&amp;Q210&amp;" UNION ALL","")</f>
        <v>SELECT 230, 241, 13 UNION ALL</v>
      </c>
      <c r="V210" s="6" t="str">
        <f ca="1">IF(R210&gt;0,"SELECT "&amp;COUNTIF($Q$1:$T209,"&gt;0")+COUNTIF($Q210:Q210,"&gt;0")+1&amp;", "&amp;$A210&amp;", "&amp;R210&amp;" UNION ALL","")</f>
        <v/>
      </c>
      <c r="W210" s="6" t="str">
        <f>IF(S210&gt;0,"SELECT "&amp;COUNTIF($Q$1:$T209,"&gt;0")+COUNTIF($Q210:R210,"&gt;0")+1&amp;", "&amp;$A210&amp;", "&amp;S210&amp;" UNION ALL","")</f>
        <v/>
      </c>
      <c r="X210" s="6" t="str">
        <f>IF(T210&gt;0,"SELECT "&amp;COUNTIF($Q$1:$T209,"&gt;0")+COUNTIF($Q210:S210,"&gt;0")+1&amp;", "&amp;$A210&amp;", "&amp;T210&amp;" UNION ALL","")</f>
        <v/>
      </c>
      <c r="Y210" s="5" t="str">
        <f t="shared" ca="1" si="18"/>
        <v>SELECT 230, 241, 13 UNION ALL</v>
      </c>
    </row>
    <row r="211" spans="1:25">
      <c r="A211">
        <f t="shared" si="15"/>
        <v>242</v>
      </c>
      <c r="B211" t="s">
        <v>1030</v>
      </c>
      <c r="C211">
        <v>1</v>
      </c>
      <c r="D211">
        <v>10</v>
      </c>
      <c r="L211" t="str">
        <f t="shared" si="19"/>
        <v>SELECT 242, N'Ocean Spokojny', 1, 10 UNION ALL</v>
      </c>
      <c r="M211" t="s">
        <v>524</v>
      </c>
      <c r="Q211" s="6">
        <f t="shared" ca="1" si="16"/>
        <v>13</v>
      </c>
      <c r="R211" s="6">
        <f t="shared" ca="1" si="17"/>
        <v>0</v>
      </c>
      <c r="U211" s="6" t="str">
        <f ca="1">IF(Q211&gt;0,"SELECT "&amp;COUNTIF($Q$1:$T210,"&gt;0")+1&amp;", "&amp;$A211&amp;", "&amp;Q211&amp;" UNION ALL","")</f>
        <v>SELECT 231, 242, 13 UNION ALL</v>
      </c>
      <c r="V211" s="6" t="str">
        <f ca="1">IF(R211&gt;0,"SELECT "&amp;COUNTIF($Q$1:$T210,"&gt;0")+COUNTIF($Q211:Q211,"&gt;0")+1&amp;", "&amp;$A211&amp;", "&amp;R211&amp;" UNION ALL","")</f>
        <v/>
      </c>
      <c r="W211" s="6" t="str">
        <f>IF(S211&gt;0,"SELECT "&amp;COUNTIF($Q$1:$T210,"&gt;0")+COUNTIF($Q211:R211,"&gt;0")+1&amp;", "&amp;$A211&amp;", "&amp;S211&amp;" UNION ALL","")</f>
        <v/>
      </c>
      <c r="X211" s="6" t="str">
        <f>IF(T211&gt;0,"SELECT "&amp;COUNTIF($Q$1:$T210,"&gt;0")+COUNTIF($Q211:S211,"&gt;0")+1&amp;", "&amp;$A211&amp;", "&amp;T211&amp;" UNION ALL","")</f>
        <v/>
      </c>
      <c r="Y211" s="5" t="str">
        <f t="shared" ca="1" si="18"/>
        <v>SELECT 231, 242, 13 UNION ALL</v>
      </c>
    </row>
    <row r="212" spans="1:25">
      <c r="A212">
        <f t="shared" si="15"/>
        <v>243</v>
      </c>
      <c r="B212" t="s">
        <v>1031</v>
      </c>
      <c r="C212">
        <v>1</v>
      </c>
      <c r="D212">
        <v>10</v>
      </c>
      <c r="L212" t="str">
        <f t="shared" si="19"/>
        <v>SELECT 243, N'Ocean Indyjski', 1, 10 UNION ALL</v>
      </c>
      <c r="M212" t="s">
        <v>524</v>
      </c>
      <c r="Q212" s="6">
        <f t="shared" ca="1" si="16"/>
        <v>13</v>
      </c>
      <c r="R212" s="6">
        <f t="shared" ca="1" si="17"/>
        <v>0</v>
      </c>
      <c r="U212" s="6" t="str">
        <f ca="1">IF(Q212&gt;0,"SELECT "&amp;COUNTIF($Q$1:$T211,"&gt;0")+1&amp;", "&amp;$A212&amp;", "&amp;Q212&amp;" UNION ALL","")</f>
        <v>SELECT 232, 243, 13 UNION ALL</v>
      </c>
      <c r="V212" s="6" t="str">
        <f ca="1">IF(R212&gt;0,"SELECT "&amp;COUNTIF($Q$1:$T211,"&gt;0")+COUNTIF($Q212:Q212,"&gt;0")+1&amp;", "&amp;$A212&amp;", "&amp;R212&amp;" UNION ALL","")</f>
        <v/>
      </c>
      <c r="W212" s="6" t="str">
        <f>IF(S212&gt;0,"SELECT "&amp;COUNTIF($Q$1:$T211,"&gt;0")+COUNTIF($Q212:R212,"&gt;0")+1&amp;", "&amp;$A212&amp;", "&amp;S212&amp;" UNION ALL","")</f>
        <v/>
      </c>
      <c r="X212" s="6" t="str">
        <f>IF(T212&gt;0,"SELECT "&amp;COUNTIF($Q$1:$T211,"&gt;0")+COUNTIF($Q212:S212,"&gt;0")+1&amp;", "&amp;$A212&amp;", "&amp;T212&amp;" UNION ALL","")</f>
        <v/>
      </c>
      <c r="Y212" s="5" t="str">
        <f t="shared" ca="1" si="18"/>
        <v>SELECT 232, 243, 13 UNION ALL</v>
      </c>
    </row>
    <row r="213" spans="1:25">
      <c r="A213">
        <f t="shared" si="15"/>
        <v>244</v>
      </c>
      <c r="B213" t="s">
        <v>1032</v>
      </c>
      <c r="C213">
        <v>1</v>
      </c>
      <c r="D213">
        <v>8</v>
      </c>
      <c r="L213" t="str">
        <f t="shared" si="19"/>
        <v>SELECT 244, N'Zatoka Perska', 1, 8 UNION ALL</v>
      </c>
      <c r="M213" t="s">
        <v>524</v>
      </c>
      <c r="Q213" s="6">
        <f t="shared" ca="1" si="16"/>
        <v>13</v>
      </c>
      <c r="R213" s="6">
        <f t="shared" ca="1" si="17"/>
        <v>0</v>
      </c>
      <c r="U213" s="6" t="str">
        <f ca="1">IF(Q213&gt;0,"SELECT "&amp;COUNTIF($Q$1:$T212,"&gt;0")+1&amp;", "&amp;$A213&amp;", "&amp;Q213&amp;" UNION ALL","")</f>
        <v>SELECT 233, 244, 13 UNION ALL</v>
      </c>
      <c r="V213" s="6" t="str">
        <f ca="1">IF(R213&gt;0,"SELECT "&amp;COUNTIF($Q$1:$T212,"&gt;0")+COUNTIF($Q213:Q213,"&gt;0")+1&amp;", "&amp;$A213&amp;", "&amp;R213&amp;" UNION ALL","")</f>
        <v/>
      </c>
      <c r="W213" s="6" t="str">
        <f>IF(S213&gt;0,"SELECT "&amp;COUNTIF($Q$1:$T212,"&gt;0")+COUNTIF($Q213:R213,"&gt;0")+1&amp;", "&amp;$A213&amp;", "&amp;S213&amp;" UNION ALL","")</f>
        <v/>
      </c>
      <c r="X213" s="6" t="str">
        <f>IF(T213&gt;0,"SELECT "&amp;COUNTIF($Q$1:$T212,"&gt;0")+COUNTIF($Q213:S213,"&gt;0")+1&amp;", "&amp;$A213&amp;", "&amp;T213&amp;" UNION ALL","")</f>
        <v/>
      </c>
      <c r="Y213" s="5" t="str">
        <f t="shared" ca="1" si="18"/>
        <v>SELECT 233, 244, 13 UNION ALL</v>
      </c>
    </row>
    <row r="214" spans="1:25">
      <c r="A214">
        <f t="shared" si="15"/>
        <v>245</v>
      </c>
      <c r="B214" t="s">
        <v>1033</v>
      </c>
      <c r="C214">
        <v>1</v>
      </c>
      <c r="D214">
        <v>10</v>
      </c>
      <c r="L214" t="str">
        <f t="shared" si="19"/>
        <v>SELECT 245, N'Morze Bałtyckie', 1, 10 UNION ALL</v>
      </c>
      <c r="M214" t="s">
        <v>524</v>
      </c>
      <c r="Q214" s="6">
        <f t="shared" ca="1" si="16"/>
        <v>13</v>
      </c>
      <c r="R214" s="6">
        <f t="shared" ca="1" si="17"/>
        <v>0</v>
      </c>
      <c r="U214" s="6" t="str">
        <f ca="1">IF(Q214&gt;0,"SELECT "&amp;COUNTIF($Q$1:$T213,"&gt;0")+1&amp;", "&amp;$A214&amp;", "&amp;Q214&amp;" UNION ALL","")</f>
        <v>SELECT 234, 245, 13 UNION ALL</v>
      </c>
      <c r="V214" s="6" t="str">
        <f ca="1">IF(R214&gt;0,"SELECT "&amp;COUNTIF($Q$1:$T213,"&gt;0")+COUNTIF($Q214:Q214,"&gt;0")+1&amp;", "&amp;$A214&amp;", "&amp;R214&amp;" UNION ALL","")</f>
        <v/>
      </c>
      <c r="W214" s="6" t="str">
        <f>IF(S214&gt;0,"SELECT "&amp;COUNTIF($Q$1:$T213,"&gt;0")+COUNTIF($Q214:R214,"&gt;0")+1&amp;", "&amp;$A214&amp;", "&amp;S214&amp;" UNION ALL","")</f>
        <v/>
      </c>
      <c r="X214" s="6" t="str">
        <f>IF(T214&gt;0,"SELECT "&amp;COUNTIF($Q$1:$T213,"&gt;0")+COUNTIF($Q214:S214,"&gt;0")+1&amp;", "&amp;$A214&amp;", "&amp;T214&amp;" UNION ALL","")</f>
        <v/>
      </c>
      <c r="Y214" s="5" t="str">
        <f t="shared" ca="1" si="18"/>
        <v>SELECT 234, 245, 13 UNION ALL</v>
      </c>
    </row>
    <row r="215" spans="1:25">
      <c r="A215">
        <f t="shared" si="15"/>
        <v>246</v>
      </c>
      <c r="B215" t="s">
        <v>1034</v>
      </c>
      <c r="C215">
        <v>1</v>
      </c>
      <c r="D215">
        <v>10</v>
      </c>
      <c r="L215" t="str">
        <f t="shared" si="19"/>
        <v>SELECT 246, N'Sardynia', 1, 10 UNION ALL</v>
      </c>
      <c r="M215" t="s">
        <v>553</v>
      </c>
      <c r="Q215" s="6">
        <f t="shared" ca="1" si="16"/>
        <v>42</v>
      </c>
      <c r="R215" s="6">
        <f t="shared" ca="1" si="17"/>
        <v>0</v>
      </c>
      <c r="U215" s="6" t="str">
        <f ca="1">IF(Q215&gt;0,"SELECT "&amp;COUNTIF($Q$1:$T214,"&gt;0")+1&amp;", "&amp;$A215&amp;", "&amp;Q215&amp;" UNION ALL","")</f>
        <v>SELECT 235, 246, 42 UNION ALL</v>
      </c>
      <c r="V215" s="6" t="str">
        <f ca="1">IF(R215&gt;0,"SELECT "&amp;COUNTIF($Q$1:$T214,"&gt;0")+COUNTIF($Q215:Q215,"&gt;0")+1&amp;", "&amp;$A215&amp;", "&amp;R215&amp;" UNION ALL","")</f>
        <v/>
      </c>
      <c r="W215" s="6" t="str">
        <f>IF(S215&gt;0,"SELECT "&amp;COUNTIF($Q$1:$T214,"&gt;0")+COUNTIF($Q215:R215,"&gt;0")+1&amp;", "&amp;$A215&amp;", "&amp;S215&amp;" UNION ALL","")</f>
        <v/>
      </c>
      <c r="X215" s="6" t="str">
        <f>IF(T215&gt;0,"SELECT "&amp;COUNTIF($Q$1:$T214,"&gt;0")+COUNTIF($Q215:S215,"&gt;0")+1&amp;", "&amp;$A215&amp;", "&amp;T215&amp;" UNION ALL","")</f>
        <v/>
      </c>
      <c r="Y215" s="5" t="str">
        <f t="shared" ca="1" si="18"/>
        <v>SELECT 235, 246, 42 UNION ALL</v>
      </c>
    </row>
    <row r="216" spans="1:25">
      <c r="A216">
        <f t="shared" si="15"/>
        <v>247</v>
      </c>
      <c r="B216" t="s">
        <v>1035</v>
      </c>
      <c r="C216">
        <v>1</v>
      </c>
      <c r="D216">
        <v>10</v>
      </c>
      <c r="L216" t="str">
        <f t="shared" si="19"/>
        <v>SELECT 247, N'Sycylia', 1, 10 UNION ALL</v>
      </c>
      <c r="M216" t="s">
        <v>553</v>
      </c>
      <c r="Q216" s="6">
        <f t="shared" ca="1" si="16"/>
        <v>42</v>
      </c>
      <c r="R216" s="6">
        <f t="shared" ca="1" si="17"/>
        <v>0</v>
      </c>
      <c r="U216" s="6" t="str">
        <f ca="1">IF(Q216&gt;0,"SELECT "&amp;COUNTIF($Q$1:$T215,"&gt;0")+1&amp;", "&amp;$A216&amp;", "&amp;Q216&amp;" UNION ALL","")</f>
        <v>SELECT 236, 247, 42 UNION ALL</v>
      </c>
      <c r="V216" s="6" t="str">
        <f ca="1">IF(R216&gt;0,"SELECT "&amp;COUNTIF($Q$1:$T215,"&gt;0")+COUNTIF($Q216:Q216,"&gt;0")+1&amp;", "&amp;$A216&amp;", "&amp;R216&amp;" UNION ALL","")</f>
        <v/>
      </c>
      <c r="W216" s="6" t="str">
        <f>IF(S216&gt;0,"SELECT "&amp;COUNTIF($Q$1:$T215,"&gt;0")+COUNTIF($Q216:R216,"&gt;0")+1&amp;", "&amp;$A216&amp;", "&amp;S216&amp;" UNION ALL","")</f>
        <v/>
      </c>
      <c r="X216" s="6" t="str">
        <f>IF(T216&gt;0,"SELECT "&amp;COUNTIF($Q$1:$T215,"&gt;0")+COUNTIF($Q216:S216,"&gt;0")+1&amp;", "&amp;$A216&amp;", "&amp;T216&amp;" UNION ALL","")</f>
        <v/>
      </c>
      <c r="Y216" s="5" t="str">
        <f t="shared" ca="1" si="18"/>
        <v>SELECT 236, 247, 42 UNION ALL</v>
      </c>
    </row>
    <row r="217" spans="1:25">
      <c r="A217">
        <f t="shared" si="15"/>
        <v>248</v>
      </c>
      <c r="B217" t="s">
        <v>1037</v>
      </c>
      <c r="C217">
        <v>1</v>
      </c>
      <c r="D217">
        <v>10</v>
      </c>
      <c r="L217" t="str">
        <f t="shared" ref="L217:L280" si="20">"SELECT "&amp;A217&amp;", N'"&amp;B217&amp;"', "&amp;C217&amp;", "&amp;D217&amp;" UNION ALL"</f>
        <v>SELECT 248, N'czarny', 1, 10 UNION ALL</v>
      </c>
      <c r="M217" t="s">
        <v>1036</v>
      </c>
      <c r="Q217" s="6">
        <f t="shared" ca="1" si="16"/>
        <v>48</v>
      </c>
      <c r="R217" s="6">
        <f t="shared" ca="1" si="17"/>
        <v>0</v>
      </c>
      <c r="U217" s="6" t="str">
        <f ca="1">IF(Q217&gt;0,"SELECT "&amp;COUNTIF($Q$1:$T216,"&gt;0")+1&amp;", "&amp;$A217&amp;", "&amp;Q217&amp;" UNION ALL","")</f>
        <v>SELECT 237, 248, 48 UNION ALL</v>
      </c>
      <c r="V217" s="6" t="str">
        <f ca="1">IF(R217&gt;0,"SELECT "&amp;COUNTIF($Q$1:$T216,"&gt;0")+COUNTIF($Q217:Q217,"&gt;0")+1&amp;", "&amp;$A217&amp;", "&amp;R217&amp;" UNION ALL","")</f>
        <v/>
      </c>
      <c r="W217" s="6" t="str">
        <f>IF(S217&gt;0,"SELECT "&amp;COUNTIF($Q$1:$T216,"&gt;0")+COUNTIF($Q217:R217,"&gt;0")+1&amp;", "&amp;$A217&amp;", "&amp;S217&amp;" UNION ALL","")</f>
        <v/>
      </c>
      <c r="X217" s="6" t="str">
        <f>IF(T217&gt;0,"SELECT "&amp;COUNTIF($Q$1:$T216,"&gt;0")+COUNTIF($Q217:S217,"&gt;0")+1&amp;", "&amp;$A217&amp;", "&amp;T217&amp;" UNION ALL","")</f>
        <v/>
      </c>
      <c r="Y217" s="5" t="str">
        <f t="shared" ca="1" si="18"/>
        <v>SELECT 237, 248, 48 UNION ALL</v>
      </c>
    </row>
    <row r="218" spans="1:25">
      <c r="A218">
        <f t="shared" si="15"/>
        <v>249</v>
      </c>
      <c r="B218" t="s">
        <v>1038</v>
      </c>
      <c r="C218">
        <v>1</v>
      </c>
      <c r="D218">
        <v>10</v>
      </c>
      <c r="L218" t="str">
        <f t="shared" si="20"/>
        <v>SELECT 249, N'biały', 1, 10 UNION ALL</v>
      </c>
      <c r="M218" t="s">
        <v>1036</v>
      </c>
      <c r="Q218" s="6">
        <f t="shared" ca="1" si="16"/>
        <v>48</v>
      </c>
      <c r="R218" s="6">
        <f t="shared" ca="1" si="17"/>
        <v>0</v>
      </c>
      <c r="U218" s="6" t="str">
        <f ca="1">IF(Q218&gt;0,"SELECT "&amp;COUNTIF($Q$1:$T217,"&gt;0")+1&amp;", "&amp;$A218&amp;", "&amp;Q218&amp;" UNION ALL","")</f>
        <v>SELECT 238, 249, 48 UNION ALL</v>
      </c>
      <c r="V218" s="6" t="str">
        <f ca="1">IF(R218&gt;0,"SELECT "&amp;COUNTIF($Q$1:$T217,"&gt;0")+COUNTIF($Q218:Q218,"&gt;0")+1&amp;", "&amp;$A218&amp;", "&amp;R218&amp;" UNION ALL","")</f>
        <v/>
      </c>
      <c r="W218" s="6" t="str">
        <f>IF(S218&gt;0,"SELECT "&amp;COUNTIF($Q$1:$T217,"&gt;0")+COUNTIF($Q218:R218,"&gt;0")+1&amp;", "&amp;$A218&amp;", "&amp;S218&amp;" UNION ALL","")</f>
        <v/>
      </c>
      <c r="X218" s="6" t="str">
        <f>IF(T218&gt;0,"SELECT "&amp;COUNTIF($Q$1:$T217,"&gt;0")+COUNTIF($Q218:S218,"&gt;0")+1&amp;", "&amp;$A218&amp;", "&amp;T218&amp;" UNION ALL","")</f>
        <v/>
      </c>
      <c r="Y218" s="5" t="str">
        <f t="shared" ca="1" si="18"/>
        <v>SELECT 238, 249, 48 UNION ALL</v>
      </c>
    </row>
    <row r="219" spans="1:25">
      <c r="A219">
        <f t="shared" si="15"/>
        <v>250</v>
      </c>
      <c r="B219" t="s">
        <v>1039</v>
      </c>
      <c r="C219">
        <v>1</v>
      </c>
      <c r="D219">
        <v>10</v>
      </c>
      <c r="L219" t="str">
        <f t="shared" si="20"/>
        <v>SELECT 250, N'zielony', 1, 10 UNION ALL</v>
      </c>
      <c r="M219" t="s">
        <v>1036</v>
      </c>
      <c r="Q219" s="6">
        <f t="shared" ca="1" si="16"/>
        <v>48</v>
      </c>
      <c r="R219" s="6">
        <f t="shared" ca="1" si="17"/>
        <v>0</v>
      </c>
      <c r="U219" s="6" t="str">
        <f ca="1">IF(Q219&gt;0,"SELECT "&amp;COUNTIF($Q$1:$T218,"&gt;0")+1&amp;", "&amp;$A219&amp;", "&amp;Q219&amp;" UNION ALL","")</f>
        <v>SELECT 239, 250, 48 UNION ALL</v>
      </c>
      <c r="V219" s="6" t="str">
        <f ca="1">IF(R219&gt;0,"SELECT "&amp;COUNTIF($Q$1:$T218,"&gt;0")+COUNTIF($Q219:Q219,"&gt;0")+1&amp;", "&amp;$A219&amp;", "&amp;R219&amp;" UNION ALL","")</f>
        <v/>
      </c>
      <c r="W219" s="6" t="str">
        <f>IF(S219&gt;0,"SELECT "&amp;COUNTIF($Q$1:$T218,"&gt;0")+COUNTIF($Q219:R219,"&gt;0")+1&amp;", "&amp;$A219&amp;", "&amp;S219&amp;" UNION ALL","")</f>
        <v/>
      </c>
      <c r="X219" s="6" t="str">
        <f>IF(T219&gt;0,"SELECT "&amp;COUNTIF($Q$1:$T218,"&gt;0")+COUNTIF($Q219:S219,"&gt;0")+1&amp;", "&amp;$A219&amp;", "&amp;T219&amp;" UNION ALL","")</f>
        <v/>
      </c>
      <c r="Y219" s="5" t="str">
        <f t="shared" ca="1" si="18"/>
        <v>SELECT 239, 250, 48 UNION ALL</v>
      </c>
    </row>
    <row r="220" spans="1:25">
      <c r="A220">
        <f t="shared" si="15"/>
        <v>251</v>
      </c>
      <c r="B220" t="s">
        <v>1040</v>
      </c>
      <c r="C220">
        <v>1</v>
      </c>
      <c r="D220">
        <v>10</v>
      </c>
      <c r="L220" t="str">
        <f t="shared" si="20"/>
        <v>SELECT 251, N'czerwony', 1, 10 UNION ALL</v>
      </c>
      <c r="M220" t="s">
        <v>1036</v>
      </c>
      <c r="Q220" s="6">
        <f t="shared" ca="1" si="16"/>
        <v>48</v>
      </c>
      <c r="R220" s="6">
        <f t="shared" ca="1" si="17"/>
        <v>0</v>
      </c>
      <c r="U220" s="6" t="str">
        <f ca="1">IF(Q220&gt;0,"SELECT "&amp;COUNTIF($Q$1:$T219,"&gt;0")+1&amp;", "&amp;$A220&amp;", "&amp;Q220&amp;" UNION ALL","")</f>
        <v>SELECT 240, 251, 48 UNION ALL</v>
      </c>
      <c r="V220" s="6" t="str">
        <f ca="1">IF(R220&gt;0,"SELECT "&amp;COUNTIF($Q$1:$T219,"&gt;0")+COUNTIF($Q220:Q220,"&gt;0")+1&amp;", "&amp;$A220&amp;", "&amp;R220&amp;" UNION ALL","")</f>
        <v/>
      </c>
      <c r="W220" s="6" t="str">
        <f>IF(S220&gt;0,"SELECT "&amp;COUNTIF($Q$1:$T219,"&gt;0")+COUNTIF($Q220:R220,"&gt;0")+1&amp;", "&amp;$A220&amp;", "&amp;S220&amp;" UNION ALL","")</f>
        <v/>
      </c>
      <c r="X220" s="6" t="str">
        <f>IF(T220&gt;0,"SELECT "&amp;COUNTIF($Q$1:$T219,"&gt;0")+COUNTIF($Q220:S220,"&gt;0")+1&amp;", "&amp;$A220&amp;", "&amp;T220&amp;" UNION ALL","")</f>
        <v/>
      </c>
      <c r="Y220" s="5" t="str">
        <f t="shared" ca="1" si="18"/>
        <v>SELECT 240, 251, 48 UNION ALL</v>
      </c>
    </row>
    <row r="221" spans="1:25">
      <c r="A221">
        <f t="shared" si="15"/>
        <v>252</v>
      </c>
      <c r="B221" t="s">
        <v>1041</v>
      </c>
      <c r="C221">
        <v>1</v>
      </c>
      <c r="D221">
        <v>10</v>
      </c>
      <c r="L221" t="str">
        <f t="shared" si="20"/>
        <v>SELECT 252, N'żółty', 1, 10 UNION ALL</v>
      </c>
      <c r="M221" t="s">
        <v>1036</v>
      </c>
      <c r="Q221" s="6">
        <f t="shared" ca="1" si="16"/>
        <v>48</v>
      </c>
      <c r="R221" s="6">
        <f t="shared" ca="1" si="17"/>
        <v>0</v>
      </c>
      <c r="U221" s="6" t="str">
        <f ca="1">IF(Q221&gt;0,"SELECT "&amp;COUNTIF($Q$1:$T220,"&gt;0")+1&amp;", "&amp;$A221&amp;", "&amp;Q221&amp;" UNION ALL","")</f>
        <v>SELECT 241, 252, 48 UNION ALL</v>
      </c>
      <c r="V221" s="6" t="str">
        <f ca="1">IF(R221&gt;0,"SELECT "&amp;COUNTIF($Q$1:$T220,"&gt;0")+COUNTIF($Q221:Q221,"&gt;0")+1&amp;", "&amp;$A221&amp;", "&amp;R221&amp;" UNION ALL","")</f>
        <v/>
      </c>
      <c r="W221" s="6" t="str">
        <f>IF(S221&gt;0,"SELECT "&amp;COUNTIF($Q$1:$T220,"&gt;0")+COUNTIF($Q221:R221,"&gt;0")+1&amp;", "&amp;$A221&amp;", "&amp;S221&amp;" UNION ALL","")</f>
        <v/>
      </c>
      <c r="X221" s="6" t="str">
        <f>IF(T221&gt;0,"SELECT "&amp;COUNTIF($Q$1:$T220,"&gt;0")+COUNTIF($Q221:S221,"&gt;0")+1&amp;", "&amp;$A221&amp;", "&amp;T221&amp;" UNION ALL","")</f>
        <v/>
      </c>
      <c r="Y221" s="5" t="str">
        <f t="shared" ca="1" si="18"/>
        <v>SELECT 241, 252, 48 UNION ALL</v>
      </c>
    </row>
    <row r="222" spans="1:25">
      <c r="A222">
        <f t="shared" si="15"/>
        <v>253</v>
      </c>
      <c r="B222" t="s">
        <v>1042</v>
      </c>
      <c r="C222">
        <v>1</v>
      </c>
      <c r="D222">
        <v>10</v>
      </c>
      <c r="L222" t="str">
        <f t="shared" si="20"/>
        <v>SELECT 253, N'brązowy', 1, 10 UNION ALL</v>
      </c>
      <c r="M222" t="s">
        <v>1036</v>
      </c>
      <c r="Q222" s="6">
        <f t="shared" ca="1" si="16"/>
        <v>48</v>
      </c>
      <c r="R222" s="6">
        <f t="shared" ca="1" si="17"/>
        <v>0</v>
      </c>
      <c r="U222" s="6" t="str">
        <f ca="1">IF(Q222&gt;0,"SELECT "&amp;COUNTIF($Q$1:$T221,"&gt;0")+1&amp;", "&amp;$A222&amp;", "&amp;Q222&amp;" UNION ALL","")</f>
        <v>SELECT 242, 253, 48 UNION ALL</v>
      </c>
      <c r="V222" s="6" t="str">
        <f ca="1">IF(R222&gt;0,"SELECT "&amp;COUNTIF($Q$1:$T221,"&gt;0")+COUNTIF($Q222:Q222,"&gt;0")+1&amp;", "&amp;$A222&amp;", "&amp;R222&amp;" UNION ALL","")</f>
        <v/>
      </c>
      <c r="W222" s="6" t="str">
        <f>IF(S222&gt;0,"SELECT "&amp;COUNTIF($Q$1:$T221,"&gt;0")+COUNTIF($Q222:R222,"&gt;0")+1&amp;", "&amp;$A222&amp;", "&amp;S222&amp;" UNION ALL","")</f>
        <v/>
      </c>
      <c r="X222" s="6" t="str">
        <f>IF(T222&gt;0,"SELECT "&amp;COUNTIF($Q$1:$T221,"&gt;0")+COUNTIF($Q222:S222,"&gt;0")+1&amp;", "&amp;$A222&amp;", "&amp;T222&amp;" UNION ALL","")</f>
        <v/>
      </c>
      <c r="Y222" s="5" t="str">
        <f t="shared" ca="1" si="18"/>
        <v>SELECT 242, 253, 48 UNION ALL</v>
      </c>
    </row>
    <row r="223" spans="1:25">
      <c r="A223">
        <f t="shared" si="15"/>
        <v>254</v>
      </c>
      <c r="B223" t="s">
        <v>1043</v>
      </c>
      <c r="C223">
        <v>1</v>
      </c>
      <c r="D223">
        <v>10</v>
      </c>
      <c r="L223" t="str">
        <f t="shared" si="20"/>
        <v>SELECT 254, N'niebieski', 1, 10 UNION ALL</v>
      </c>
      <c r="M223" t="s">
        <v>1036</v>
      </c>
      <c r="Q223" s="6">
        <f t="shared" ca="1" si="16"/>
        <v>48</v>
      </c>
      <c r="R223" s="6">
        <f t="shared" ca="1" si="17"/>
        <v>0</v>
      </c>
      <c r="U223" s="6" t="str">
        <f ca="1">IF(Q223&gt;0,"SELECT "&amp;COUNTIF($Q$1:$T222,"&gt;0")+1&amp;", "&amp;$A223&amp;", "&amp;Q223&amp;" UNION ALL","")</f>
        <v>SELECT 243, 254, 48 UNION ALL</v>
      </c>
      <c r="V223" s="6" t="str">
        <f ca="1">IF(R223&gt;0,"SELECT "&amp;COUNTIF($Q$1:$T222,"&gt;0")+COUNTIF($Q223:Q223,"&gt;0")+1&amp;", "&amp;$A223&amp;", "&amp;R223&amp;" UNION ALL","")</f>
        <v/>
      </c>
      <c r="W223" s="6" t="str">
        <f>IF(S223&gt;0,"SELECT "&amp;COUNTIF($Q$1:$T222,"&gt;0")+COUNTIF($Q223:R223,"&gt;0")+1&amp;", "&amp;$A223&amp;", "&amp;S223&amp;" UNION ALL","")</f>
        <v/>
      </c>
      <c r="X223" s="6" t="str">
        <f>IF(T223&gt;0,"SELECT "&amp;COUNTIF($Q$1:$T222,"&gt;0")+COUNTIF($Q223:S223,"&gt;0")+1&amp;", "&amp;$A223&amp;", "&amp;T223&amp;" UNION ALL","")</f>
        <v/>
      </c>
      <c r="Y223" s="5" t="str">
        <f t="shared" ca="1" si="18"/>
        <v>SELECT 243, 254, 48 UNION ALL</v>
      </c>
    </row>
    <row r="224" spans="1:25">
      <c r="A224">
        <f t="shared" si="15"/>
        <v>255</v>
      </c>
      <c r="B224" t="s">
        <v>1044</v>
      </c>
      <c r="C224">
        <v>1</v>
      </c>
      <c r="D224">
        <v>10</v>
      </c>
      <c r="L224" t="str">
        <f t="shared" si="20"/>
        <v>SELECT 255, N'różowy', 1, 10 UNION ALL</v>
      </c>
      <c r="M224" t="s">
        <v>1036</v>
      </c>
      <c r="Q224" s="6">
        <f t="shared" ca="1" si="16"/>
        <v>48</v>
      </c>
      <c r="R224" s="6">
        <f t="shared" ca="1" si="17"/>
        <v>0</v>
      </c>
      <c r="U224" s="6" t="str">
        <f ca="1">IF(Q224&gt;0,"SELECT "&amp;COUNTIF($Q$1:$T223,"&gt;0")+1&amp;", "&amp;$A224&amp;", "&amp;Q224&amp;" UNION ALL","")</f>
        <v>SELECT 244, 255, 48 UNION ALL</v>
      </c>
      <c r="V224" s="6" t="str">
        <f ca="1">IF(R224&gt;0,"SELECT "&amp;COUNTIF($Q$1:$T223,"&gt;0")+COUNTIF($Q224:Q224,"&gt;0")+1&amp;", "&amp;$A224&amp;", "&amp;R224&amp;" UNION ALL","")</f>
        <v/>
      </c>
      <c r="W224" s="6" t="str">
        <f>IF(S224&gt;0,"SELECT "&amp;COUNTIF($Q$1:$T223,"&gt;0")+COUNTIF($Q224:R224,"&gt;0")+1&amp;", "&amp;$A224&amp;", "&amp;S224&amp;" UNION ALL","")</f>
        <v/>
      </c>
      <c r="X224" s="6" t="str">
        <f>IF(T224&gt;0,"SELECT "&amp;COUNTIF($Q$1:$T223,"&gt;0")+COUNTIF($Q224:S224,"&gt;0")+1&amp;", "&amp;$A224&amp;", "&amp;T224&amp;" UNION ALL","")</f>
        <v/>
      </c>
      <c r="Y224" s="5" t="str">
        <f t="shared" ca="1" si="18"/>
        <v>SELECT 244, 255, 48 UNION ALL</v>
      </c>
    </row>
    <row r="225" spans="1:25">
      <c r="A225">
        <f t="shared" si="15"/>
        <v>256</v>
      </c>
      <c r="B225" t="s">
        <v>1045</v>
      </c>
      <c r="C225">
        <v>1</v>
      </c>
      <c r="D225">
        <v>10</v>
      </c>
      <c r="L225" t="str">
        <f t="shared" si="20"/>
        <v>SELECT 256, N'pomarańczowy', 1, 10 UNION ALL</v>
      </c>
      <c r="M225" t="s">
        <v>1036</v>
      </c>
      <c r="Q225" s="6">
        <f t="shared" ca="1" si="16"/>
        <v>48</v>
      </c>
      <c r="R225" s="6">
        <f t="shared" ca="1" si="17"/>
        <v>0</v>
      </c>
      <c r="U225" s="6" t="str">
        <f ca="1">IF(Q225&gt;0,"SELECT "&amp;COUNTIF($Q$1:$T224,"&gt;0")+1&amp;", "&amp;$A225&amp;", "&amp;Q225&amp;" UNION ALL","")</f>
        <v>SELECT 245, 256, 48 UNION ALL</v>
      </c>
      <c r="V225" s="6" t="str">
        <f ca="1">IF(R225&gt;0,"SELECT "&amp;COUNTIF($Q$1:$T224,"&gt;0")+COUNTIF($Q225:Q225,"&gt;0")+1&amp;", "&amp;$A225&amp;", "&amp;R225&amp;" UNION ALL","")</f>
        <v/>
      </c>
      <c r="W225" s="6" t="str">
        <f>IF(S225&gt;0,"SELECT "&amp;COUNTIF($Q$1:$T224,"&gt;0")+COUNTIF($Q225:R225,"&gt;0")+1&amp;", "&amp;$A225&amp;", "&amp;S225&amp;" UNION ALL","")</f>
        <v/>
      </c>
      <c r="X225" s="6" t="str">
        <f>IF(T225&gt;0,"SELECT "&amp;COUNTIF($Q$1:$T224,"&gt;0")+COUNTIF($Q225:S225,"&gt;0")+1&amp;", "&amp;$A225&amp;", "&amp;T225&amp;" UNION ALL","")</f>
        <v/>
      </c>
      <c r="Y225" s="5" t="str">
        <f t="shared" ca="1" si="18"/>
        <v>SELECT 245, 256, 48 UNION ALL</v>
      </c>
    </row>
    <row r="226" spans="1:25">
      <c r="A226">
        <f t="shared" si="15"/>
        <v>257</v>
      </c>
      <c r="B226" t="s">
        <v>1046</v>
      </c>
      <c r="C226">
        <v>1</v>
      </c>
      <c r="D226">
        <v>10</v>
      </c>
      <c r="L226" t="str">
        <f t="shared" si="20"/>
        <v>SELECT 257, N'szary', 1, 10 UNION ALL</v>
      </c>
      <c r="M226" t="s">
        <v>1036</v>
      </c>
      <c r="Q226" s="6">
        <f t="shared" ca="1" si="16"/>
        <v>48</v>
      </c>
      <c r="R226" s="6">
        <f t="shared" ca="1" si="17"/>
        <v>0</v>
      </c>
      <c r="U226" s="6" t="str">
        <f ca="1">IF(Q226&gt;0,"SELECT "&amp;COUNTIF($Q$1:$T225,"&gt;0")+1&amp;", "&amp;$A226&amp;", "&amp;Q226&amp;" UNION ALL","")</f>
        <v>SELECT 246, 257, 48 UNION ALL</v>
      </c>
      <c r="V226" s="6" t="str">
        <f ca="1">IF(R226&gt;0,"SELECT "&amp;COUNTIF($Q$1:$T225,"&gt;0")+COUNTIF($Q226:Q226,"&gt;0")+1&amp;", "&amp;$A226&amp;", "&amp;R226&amp;" UNION ALL","")</f>
        <v/>
      </c>
      <c r="W226" s="6" t="str">
        <f>IF(S226&gt;0,"SELECT "&amp;COUNTIF($Q$1:$T225,"&gt;0")+COUNTIF($Q226:R226,"&gt;0")+1&amp;", "&amp;$A226&amp;", "&amp;S226&amp;" UNION ALL","")</f>
        <v/>
      </c>
      <c r="X226" s="6" t="str">
        <f>IF(T226&gt;0,"SELECT "&amp;COUNTIF($Q$1:$T225,"&gt;0")+COUNTIF($Q226:S226,"&gt;0")+1&amp;", "&amp;$A226&amp;", "&amp;T226&amp;" UNION ALL","")</f>
        <v/>
      </c>
      <c r="Y226" s="5" t="str">
        <f t="shared" ca="1" si="18"/>
        <v>SELECT 246, 257, 48 UNION ALL</v>
      </c>
    </row>
    <row r="227" spans="1:25">
      <c r="A227">
        <f t="shared" si="15"/>
        <v>258</v>
      </c>
      <c r="B227" t="s">
        <v>1050</v>
      </c>
      <c r="C227">
        <v>1</v>
      </c>
      <c r="D227">
        <v>10</v>
      </c>
      <c r="L227" t="str">
        <f t="shared" si="20"/>
        <v>SELECT 258, N'poniedziałek', 1, 10 UNION ALL</v>
      </c>
      <c r="M227" t="s">
        <v>1048</v>
      </c>
      <c r="Q227" s="6">
        <f t="shared" ca="1" si="16"/>
        <v>50</v>
      </c>
      <c r="R227" s="6">
        <f t="shared" ca="1" si="17"/>
        <v>0</v>
      </c>
      <c r="U227" s="6" t="str">
        <f ca="1">IF(Q227&gt;0,"SELECT "&amp;COUNTIF($Q$1:$T226,"&gt;0")+1&amp;", "&amp;$A227&amp;", "&amp;Q227&amp;" UNION ALL","")</f>
        <v>SELECT 247, 258, 50 UNION ALL</v>
      </c>
      <c r="V227" s="6" t="str">
        <f ca="1">IF(R227&gt;0,"SELECT "&amp;COUNTIF($Q$1:$T226,"&gt;0")+COUNTIF($Q227:Q227,"&gt;0")+1&amp;", "&amp;$A227&amp;", "&amp;R227&amp;" UNION ALL","")</f>
        <v/>
      </c>
      <c r="W227" s="6" t="str">
        <f>IF(S227&gt;0,"SELECT "&amp;COUNTIF($Q$1:$T226,"&gt;0")+COUNTIF($Q227:R227,"&gt;0")+1&amp;", "&amp;$A227&amp;", "&amp;S227&amp;" UNION ALL","")</f>
        <v/>
      </c>
      <c r="X227" s="6" t="str">
        <f>IF(T227&gt;0,"SELECT "&amp;COUNTIF($Q$1:$T226,"&gt;0")+COUNTIF($Q227:S227,"&gt;0")+1&amp;", "&amp;$A227&amp;", "&amp;T227&amp;" UNION ALL","")</f>
        <v/>
      </c>
      <c r="Y227" s="5" t="str">
        <f t="shared" ca="1" si="18"/>
        <v>SELECT 247, 258, 50 UNION ALL</v>
      </c>
    </row>
    <row r="228" spans="1:25">
      <c r="A228">
        <f t="shared" si="15"/>
        <v>259</v>
      </c>
      <c r="B228" t="s">
        <v>1051</v>
      </c>
      <c r="C228">
        <v>1</v>
      </c>
      <c r="D228">
        <v>10</v>
      </c>
      <c r="L228" t="str">
        <f t="shared" si="20"/>
        <v>SELECT 259, N'wtorek', 1, 10 UNION ALL</v>
      </c>
      <c r="M228" t="s">
        <v>1048</v>
      </c>
      <c r="Q228" s="6">
        <f t="shared" ca="1" si="16"/>
        <v>50</v>
      </c>
      <c r="R228" s="6">
        <f t="shared" ca="1" si="17"/>
        <v>0</v>
      </c>
      <c r="U228" s="6" t="str">
        <f ca="1">IF(Q228&gt;0,"SELECT "&amp;COUNTIF($Q$1:$T227,"&gt;0")+1&amp;", "&amp;$A228&amp;", "&amp;Q228&amp;" UNION ALL","")</f>
        <v>SELECT 248, 259, 50 UNION ALL</v>
      </c>
      <c r="V228" s="6" t="str">
        <f ca="1">IF(R228&gt;0,"SELECT "&amp;COUNTIF($Q$1:$T227,"&gt;0")+COUNTIF($Q228:Q228,"&gt;0")+1&amp;", "&amp;$A228&amp;", "&amp;R228&amp;" UNION ALL","")</f>
        <v/>
      </c>
      <c r="W228" s="6" t="str">
        <f>IF(S228&gt;0,"SELECT "&amp;COUNTIF($Q$1:$T227,"&gt;0")+COUNTIF($Q228:R228,"&gt;0")+1&amp;", "&amp;$A228&amp;", "&amp;S228&amp;" UNION ALL","")</f>
        <v/>
      </c>
      <c r="X228" s="6" t="str">
        <f>IF(T228&gt;0,"SELECT "&amp;COUNTIF($Q$1:$T227,"&gt;0")+COUNTIF($Q228:S228,"&gt;0")+1&amp;", "&amp;$A228&amp;", "&amp;T228&amp;" UNION ALL","")</f>
        <v/>
      </c>
      <c r="Y228" s="5" t="str">
        <f t="shared" ca="1" si="18"/>
        <v>SELECT 248, 259, 50 UNION ALL</v>
      </c>
    </row>
    <row r="229" spans="1:25">
      <c r="A229">
        <f t="shared" si="15"/>
        <v>260</v>
      </c>
      <c r="B229" t="s">
        <v>1052</v>
      </c>
      <c r="C229">
        <v>1</v>
      </c>
      <c r="D229">
        <v>10</v>
      </c>
      <c r="L229" t="str">
        <f t="shared" si="20"/>
        <v>SELECT 260, N'środa', 1, 10 UNION ALL</v>
      </c>
      <c r="M229" t="s">
        <v>1048</v>
      </c>
      <c r="Q229" s="6">
        <f t="shared" ca="1" si="16"/>
        <v>50</v>
      </c>
      <c r="R229" s="6">
        <f t="shared" ca="1" si="17"/>
        <v>0</v>
      </c>
      <c r="U229" s="6" t="str">
        <f ca="1">IF(Q229&gt;0,"SELECT "&amp;COUNTIF($Q$1:$T228,"&gt;0")+1&amp;", "&amp;$A229&amp;", "&amp;Q229&amp;" UNION ALL","")</f>
        <v>SELECT 249, 260, 50 UNION ALL</v>
      </c>
      <c r="V229" s="6" t="str">
        <f ca="1">IF(R229&gt;0,"SELECT "&amp;COUNTIF($Q$1:$T228,"&gt;0")+COUNTIF($Q229:Q229,"&gt;0")+1&amp;", "&amp;$A229&amp;", "&amp;R229&amp;" UNION ALL","")</f>
        <v/>
      </c>
      <c r="W229" s="6" t="str">
        <f>IF(S229&gt;0,"SELECT "&amp;COUNTIF($Q$1:$T228,"&gt;0")+COUNTIF($Q229:R229,"&gt;0")+1&amp;", "&amp;$A229&amp;", "&amp;S229&amp;" UNION ALL","")</f>
        <v/>
      </c>
      <c r="X229" s="6" t="str">
        <f>IF(T229&gt;0,"SELECT "&amp;COUNTIF($Q$1:$T228,"&gt;0")+COUNTIF($Q229:S229,"&gt;0")+1&amp;", "&amp;$A229&amp;", "&amp;T229&amp;" UNION ALL","")</f>
        <v/>
      </c>
      <c r="Y229" s="5" t="str">
        <f t="shared" ca="1" si="18"/>
        <v>SELECT 249, 260, 50 UNION ALL</v>
      </c>
    </row>
    <row r="230" spans="1:25">
      <c r="A230">
        <f t="shared" si="15"/>
        <v>261</v>
      </c>
      <c r="B230" t="s">
        <v>1053</v>
      </c>
      <c r="C230">
        <v>1</v>
      </c>
      <c r="D230">
        <v>10</v>
      </c>
      <c r="L230" t="str">
        <f t="shared" si="20"/>
        <v>SELECT 261, N'czwartek', 1, 10 UNION ALL</v>
      </c>
      <c r="M230" t="s">
        <v>1048</v>
      </c>
      <c r="Q230" s="6">
        <f t="shared" ca="1" si="16"/>
        <v>50</v>
      </c>
      <c r="R230" s="6">
        <f t="shared" ca="1" si="17"/>
        <v>0</v>
      </c>
      <c r="U230" s="6" t="str">
        <f ca="1">IF(Q230&gt;0,"SELECT "&amp;COUNTIF($Q$1:$T229,"&gt;0")+1&amp;", "&amp;$A230&amp;", "&amp;Q230&amp;" UNION ALL","")</f>
        <v>SELECT 250, 261, 50 UNION ALL</v>
      </c>
      <c r="V230" s="6" t="str">
        <f ca="1">IF(R230&gt;0,"SELECT "&amp;COUNTIF($Q$1:$T229,"&gt;0")+COUNTIF($Q230:Q230,"&gt;0")+1&amp;", "&amp;$A230&amp;", "&amp;R230&amp;" UNION ALL","")</f>
        <v/>
      </c>
      <c r="W230" s="6" t="str">
        <f>IF(S230&gt;0,"SELECT "&amp;COUNTIF($Q$1:$T229,"&gt;0")+COUNTIF($Q230:R230,"&gt;0")+1&amp;", "&amp;$A230&amp;", "&amp;S230&amp;" UNION ALL","")</f>
        <v/>
      </c>
      <c r="X230" s="6" t="str">
        <f>IF(T230&gt;0,"SELECT "&amp;COUNTIF($Q$1:$T229,"&gt;0")+COUNTIF($Q230:S230,"&gt;0")+1&amp;", "&amp;$A230&amp;", "&amp;T230&amp;" UNION ALL","")</f>
        <v/>
      </c>
      <c r="Y230" s="5" t="str">
        <f t="shared" ca="1" si="18"/>
        <v>SELECT 250, 261, 50 UNION ALL</v>
      </c>
    </row>
    <row r="231" spans="1:25">
      <c r="A231">
        <f t="shared" si="15"/>
        <v>262</v>
      </c>
      <c r="B231" t="s">
        <v>1054</v>
      </c>
      <c r="C231">
        <v>1</v>
      </c>
      <c r="D231">
        <v>10</v>
      </c>
      <c r="L231" t="str">
        <f t="shared" si="20"/>
        <v>SELECT 262, N'piątek', 1, 10 UNION ALL</v>
      </c>
      <c r="M231" t="s">
        <v>1048</v>
      </c>
      <c r="Q231" s="6">
        <f t="shared" ca="1" si="16"/>
        <v>50</v>
      </c>
      <c r="R231" s="6">
        <f t="shared" ca="1" si="17"/>
        <v>0</v>
      </c>
      <c r="U231" s="6" t="str">
        <f ca="1">IF(Q231&gt;0,"SELECT "&amp;COUNTIF($Q$1:$T230,"&gt;0")+1&amp;", "&amp;$A231&amp;", "&amp;Q231&amp;" UNION ALL","")</f>
        <v>SELECT 251, 262, 50 UNION ALL</v>
      </c>
      <c r="V231" s="6" t="str">
        <f ca="1">IF(R231&gt;0,"SELECT "&amp;COUNTIF($Q$1:$T230,"&gt;0")+COUNTIF($Q231:Q231,"&gt;0")+1&amp;", "&amp;$A231&amp;", "&amp;R231&amp;" UNION ALL","")</f>
        <v/>
      </c>
      <c r="W231" s="6" t="str">
        <f>IF(S231&gt;0,"SELECT "&amp;COUNTIF($Q$1:$T230,"&gt;0")+COUNTIF($Q231:R231,"&gt;0")+1&amp;", "&amp;$A231&amp;", "&amp;S231&amp;" UNION ALL","")</f>
        <v/>
      </c>
      <c r="X231" s="6" t="str">
        <f>IF(T231&gt;0,"SELECT "&amp;COUNTIF($Q$1:$T230,"&gt;0")+COUNTIF($Q231:S231,"&gt;0")+1&amp;", "&amp;$A231&amp;", "&amp;T231&amp;" UNION ALL","")</f>
        <v/>
      </c>
      <c r="Y231" s="5" t="str">
        <f t="shared" ca="1" si="18"/>
        <v>SELECT 251, 262, 50 UNION ALL</v>
      </c>
    </row>
    <row r="232" spans="1:25">
      <c r="A232">
        <f t="shared" si="15"/>
        <v>263</v>
      </c>
      <c r="B232" t="s">
        <v>1055</v>
      </c>
      <c r="C232">
        <v>1</v>
      </c>
      <c r="D232">
        <v>10</v>
      </c>
      <c r="L232" t="str">
        <f t="shared" si="20"/>
        <v>SELECT 263, N'sobota', 1, 10 UNION ALL</v>
      </c>
      <c r="M232" t="s">
        <v>1048</v>
      </c>
      <c r="Q232" s="6">
        <f t="shared" ca="1" si="16"/>
        <v>50</v>
      </c>
      <c r="R232" s="6">
        <f t="shared" ca="1" si="17"/>
        <v>0</v>
      </c>
      <c r="U232" s="6" t="str">
        <f ca="1">IF(Q232&gt;0,"SELECT "&amp;COUNTIF($Q$1:$T231,"&gt;0")+1&amp;", "&amp;$A232&amp;", "&amp;Q232&amp;" UNION ALL","")</f>
        <v>SELECT 252, 263, 50 UNION ALL</v>
      </c>
      <c r="V232" s="6" t="str">
        <f ca="1">IF(R232&gt;0,"SELECT "&amp;COUNTIF($Q$1:$T231,"&gt;0")+COUNTIF($Q232:Q232,"&gt;0")+1&amp;", "&amp;$A232&amp;", "&amp;R232&amp;" UNION ALL","")</f>
        <v/>
      </c>
      <c r="W232" s="6" t="str">
        <f>IF(S232&gt;0,"SELECT "&amp;COUNTIF($Q$1:$T231,"&gt;0")+COUNTIF($Q232:R232,"&gt;0")+1&amp;", "&amp;$A232&amp;", "&amp;S232&amp;" UNION ALL","")</f>
        <v/>
      </c>
      <c r="X232" s="6" t="str">
        <f>IF(T232&gt;0,"SELECT "&amp;COUNTIF($Q$1:$T231,"&gt;0")+COUNTIF($Q232:S232,"&gt;0")+1&amp;", "&amp;$A232&amp;", "&amp;T232&amp;" UNION ALL","")</f>
        <v/>
      </c>
      <c r="Y232" s="5" t="str">
        <f t="shared" ca="1" si="18"/>
        <v>SELECT 252, 263, 50 UNION ALL</v>
      </c>
    </row>
    <row r="233" spans="1:25">
      <c r="A233">
        <f t="shared" ref="A233:A296" si="21">A232+1</f>
        <v>264</v>
      </c>
      <c r="B233" t="s">
        <v>1056</v>
      </c>
      <c r="C233">
        <v>1</v>
      </c>
      <c r="D233">
        <v>10</v>
      </c>
      <c r="L233" t="str">
        <f t="shared" si="20"/>
        <v>SELECT 264, N'niedziela', 1, 10 UNION ALL</v>
      </c>
      <c r="M233" t="s">
        <v>1048</v>
      </c>
      <c r="Q233" s="6">
        <f t="shared" ca="1" si="16"/>
        <v>50</v>
      </c>
      <c r="R233" s="6">
        <f t="shared" ca="1" si="17"/>
        <v>0</v>
      </c>
      <c r="U233" s="6" t="str">
        <f ca="1">IF(Q233&gt;0,"SELECT "&amp;COUNTIF($Q$1:$T232,"&gt;0")+1&amp;", "&amp;$A233&amp;", "&amp;Q233&amp;" UNION ALL","")</f>
        <v>SELECT 253, 264, 50 UNION ALL</v>
      </c>
      <c r="V233" s="6" t="str">
        <f ca="1">IF(R233&gt;0,"SELECT "&amp;COUNTIF($Q$1:$T232,"&gt;0")+COUNTIF($Q233:Q233,"&gt;0")+1&amp;", "&amp;$A233&amp;", "&amp;R233&amp;" UNION ALL","")</f>
        <v/>
      </c>
      <c r="W233" s="6" t="str">
        <f>IF(S233&gt;0,"SELECT "&amp;COUNTIF($Q$1:$T232,"&gt;0")+COUNTIF($Q233:R233,"&gt;0")+1&amp;", "&amp;$A233&amp;", "&amp;S233&amp;" UNION ALL","")</f>
        <v/>
      </c>
      <c r="X233" s="6" t="str">
        <f>IF(T233&gt;0,"SELECT "&amp;COUNTIF($Q$1:$T232,"&gt;0")+COUNTIF($Q233:S233,"&gt;0")+1&amp;", "&amp;$A233&amp;", "&amp;T233&amp;" UNION ALL","")</f>
        <v/>
      </c>
      <c r="Y233" s="5" t="str">
        <f t="shared" ca="1" si="18"/>
        <v>SELECT 253, 264, 50 UNION ALL</v>
      </c>
    </row>
    <row r="234" spans="1:25">
      <c r="A234">
        <f t="shared" si="21"/>
        <v>265</v>
      </c>
      <c r="B234" t="s">
        <v>1057</v>
      </c>
      <c r="C234">
        <v>1</v>
      </c>
      <c r="D234">
        <v>10</v>
      </c>
      <c r="L234" t="str">
        <f t="shared" si="20"/>
        <v>SELECT 265, N'styczeń', 1, 10 UNION ALL</v>
      </c>
      <c r="M234" t="s">
        <v>1048</v>
      </c>
      <c r="Q234" s="6">
        <f t="shared" ca="1" si="16"/>
        <v>50</v>
      </c>
      <c r="R234" s="6">
        <f t="shared" ca="1" si="17"/>
        <v>0</v>
      </c>
      <c r="U234" s="6" t="str">
        <f ca="1">IF(Q234&gt;0,"SELECT "&amp;COUNTIF($Q$1:$T233,"&gt;0")+1&amp;", "&amp;$A234&amp;", "&amp;Q234&amp;" UNION ALL","")</f>
        <v>SELECT 254, 265, 50 UNION ALL</v>
      </c>
      <c r="V234" s="6" t="str">
        <f ca="1">IF(R234&gt;0,"SELECT "&amp;COUNTIF($Q$1:$T233,"&gt;0")+COUNTIF($Q234:Q234,"&gt;0")+1&amp;", "&amp;$A234&amp;", "&amp;R234&amp;" UNION ALL","")</f>
        <v/>
      </c>
      <c r="W234" s="6" t="str">
        <f>IF(S234&gt;0,"SELECT "&amp;COUNTIF($Q$1:$T233,"&gt;0")+COUNTIF($Q234:R234,"&gt;0")+1&amp;", "&amp;$A234&amp;", "&amp;S234&amp;" UNION ALL","")</f>
        <v/>
      </c>
      <c r="X234" s="6" t="str">
        <f>IF(T234&gt;0,"SELECT "&amp;COUNTIF($Q$1:$T233,"&gt;0")+COUNTIF($Q234:S234,"&gt;0")+1&amp;", "&amp;$A234&amp;", "&amp;T234&amp;" UNION ALL","")</f>
        <v/>
      </c>
      <c r="Y234" s="5" t="str">
        <f t="shared" ca="1" si="18"/>
        <v>SELECT 254, 265, 50 UNION ALL</v>
      </c>
    </row>
    <row r="235" spans="1:25">
      <c r="A235">
        <f t="shared" si="21"/>
        <v>266</v>
      </c>
      <c r="B235" t="s">
        <v>1058</v>
      </c>
      <c r="C235">
        <v>1</v>
      </c>
      <c r="D235">
        <v>10</v>
      </c>
      <c r="L235" t="str">
        <f t="shared" si="20"/>
        <v>SELECT 266, N'luty', 1, 10 UNION ALL</v>
      </c>
      <c r="M235" t="s">
        <v>1048</v>
      </c>
      <c r="Q235" s="6">
        <f t="shared" ca="1" si="16"/>
        <v>50</v>
      </c>
      <c r="R235" s="6">
        <f t="shared" ca="1" si="17"/>
        <v>0</v>
      </c>
      <c r="U235" s="6" t="str">
        <f ca="1">IF(Q235&gt;0,"SELECT "&amp;COUNTIF($Q$1:$T234,"&gt;0")+1&amp;", "&amp;$A235&amp;", "&amp;Q235&amp;" UNION ALL","")</f>
        <v>SELECT 255, 266, 50 UNION ALL</v>
      </c>
      <c r="V235" s="6" t="str">
        <f ca="1">IF(R235&gt;0,"SELECT "&amp;COUNTIF($Q$1:$T234,"&gt;0")+COUNTIF($Q235:Q235,"&gt;0")+1&amp;", "&amp;$A235&amp;", "&amp;R235&amp;" UNION ALL","")</f>
        <v/>
      </c>
      <c r="W235" s="6" t="str">
        <f>IF(S235&gt;0,"SELECT "&amp;COUNTIF($Q$1:$T234,"&gt;0")+COUNTIF($Q235:R235,"&gt;0")+1&amp;", "&amp;$A235&amp;", "&amp;S235&amp;" UNION ALL","")</f>
        <v/>
      </c>
      <c r="X235" s="6" t="str">
        <f>IF(T235&gt;0,"SELECT "&amp;COUNTIF($Q$1:$T234,"&gt;0")+COUNTIF($Q235:S235,"&gt;0")+1&amp;", "&amp;$A235&amp;", "&amp;T235&amp;" UNION ALL","")</f>
        <v/>
      </c>
      <c r="Y235" s="5" t="str">
        <f t="shared" ca="1" si="18"/>
        <v>SELECT 255, 266, 50 UNION ALL</v>
      </c>
    </row>
    <row r="236" spans="1:25">
      <c r="A236">
        <f t="shared" si="21"/>
        <v>267</v>
      </c>
      <c r="B236" t="s">
        <v>1059</v>
      </c>
      <c r="C236">
        <v>1</v>
      </c>
      <c r="D236">
        <v>10</v>
      </c>
      <c r="L236" t="str">
        <f t="shared" si="20"/>
        <v>SELECT 267, N'marzec', 1, 10 UNION ALL</v>
      </c>
      <c r="M236" t="s">
        <v>1048</v>
      </c>
      <c r="Q236" s="6">
        <f t="shared" ca="1" si="16"/>
        <v>50</v>
      </c>
      <c r="R236" s="6">
        <f t="shared" ca="1" si="17"/>
        <v>0</v>
      </c>
      <c r="U236" s="6" t="str">
        <f ca="1">IF(Q236&gt;0,"SELECT "&amp;COUNTIF($Q$1:$T235,"&gt;0")+1&amp;", "&amp;$A236&amp;", "&amp;Q236&amp;" UNION ALL","")</f>
        <v>SELECT 256, 267, 50 UNION ALL</v>
      </c>
      <c r="V236" s="6" t="str">
        <f ca="1">IF(R236&gt;0,"SELECT "&amp;COUNTIF($Q$1:$T235,"&gt;0")+COUNTIF($Q236:Q236,"&gt;0")+1&amp;", "&amp;$A236&amp;", "&amp;R236&amp;" UNION ALL","")</f>
        <v/>
      </c>
      <c r="W236" s="6" t="str">
        <f>IF(S236&gt;0,"SELECT "&amp;COUNTIF($Q$1:$T235,"&gt;0")+COUNTIF($Q236:R236,"&gt;0")+1&amp;", "&amp;$A236&amp;", "&amp;S236&amp;" UNION ALL","")</f>
        <v/>
      </c>
      <c r="X236" s="6" t="str">
        <f>IF(T236&gt;0,"SELECT "&amp;COUNTIF($Q$1:$T235,"&gt;0")+COUNTIF($Q236:S236,"&gt;0")+1&amp;", "&amp;$A236&amp;", "&amp;T236&amp;" UNION ALL","")</f>
        <v/>
      </c>
      <c r="Y236" s="5" t="str">
        <f t="shared" ca="1" si="18"/>
        <v>SELECT 256, 267, 50 UNION ALL</v>
      </c>
    </row>
    <row r="237" spans="1:25">
      <c r="A237">
        <f t="shared" si="21"/>
        <v>268</v>
      </c>
      <c r="B237" t="s">
        <v>1060</v>
      </c>
      <c r="C237">
        <v>1</v>
      </c>
      <c r="D237">
        <v>10</v>
      </c>
      <c r="L237" t="str">
        <f t="shared" si="20"/>
        <v>SELECT 268, N'kwiecień', 1, 10 UNION ALL</v>
      </c>
      <c r="M237" t="s">
        <v>1048</v>
      </c>
      <c r="Q237" s="6">
        <f t="shared" ca="1" si="16"/>
        <v>50</v>
      </c>
      <c r="R237" s="6">
        <f t="shared" ca="1" si="17"/>
        <v>0</v>
      </c>
      <c r="U237" s="6" t="str">
        <f ca="1">IF(Q237&gt;0,"SELECT "&amp;COUNTIF($Q$1:$T236,"&gt;0")+1&amp;", "&amp;$A237&amp;", "&amp;Q237&amp;" UNION ALL","")</f>
        <v>SELECT 257, 268, 50 UNION ALL</v>
      </c>
      <c r="V237" s="6" t="str">
        <f ca="1">IF(R237&gt;0,"SELECT "&amp;COUNTIF($Q$1:$T236,"&gt;0")+COUNTIF($Q237:Q237,"&gt;0")+1&amp;", "&amp;$A237&amp;", "&amp;R237&amp;" UNION ALL","")</f>
        <v/>
      </c>
      <c r="W237" s="6" t="str">
        <f>IF(S237&gt;0,"SELECT "&amp;COUNTIF($Q$1:$T236,"&gt;0")+COUNTIF($Q237:R237,"&gt;0")+1&amp;", "&amp;$A237&amp;", "&amp;S237&amp;" UNION ALL","")</f>
        <v/>
      </c>
      <c r="X237" s="6" t="str">
        <f>IF(T237&gt;0,"SELECT "&amp;COUNTIF($Q$1:$T236,"&gt;0")+COUNTIF($Q237:S237,"&gt;0")+1&amp;", "&amp;$A237&amp;", "&amp;T237&amp;" UNION ALL","")</f>
        <v/>
      </c>
      <c r="Y237" s="5" t="str">
        <f t="shared" ca="1" si="18"/>
        <v>SELECT 257, 268, 50 UNION ALL</v>
      </c>
    </row>
    <row r="238" spans="1:25">
      <c r="A238">
        <f t="shared" si="21"/>
        <v>269</v>
      </c>
      <c r="B238" t="s">
        <v>1061</v>
      </c>
      <c r="C238">
        <v>1</v>
      </c>
      <c r="D238">
        <v>10</v>
      </c>
      <c r="L238" t="str">
        <f t="shared" si="20"/>
        <v>SELECT 269, N'maj', 1, 10 UNION ALL</v>
      </c>
      <c r="M238" t="s">
        <v>1048</v>
      </c>
      <c r="Q238" s="6">
        <f t="shared" ca="1" si="16"/>
        <v>50</v>
      </c>
      <c r="R238" s="6">
        <f t="shared" ca="1" si="17"/>
        <v>0</v>
      </c>
      <c r="U238" s="6" t="str">
        <f ca="1">IF(Q238&gt;0,"SELECT "&amp;COUNTIF($Q$1:$T237,"&gt;0")+1&amp;", "&amp;$A238&amp;", "&amp;Q238&amp;" UNION ALL","")</f>
        <v>SELECT 258, 269, 50 UNION ALL</v>
      </c>
      <c r="V238" s="6" t="str">
        <f ca="1">IF(R238&gt;0,"SELECT "&amp;COUNTIF($Q$1:$T237,"&gt;0")+COUNTIF($Q238:Q238,"&gt;0")+1&amp;", "&amp;$A238&amp;", "&amp;R238&amp;" UNION ALL","")</f>
        <v/>
      </c>
      <c r="W238" s="6" t="str">
        <f>IF(S238&gt;0,"SELECT "&amp;COUNTIF($Q$1:$T237,"&gt;0")+COUNTIF($Q238:R238,"&gt;0")+1&amp;", "&amp;$A238&amp;", "&amp;S238&amp;" UNION ALL","")</f>
        <v/>
      </c>
      <c r="X238" s="6" t="str">
        <f>IF(T238&gt;0,"SELECT "&amp;COUNTIF($Q$1:$T237,"&gt;0")+COUNTIF($Q238:S238,"&gt;0")+1&amp;", "&amp;$A238&amp;", "&amp;T238&amp;" UNION ALL","")</f>
        <v/>
      </c>
      <c r="Y238" s="5" t="str">
        <f t="shared" ca="1" si="18"/>
        <v>SELECT 258, 269, 50 UNION ALL</v>
      </c>
    </row>
    <row r="239" spans="1:25">
      <c r="A239">
        <f t="shared" si="21"/>
        <v>270</v>
      </c>
      <c r="B239" t="s">
        <v>1062</v>
      </c>
      <c r="C239">
        <v>1</v>
      </c>
      <c r="D239">
        <v>10</v>
      </c>
      <c r="L239" t="str">
        <f t="shared" si="20"/>
        <v>SELECT 270, N'czerwiec', 1, 10 UNION ALL</v>
      </c>
      <c r="M239" t="s">
        <v>1048</v>
      </c>
      <c r="Q239" s="6">
        <f t="shared" ca="1" si="16"/>
        <v>50</v>
      </c>
      <c r="R239" s="6">
        <f t="shared" ca="1" si="17"/>
        <v>0</v>
      </c>
      <c r="U239" s="6" t="str">
        <f ca="1">IF(Q239&gt;0,"SELECT "&amp;COUNTIF($Q$1:$T238,"&gt;0")+1&amp;", "&amp;$A239&amp;", "&amp;Q239&amp;" UNION ALL","")</f>
        <v>SELECT 259, 270, 50 UNION ALL</v>
      </c>
      <c r="V239" s="6" t="str">
        <f ca="1">IF(R239&gt;0,"SELECT "&amp;COUNTIF($Q$1:$T238,"&gt;0")+COUNTIF($Q239:Q239,"&gt;0")+1&amp;", "&amp;$A239&amp;", "&amp;R239&amp;" UNION ALL","")</f>
        <v/>
      </c>
      <c r="W239" s="6" t="str">
        <f>IF(S239&gt;0,"SELECT "&amp;COUNTIF($Q$1:$T238,"&gt;0")+COUNTIF($Q239:R239,"&gt;0")+1&amp;", "&amp;$A239&amp;", "&amp;S239&amp;" UNION ALL","")</f>
        <v/>
      </c>
      <c r="X239" s="6" t="str">
        <f>IF(T239&gt;0,"SELECT "&amp;COUNTIF($Q$1:$T238,"&gt;0")+COUNTIF($Q239:S239,"&gt;0")+1&amp;", "&amp;$A239&amp;", "&amp;T239&amp;" UNION ALL","")</f>
        <v/>
      </c>
      <c r="Y239" s="5" t="str">
        <f t="shared" ca="1" si="18"/>
        <v>SELECT 259, 270, 50 UNION ALL</v>
      </c>
    </row>
    <row r="240" spans="1:25">
      <c r="A240">
        <f t="shared" si="21"/>
        <v>271</v>
      </c>
      <c r="B240" t="s">
        <v>1063</v>
      </c>
      <c r="C240">
        <v>1</v>
      </c>
      <c r="D240">
        <v>10</v>
      </c>
      <c r="L240" t="str">
        <f t="shared" si="20"/>
        <v>SELECT 271, N'lipiec', 1, 10 UNION ALL</v>
      </c>
      <c r="M240" t="s">
        <v>1048</v>
      </c>
      <c r="Q240" s="6">
        <f t="shared" ca="1" si="16"/>
        <v>50</v>
      </c>
      <c r="R240" s="6">
        <f t="shared" ca="1" si="17"/>
        <v>0</v>
      </c>
      <c r="U240" s="6" t="str">
        <f ca="1">IF(Q240&gt;0,"SELECT "&amp;COUNTIF($Q$1:$T239,"&gt;0")+1&amp;", "&amp;$A240&amp;", "&amp;Q240&amp;" UNION ALL","")</f>
        <v>SELECT 260, 271, 50 UNION ALL</v>
      </c>
      <c r="V240" s="6" t="str">
        <f ca="1">IF(R240&gt;0,"SELECT "&amp;COUNTIF($Q$1:$T239,"&gt;0")+COUNTIF($Q240:Q240,"&gt;0")+1&amp;", "&amp;$A240&amp;", "&amp;R240&amp;" UNION ALL","")</f>
        <v/>
      </c>
      <c r="W240" s="6" t="str">
        <f>IF(S240&gt;0,"SELECT "&amp;COUNTIF($Q$1:$T239,"&gt;0")+COUNTIF($Q240:R240,"&gt;0")+1&amp;", "&amp;$A240&amp;", "&amp;S240&amp;" UNION ALL","")</f>
        <v/>
      </c>
      <c r="X240" s="6" t="str">
        <f>IF(T240&gt;0,"SELECT "&amp;COUNTIF($Q$1:$T239,"&gt;0")+COUNTIF($Q240:S240,"&gt;0")+1&amp;", "&amp;$A240&amp;", "&amp;T240&amp;" UNION ALL","")</f>
        <v/>
      </c>
      <c r="Y240" s="5" t="str">
        <f t="shared" ca="1" si="18"/>
        <v>SELECT 260, 271, 50 UNION ALL</v>
      </c>
    </row>
    <row r="241" spans="1:25">
      <c r="A241">
        <f t="shared" si="21"/>
        <v>272</v>
      </c>
      <c r="B241" t="s">
        <v>1064</v>
      </c>
      <c r="C241">
        <v>1</v>
      </c>
      <c r="D241">
        <v>10</v>
      </c>
      <c r="L241" t="str">
        <f t="shared" si="20"/>
        <v>SELECT 272, N'sierpień', 1, 10 UNION ALL</v>
      </c>
      <c r="M241" t="s">
        <v>1048</v>
      </c>
      <c r="Q241" s="6">
        <f t="shared" ca="1" si="16"/>
        <v>50</v>
      </c>
      <c r="R241" s="6">
        <f t="shared" ca="1" si="17"/>
        <v>0</v>
      </c>
      <c r="U241" s="6" t="str">
        <f ca="1">IF(Q241&gt;0,"SELECT "&amp;COUNTIF($Q$1:$T240,"&gt;0")+1&amp;", "&amp;$A241&amp;", "&amp;Q241&amp;" UNION ALL","")</f>
        <v>SELECT 261, 272, 50 UNION ALL</v>
      </c>
      <c r="V241" s="6" t="str">
        <f ca="1">IF(R241&gt;0,"SELECT "&amp;COUNTIF($Q$1:$T240,"&gt;0")+COUNTIF($Q241:Q241,"&gt;0")+1&amp;", "&amp;$A241&amp;", "&amp;R241&amp;" UNION ALL","")</f>
        <v/>
      </c>
      <c r="W241" s="6" t="str">
        <f>IF(S241&gt;0,"SELECT "&amp;COUNTIF($Q$1:$T240,"&gt;0")+COUNTIF($Q241:R241,"&gt;0")+1&amp;", "&amp;$A241&amp;", "&amp;S241&amp;" UNION ALL","")</f>
        <v/>
      </c>
      <c r="X241" s="6" t="str">
        <f>IF(T241&gt;0,"SELECT "&amp;COUNTIF($Q$1:$T240,"&gt;0")+COUNTIF($Q241:S241,"&gt;0")+1&amp;", "&amp;$A241&amp;", "&amp;T241&amp;" UNION ALL","")</f>
        <v/>
      </c>
      <c r="Y241" s="5" t="str">
        <f t="shared" ca="1" si="18"/>
        <v>SELECT 261, 272, 50 UNION ALL</v>
      </c>
    </row>
    <row r="242" spans="1:25">
      <c r="A242">
        <f t="shared" si="21"/>
        <v>273</v>
      </c>
      <c r="B242" t="s">
        <v>1065</v>
      </c>
      <c r="C242">
        <v>1</v>
      </c>
      <c r="D242">
        <v>10</v>
      </c>
      <c r="L242" t="str">
        <f t="shared" si="20"/>
        <v>SELECT 273, N'wrzesień', 1, 10 UNION ALL</v>
      </c>
      <c r="M242" t="s">
        <v>1048</v>
      </c>
      <c r="Q242" s="6">
        <f t="shared" ca="1" si="16"/>
        <v>50</v>
      </c>
      <c r="R242" s="6">
        <f t="shared" ca="1" si="17"/>
        <v>0</v>
      </c>
      <c r="U242" s="6" t="str">
        <f ca="1">IF(Q242&gt;0,"SELECT "&amp;COUNTIF($Q$1:$T241,"&gt;0")+1&amp;", "&amp;$A242&amp;", "&amp;Q242&amp;" UNION ALL","")</f>
        <v>SELECT 262, 273, 50 UNION ALL</v>
      </c>
      <c r="V242" s="6" t="str">
        <f ca="1">IF(R242&gt;0,"SELECT "&amp;COUNTIF($Q$1:$T241,"&gt;0")+COUNTIF($Q242:Q242,"&gt;0")+1&amp;", "&amp;$A242&amp;", "&amp;R242&amp;" UNION ALL","")</f>
        <v/>
      </c>
      <c r="W242" s="6" t="str">
        <f>IF(S242&gt;0,"SELECT "&amp;COUNTIF($Q$1:$T241,"&gt;0")+COUNTIF($Q242:R242,"&gt;0")+1&amp;", "&amp;$A242&amp;", "&amp;S242&amp;" UNION ALL","")</f>
        <v/>
      </c>
      <c r="X242" s="6" t="str">
        <f>IF(T242&gt;0,"SELECT "&amp;COUNTIF($Q$1:$T241,"&gt;0")+COUNTIF($Q242:S242,"&gt;0")+1&amp;", "&amp;$A242&amp;", "&amp;T242&amp;" UNION ALL","")</f>
        <v/>
      </c>
      <c r="Y242" s="5" t="str">
        <f t="shared" ca="1" si="18"/>
        <v>SELECT 262, 273, 50 UNION ALL</v>
      </c>
    </row>
    <row r="243" spans="1:25">
      <c r="A243">
        <f t="shared" si="21"/>
        <v>274</v>
      </c>
      <c r="B243" t="s">
        <v>1066</v>
      </c>
      <c r="C243">
        <v>1</v>
      </c>
      <c r="D243">
        <v>10</v>
      </c>
      <c r="L243" t="str">
        <f t="shared" si="20"/>
        <v>SELECT 274, N'październik', 1, 10 UNION ALL</v>
      </c>
      <c r="M243" t="s">
        <v>1048</v>
      </c>
      <c r="Q243" s="6">
        <f t="shared" ca="1" si="16"/>
        <v>50</v>
      </c>
      <c r="R243" s="6">
        <f t="shared" ca="1" si="17"/>
        <v>0</v>
      </c>
      <c r="U243" s="6" t="str">
        <f ca="1">IF(Q243&gt;0,"SELECT "&amp;COUNTIF($Q$1:$T242,"&gt;0")+1&amp;", "&amp;$A243&amp;", "&amp;Q243&amp;" UNION ALL","")</f>
        <v>SELECT 263, 274, 50 UNION ALL</v>
      </c>
      <c r="V243" s="6" t="str">
        <f ca="1">IF(R243&gt;0,"SELECT "&amp;COUNTIF($Q$1:$T242,"&gt;0")+COUNTIF($Q243:Q243,"&gt;0")+1&amp;", "&amp;$A243&amp;", "&amp;R243&amp;" UNION ALL","")</f>
        <v/>
      </c>
      <c r="W243" s="6" t="str">
        <f>IF(S243&gt;0,"SELECT "&amp;COUNTIF($Q$1:$T242,"&gt;0")+COUNTIF($Q243:R243,"&gt;0")+1&amp;", "&amp;$A243&amp;", "&amp;S243&amp;" UNION ALL","")</f>
        <v/>
      </c>
      <c r="X243" s="6" t="str">
        <f>IF(T243&gt;0,"SELECT "&amp;COUNTIF($Q$1:$T242,"&gt;0")+COUNTIF($Q243:S243,"&gt;0")+1&amp;", "&amp;$A243&amp;", "&amp;T243&amp;" UNION ALL","")</f>
        <v/>
      </c>
      <c r="Y243" s="5" t="str">
        <f t="shared" ca="1" si="18"/>
        <v>SELECT 263, 274, 50 UNION ALL</v>
      </c>
    </row>
    <row r="244" spans="1:25">
      <c r="A244">
        <f t="shared" si="21"/>
        <v>275</v>
      </c>
      <c r="B244" t="s">
        <v>1067</v>
      </c>
      <c r="C244">
        <v>1</v>
      </c>
      <c r="D244">
        <v>10</v>
      </c>
      <c r="L244" t="str">
        <f t="shared" si="20"/>
        <v>SELECT 275, N'listopad', 1, 10 UNION ALL</v>
      </c>
      <c r="M244" t="s">
        <v>1048</v>
      </c>
      <c r="Q244" s="6">
        <f t="shared" ca="1" si="16"/>
        <v>50</v>
      </c>
      <c r="R244" s="6">
        <f t="shared" ca="1" si="17"/>
        <v>0</v>
      </c>
      <c r="U244" s="6" t="str">
        <f ca="1">IF(Q244&gt;0,"SELECT "&amp;COUNTIF($Q$1:$T243,"&gt;0")+1&amp;", "&amp;$A244&amp;", "&amp;Q244&amp;" UNION ALL","")</f>
        <v>SELECT 264, 275, 50 UNION ALL</v>
      </c>
      <c r="V244" s="6" t="str">
        <f ca="1">IF(R244&gt;0,"SELECT "&amp;COUNTIF($Q$1:$T243,"&gt;0")+COUNTIF($Q244:Q244,"&gt;0")+1&amp;", "&amp;$A244&amp;", "&amp;R244&amp;" UNION ALL","")</f>
        <v/>
      </c>
      <c r="W244" s="6" t="str">
        <f>IF(S244&gt;0,"SELECT "&amp;COUNTIF($Q$1:$T243,"&gt;0")+COUNTIF($Q244:R244,"&gt;0")+1&amp;", "&amp;$A244&amp;", "&amp;S244&amp;" UNION ALL","")</f>
        <v/>
      </c>
      <c r="X244" s="6" t="str">
        <f>IF(T244&gt;0,"SELECT "&amp;COUNTIF($Q$1:$T243,"&gt;0")+COUNTIF($Q244:S244,"&gt;0")+1&amp;", "&amp;$A244&amp;", "&amp;T244&amp;" UNION ALL","")</f>
        <v/>
      </c>
      <c r="Y244" s="5" t="str">
        <f t="shared" ca="1" si="18"/>
        <v>SELECT 264, 275, 50 UNION ALL</v>
      </c>
    </row>
    <row r="245" spans="1:25">
      <c r="A245">
        <f t="shared" si="21"/>
        <v>276</v>
      </c>
      <c r="B245" t="s">
        <v>1068</v>
      </c>
      <c r="C245">
        <v>1</v>
      </c>
      <c r="D245">
        <v>10</v>
      </c>
      <c r="L245" t="str">
        <f t="shared" si="20"/>
        <v>SELECT 276, N'grudzień', 1, 10 UNION ALL</v>
      </c>
      <c r="M245" t="s">
        <v>1048</v>
      </c>
      <c r="Q245" s="6">
        <f t="shared" ca="1" si="16"/>
        <v>50</v>
      </c>
      <c r="R245" s="6">
        <f t="shared" ca="1" si="17"/>
        <v>0</v>
      </c>
      <c r="U245" s="6" t="str">
        <f ca="1">IF(Q245&gt;0,"SELECT "&amp;COUNTIF($Q$1:$T244,"&gt;0")+1&amp;", "&amp;$A245&amp;", "&amp;Q245&amp;" UNION ALL","")</f>
        <v>SELECT 265, 276, 50 UNION ALL</v>
      </c>
      <c r="V245" s="6" t="str">
        <f ca="1">IF(R245&gt;0,"SELECT "&amp;COUNTIF($Q$1:$T244,"&gt;0")+COUNTIF($Q245:Q245,"&gt;0")+1&amp;", "&amp;$A245&amp;", "&amp;R245&amp;" UNION ALL","")</f>
        <v/>
      </c>
      <c r="W245" s="6" t="str">
        <f>IF(S245&gt;0,"SELECT "&amp;COUNTIF($Q$1:$T244,"&gt;0")+COUNTIF($Q245:R245,"&gt;0")+1&amp;", "&amp;$A245&amp;", "&amp;S245&amp;" UNION ALL","")</f>
        <v/>
      </c>
      <c r="X245" s="6" t="str">
        <f>IF(T245&gt;0,"SELECT "&amp;COUNTIF($Q$1:$T244,"&gt;0")+COUNTIF($Q245:S245,"&gt;0")+1&amp;", "&amp;$A245&amp;", "&amp;T245&amp;" UNION ALL","")</f>
        <v/>
      </c>
      <c r="Y245" s="5" t="str">
        <f t="shared" ca="1" si="18"/>
        <v>SELECT 265, 276, 50 UNION ALL</v>
      </c>
    </row>
    <row r="246" spans="1:25">
      <c r="A246">
        <f t="shared" si="21"/>
        <v>277</v>
      </c>
      <c r="B246" t="s">
        <v>1069</v>
      </c>
      <c r="C246">
        <v>1</v>
      </c>
      <c r="D246">
        <v>10</v>
      </c>
      <c r="L246" t="str">
        <f t="shared" si="20"/>
        <v>SELECT 277, N'rok', 1, 10 UNION ALL</v>
      </c>
      <c r="M246" t="s">
        <v>1049</v>
      </c>
      <c r="Q246" s="6">
        <f t="shared" ca="1" si="16"/>
        <v>51</v>
      </c>
      <c r="R246" s="6">
        <f t="shared" ca="1" si="17"/>
        <v>0</v>
      </c>
      <c r="U246" s="6" t="str">
        <f ca="1">IF(Q246&gt;0,"SELECT "&amp;COUNTIF($Q$1:$T245,"&gt;0")+1&amp;", "&amp;$A246&amp;", "&amp;Q246&amp;" UNION ALL","")</f>
        <v>SELECT 266, 277, 51 UNION ALL</v>
      </c>
      <c r="V246" s="6" t="str">
        <f ca="1">IF(R246&gt;0,"SELECT "&amp;COUNTIF($Q$1:$T245,"&gt;0")+COUNTIF($Q246:Q246,"&gt;0")+1&amp;", "&amp;$A246&amp;", "&amp;R246&amp;" UNION ALL","")</f>
        <v/>
      </c>
      <c r="W246" s="6" t="str">
        <f>IF(S246&gt;0,"SELECT "&amp;COUNTIF($Q$1:$T245,"&gt;0")+COUNTIF($Q246:R246,"&gt;0")+1&amp;", "&amp;$A246&amp;", "&amp;S246&amp;" UNION ALL","")</f>
        <v/>
      </c>
      <c r="X246" s="6" t="str">
        <f>IF(T246&gt;0,"SELECT "&amp;COUNTIF($Q$1:$T245,"&gt;0")+COUNTIF($Q246:S246,"&gt;0")+1&amp;", "&amp;$A246&amp;", "&amp;T246&amp;" UNION ALL","")</f>
        <v/>
      </c>
      <c r="Y246" s="5" t="str">
        <f t="shared" ca="1" si="18"/>
        <v>SELECT 266, 277, 51 UNION ALL</v>
      </c>
    </row>
    <row r="247" spans="1:25">
      <c r="A247">
        <f t="shared" si="21"/>
        <v>278</v>
      </c>
      <c r="B247" t="s">
        <v>1070</v>
      </c>
      <c r="C247">
        <v>1</v>
      </c>
      <c r="D247">
        <v>10</v>
      </c>
      <c r="L247" t="str">
        <f t="shared" si="20"/>
        <v>SELECT 278, N'miesiąc', 1, 10 UNION ALL</v>
      </c>
      <c r="M247" t="s">
        <v>1049</v>
      </c>
      <c r="Q247" s="6">
        <f t="shared" ca="1" si="16"/>
        <v>51</v>
      </c>
      <c r="R247" s="6">
        <f t="shared" ca="1" si="17"/>
        <v>0</v>
      </c>
      <c r="U247" s="6" t="str">
        <f ca="1">IF(Q247&gt;0,"SELECT "&amp;COUNTIF($Q$1:$T246,"&gt;0")+1&amp;", "&amp;$A247&amp;", "&amp;Q247&amp;" UNION ALL","")</f>
        <v>SELECT 267, 278, 51 UNION ALL</v>
      </c>
      <c r="V247" s="6" t="str">
        <f ca="1">IF(R247&gt;0,"SELECT "&amp;COUNTIF($Q$1:$T246,"&gt;0")+COUNTIF($Q247:Q247,"&gt;0")+1&amp;", "&amp;$A247&amp;", "&amp;R247&amp;" UNION ALL","")</f>
        <v/>
      </c>
      <c r="W247" s="6" t="str">
        <f>IF(S247&gt;0,"SELECT "&amp;COUNTIF($Q$1:$T246,"&gt;0")+COUNTIF($Q247:R247,"&gt;0")+1&amp;", "&amp;$A247&amp;", "&amp;S247&amp;" UNION ALL","")</f>
        <v/>
      </c>
      <c r="X247" s="6" t="str">
        <f>IF(T247&gt;0,"SELECT "&amp;COUNTIF($Q$1:$T246,"&gt;0")+COUNTIF($Q247:S247,"&gt;0")+1&amp;", "&amp;$A247&amp;", "&amp;T247&amp;" UNION ALL","")</f>
        <v/>
      </c>
      <c r="Y247" s="5" t="str">
        <f t="shared" ca="1" si="18"/>
        <v>SELECT 267, 278, 51 UNION ALL</v>
      </c>
    </row>
    <row r="248" spans="1:25">
      <c r="A248">
        <f t="shared" si="21"/>
        <v>279</v>
      </c>
      <c r="B248" t="s">
        <v>1071</v>
      </c>
      <c r="C248">
        <v>1</v>
      </c>
      <c r="D248">
        <v>10</v>
      </c>
      <c r="L248" t="str">
        <f t="shared" si="20"/>
        <v>SELECT 279, N'dzień', 1, 10 UNION ALL</v>
      </c>
      <c r="M248" t="s">
        <v>1049</v>
      </c>
      <c r="Q248" s="6">
        <f t="shared" ca="1" si="16"/>
        <v>51</v>
      </c>
      <c r="R248" s="6">
        <f t="shared" ca="1" si="17"/>
        <v>0</v>
      </c>
      <c r="U248" s="6" t="str">
        <f ca="1">IF(Q248&gt;0,"SELECT "&amp;COUNTIF($Q$1:$T247,"&gt;0")+1&amp;", "&amp;$A248&amp;", "&amp;Q248&amp;" UNION ALL","")</f>
        <v>SELECT 268, 279, 51 UNION ALL</v>
      </c>
      <c r="V248" s="6" t="str">
        <f ca="1">IF(R248&gt;0,"SELECT "&amp;COUNTIF($Q$1:$T247,"&gt;0")+COUNTIF($Q248:Q248,"&gt;0")+1&amp;", "&amp;$A248&amp;", "&amp;R248&amp;" UNION ALL","")</f>
        <v/>
      </c>
      <c r="W248" s="6" t="str">
        <f>IF(S248&gt;0,"SELECT "&amp;COUNTIF($Q$1:$T247,"&gt;0")+COUNTIF($Q248:R248,"&gt;0")+1&amp;", "&amp;$A248&amp;", "&amp;S248&amp;" UNION ALL","")</f>
        <v/>
      </c>
      <c r="X248" s="6" t="str">
        <f>IF(T248&gt;0,"SELECT "&amp;COUNTIF($Q$1:$T247,"&gt;0")+COUNTIF($Q248:S248,"&gt;0")+1&amp;", "&amp;$A248&amp;", "&amp;T248&amp;" UNION ALL","")</f>
        <v/>
      </c>
      <c r="Y248" s="5" t="str">
        <f t="shared" ca="1" si="18"/>
        <v>SELECT 268, 279, 51 UNION ALL</v>
      </c>
    </row>
    <row r="249" spans="1:25">
      <c r="A249">
        <f t="shared" si="21"/>
        <v>280</v>
      </c>
      <c r="B249" t="s">
        <v>1072</v>
      </c>
      <c r="C249">
        <v>1</v>
      </c>
      <c r="D249">
        <v>10</v>
      </c>
      <c r="L249" t="str">
        <f t="shared" si="20"/>
        <v>SELECT 280, N'tydzień', 1, 10 UNION ALL</v>
      </c>
      <c r="M249" t="s">
        <v>1049</v>
      </c>
      <c r="Q249" s="6">
        <f t="shared" ca="1" si="16"/>
        <v>51</v>
      </c>
      <c r="R249" s="6">
        <f t="shared" ca="1" si="17"/>
        <v>0</v>
      </c>
      <c r="U249" s="6" t="str">
        <f ca="1">IF(Q249&gt;0,"SELECT "&amp;COUNTIF($Q$1:$T248,"&gt;0")+1&amp;", "&amp;$A249&amp;", "&amp;Q249&amp;" UNION ALL","")</f>
        <v>SELECT 269, 280, 51 UNION ALL</v>
      </c>
      <c r="V249" s="6" t="str">
        <f ca="1">IF(R249&gt;0,"SELECT "&amp;COUNTIF($Q$1:$T248,"&gt;0")+COUNTIF($Q249:Q249,"&gt;0")+1&amp;", "&amp;$A249&amp;", "&amp;R249&amp;" UNION ALL","")</f>
        <v/>
      </c>
      <c r="W249" s="6" t="str">
        <f>IF(S249&gt;0,"SELECT "&amp;COUNTIF($Q$1:$T248,"&gt;0")+COUNTIF($Q249:R249,"&gt;0")+1&amp;", "&amp;$A249&amp;", "&amp;S249&amp;" UNION ALL","")</f>
        <v/>
      </c>
      <c r="X249" s="6" t="str">
        <f>IF(T249&gt;0,"SELECT "&amp;COUNTIF($Q$1:$T248,"&gt;0")+COUNTIF($Q249:S249,"&gt;0")+1&amp;", "&amp;$A249&amp;", "&amp;T249&amp;" UNION ALL","")</f>
        <v/>
      </c>
      <c r="Y249" s="5" t="str">
        <f t="shared" ca="1" si="18"/>
        <v>SELECT 269, 280, 51 UNION ALL</v>
      </c>
    </row>
    <row r="250" spans="1:25">
      <c r="A250">
        <f t="shared" si="21"/>
        <v>281</v>
      </c>
      <c r="B250" t="s">
        <v>1073</v>
      </c>
      <c r="C250">
        <v>1</v>
      </c>
      <c r="D250">
        <v>10</v>
      </c>
      <c r="L250" t="str">
        <f t="shared" si="20"/>
        <v>SELECT 281, N'godzina', 1, 10 UNION ALL</v>
      </c>
      <c r="M250" t="s">
        <v>1049</v>
      </c>
      <c r="Q250" s="6">
        <f t="shared" ca="1" si="16"/>
        <v>51</v>
      </c>
      <c r="R250" s="6">
        <f t="shared" ca="1" si="17"/>
        <v>0</v>
      </c>
      <c r="U250" s="6" t="str">
        <f ca="1">IF(Q250&gt;0,"SELECT "&amp;COUNTIF($Q$1:$T249,"&gt;0")+1&amp;", "&amp;$A250&amp;", "&amp;Q250&amp;" UNION ALL","")</f>
        <v>SELECT 270, 281, 51 UNION ALL</v>
      </c>
      <c r="V250" s="6" t="str">
        <f ca="1">IF(R250&gt;0,"SELECT "&amp;COUNTIF($Q$1:$T249,"&gt;0")+COUNTIF($Q250:Q250,"&gt;0")+1&amp;", "&amp;$A250&amp;", "&amp;R250&amp;" UNION ALL","")</f>
        <v/>
      </c>
      <c r="W250" s="6" t="str">
        <f>IF(S250&gt;0,"SELECT "&amp;COUNTIF($Q$1:$T249,"&gt;0")+COUNTIF($Q250:R250,"&gt;0")+1&amp;", "&amp;$A250&amp;", "&amp;S250&amp;" UNION ALL","")</f>
        <v/>
      </c>
      <c r="X250" s="6" t="str">
        <f>IF(T250&gt;0,"SELECT "&amp;COUNTIF($Q$1:$T249,"&gt;0")+COUNTIF($Q250:S250,"&gt;0")+1&amp;", "&amp;$A250&amp;", "&amp;T250&amp;" UNION ALL","")</f>
        <v/>
      </c>
      <c r="Y250" s="5" t="str">
        <f t="shared" ca="1" si="18"/>
        <v>SELECT 270, 281, 51 UNION ALL</v>
      </c>
    </row>
    <row r="251" spans="1:25">
      <c r="A251">
        <f t="shared" si="21"/>
        <v>282</v>
      </c>
      <c r="B251" t="s">
        <v>1074</v>
      </c>
      <c r="C251">
        <v>1</v>
      </c>
      <c r="D251">
        <v>10</v>
      </c>
      <c r="L251" t="str">
        <f t="shared" si="20"/>
        <v>SELECT 282, N'minuta', 1, 10 UNION ALL</v>
      </c>
      <c r="M251" t="s">
        <v>1049</v>
      </c>
      <c r="Q251" s="6">
        <f t="shared" ca="1" si="16"/>
        <v>51</v>
      </c>
      <c r="R251" s="6">
        <f t="shared" ca="1" si="17"/>
        <v>0</v>
      </c>
      <c r="U251" s="6" t="str">
        <f ca="1">IF(Q251&gt;0,"SELECT "&amp;COUNTIF($Q$1:$T250,"&gt;0")+1&amp;", "&amp;$A251&amp;", "&amp;Q251&amp;" UNION ALL","")</f>
        <v>SELECT 271, 282, 51 UNION ALL</v>
      </c>
      <c r="V251" s="6" t="str">
        <f ca="1">IF(R251&gt;0,"SELECT "&amp;COUNTIF($Q$1:$T250,"&gt;0")+COUNTIF($Q251:Q251,"&gt;0")+1&amp;", "&amp;$A251&amp;", "&amp;R251&amp;" UNION ALL","")</f>
        <v/>
      </c>
      <c r="W251" s="6" t="str">
        <f>IF(S251&gt;0,"SELECT "&amp;COUNTIF($Q$1:$T250,"&gt;0")+COUNTIF($Q251:R251,"&gt;0")+1&amp;", "&amp;$A251&amp;", "&amp;S251&amp;" UNION ALL","")</f>
        <v/>
      </c>
      <c r="X251" s="6" t="str">
        <f>IF(T251&gt;0,"SELECT "&amp;COUNTIF($Q$1:$T250,"&gt;0")+COUNTIF($Q251:S251,"&gt;0")+1&amp;", "&amp;$A251&amp;", "&amp;T251&amp;" UNION ALL","")</f>
        <v/>
      </c>
      <c r="Y251" s="5" t="str">
        <f t="shared" ca="1" si="18"/>
        <v>SELECT 271, 282, 51 UNION ALL</v>
      </c>
    </row>
    <row r="252" spans="1:25">
      <c r="A252">
        <f t="shared" si="21"/>
        <v>283</v>
      </c>
      <c r="B252" t="s">
        <v>1075</v>
      </c>
      <c r="C252">
        <v>1</v>
      </c>
      <c r="D252">
        <v>10</v>
      </c>
      <c r="L252" t="str">
        <f t="shared" si="20"/>
        <v>SELECT 283, N'sekunda', 1, 10 UNION ALL</v>
      </c>
      <c r="M252" t="s">
        <v>1049</v>
      </c>
      <c r="Q252" s="6">
        <f t="shared" ca="1" si="16"/>
        <v>51</v>
      </c>
      <c r="R252" s="6">
        <f t="shared" ca="1" si="17"/>
        <v>0</v>
      </c>
      <c r="U252" s="6" t="str">
        <f ca="1">IF(Q252&gt;0,"SELECT "&amp;COUNTIF($Q$1:$T251,"&gt;0")+1&amp;", "&amp;$A252&amp;", "&amp;Q252&amp;" UNION ALL","")</f>
        <v>SELECT 272, 283, 51 UNION ALL</v>
      </c>
      <c r="V252" s="6" t="str">
        <f ca="1">IF(R252&gt;0,"SELECT "&amp;COUNTIF($Q$1:$T251,"&gt;0")+COUNTIF($Q252:Q252,"&gt;0")+1&amp;", "&amp;$A252&amp;", "&amp;R252&amp;" UNION ALL","")</f>
        <v/>
      </c>
      <c r="W252" s="6" t="str">
        <f>IF(S252&gt;0,"SELECT "&amp;COUNTIF($Q$1:$T251,"&gt;0")+COUNTIF($Q252:R252,"&gt;0")+1&amp;", "&amp;$A252&amp;", "&amp;S252&amp;" UNION ALL","")</f>
        <v/>
      </c>
      <c r="X252" s="6" t="str">
        <f>IF(T252&gt;0,"SELECT "&amp;COUNTIF($Q$1:$T251,"&gt;0")+COUNTIF($Q252:S252,"&gt;0")+1&amp;", "&amp;$A252&amp;", "&amp;T252&amp;" UNION ALL","")</f>
        <v/>
      </c>
      <c r="Y252" s="5" t="str">
        <f t="shared" ca="1" si="18"/>
        <v>SELECT 272, 283, 51 UNION ALL</v>
      </c>
    </row>
    <row r="253" spans="1:25">
      <c r="A253">
        <f t="shared" si="21"/>
        <v>284</v>
      </c>
      <c r="B253" t="s">
        <v>1076</v>
      </c>
      <c r="C253">
        <v>1</v>
      </c>
      <c r="D253">
        <v>8</v>
      </c>
      <c r="L253" t="str">
        <f t="shared" si="20"/>
        <v>SELECT 284, N'weekend', 1, 8 UNION ALL</v>
      </c>
      <c r="M253" t="s">
        <v>1049</v>
      </c>
      <c r="Q253" s="6">
        <f t="shared" ca="1" si="16"/>
        <v>51</v>
      </c>
      <c r="R253" s="6">
        <f t="shared" ca="1" si="17"/>
        <v>0</v>
      </c>
      <c r="U253" s="6" t="str">
        <f ca="1">IF(Q253&gt;0,"SELECT "&amp;COUNTIF($Q$1:$T252,"&gt;0")+1&amp;", "&amp;$A253&amp;", "&amp;Q253&amp;" UNION ALL","")</f>
        <v>SELECT 273, 284, 51 UNION ALL</v>
      </c>
      <c r="V253" s="6" t="str">
        <f ca="1">IF(R253&gt;0,"SELECT "&amp;COUNTIF($Q$1:$T252,"&gt;0")+COUNTIF($Q253:Q253,"&gt;0")+1&amp;", "&amp;$A253&amp;", "&amp;R253&amp;" UNION ALL","")</f>
        <v/>
      </c>
      <c r="W253" s="6" t="str">
        <f>IF(S253&gt;0,"SELECT "&amp;COUNTIF($Q$1:$T252,"&gt;0")+COUNTIF($Q253:R253,"&gt;0")+1&amp;", "&amp;$A253&amp;", "&amp;S253&amp;" UNION ALL","")</f>
        <v/>
      </c>
      <c r="X253" s="6" t="str">
        <f>IF(T253&gt;0,"SELECT "&amp;COUNTIF($Q$1:$T252,"&gt;0")+COUNTIF($Q253:S253,"&gt;0")+1&amp;", "&amp;$A253&amp;", "&amp;T253&amp;" UNION ALL","")</f>
        <v/>
      </c>
      <c r="Y253" s="5" t="str">
        <f t="shared" ca="1" si="18"/>
        <v>SELECT 273, 284, 51 UNION ALL</v>
      </c>
    </row>
    <row r="254" spans="1:25">
      <c r="A254">
        <f t="shared" si="21"/>
        <v>285</v>
      </c>
      <c r="B254" t="s">
        <v>1077</v>
      </c>
      <c r="C254">
        <v>1</v>
      </c>
      <c r="D254">
        <v>10</v>
      </c>
      <c r="L254" t="str">
        <f t="shared" si="20"/>
        <v>SELECT 285, N'jutro', 1, 10 UNION ALL</v>
      </c>
      <c r="M254" t="s">
        <v>1049</v>
      </c>
      <c r="Q254" s="6">
        <f t="shared" ca="1" si="16"/>
        <v>51</v>
      </c>
      <c r="R254" s="6">
        <f t="shared" ca="1" si="17"/>
        <v>0</v>
      </c>
      <c r="U254" s="6" t="str">
        <f ca="1">IF(Q254&gt;0,"SELECT "&amp;COUNTIF($Q$1:$T253,"&gt;0")+1&amp;", "&amp;$A254&amp;", "&amp;Q254&amp;" UNION ALL","")</f>
        <v>SELECT 274, 285, 51 UNION ALL</v>
      </c>
      <c r="V254" s="6" t="str">
        <f ca="1">IF(R254&gt;0,"SELECT "&amp;COUNTIF($Q$1:$T253,"&gt;0")+COUNTIF($Q254:Q254,"&gt;0")+1&amp;", "&amp;$A254&amp;", "&amp;R254&amp;" UNION ALL","")</f>
        <v/>
      </c>
      <c r="W254" s="6" t="str">
        <f>IF(S254&gt;0,"SELECT "&amp;COUNTIF($Q$1:$T253,"&gt;0")+COUNTIF($Q254:R254,"&gt;0")+1&amp;", "&amp;$A254&amp;", "&amp;S254&amp;" UNION ALL","")</f>
        <v/>
      </c>
      <c r="X254" s="6" t="str">
        <f>IF(T254&gt;0,"SELECT "&amp;COUNTIF($Q$1:$T253,"&gt;0")+COUNTIF($Q254:S254,"&gt;0")+1&amp;", "&amp;$A254&amp;", "&amp;T254&amp;" UNION ALL","")</f>
        <v/>
      </c>
      <c r="Y254" s="5" t="str">
        <f t="shared" ca="1" si="18"/>
        <v>SELECT 274, 285, 51 UNION ALL</v>
      </c>
    </row>
    <row r="255" spans="1:25">
      <c r="A255">
        <f t="shared" si="21"/>
        <v>286</v>
      </c>
      <c r="B255" t="s">
        <v>1078</v>
      </c>
      <c r="C255">
        <v>1</v>
      </c>
      <c r="D255">
        <v>10</v>
      </c>
      <c r="L255" t="str">
        <f t="shared" si="20"/>
        <v>SELECT 286, N'dzisiaj', 1, 10 UNION ALL</v>
      </c>
      <c r="M255" t="s">
        <v>1049</v>
      </c>
      <c r="Q255" s="6">
        <f t="shared" ca="1" si="16"/>
        <v>51</v>
      </c>
      <c r="R255" s="6">
        <f t="shared" ca="1" si="17"/>
        <v>0</v>
      </c>
      <c r="U255" s="6" t="str">
        <f ca="1">IF(Q255&gt;0,"SELECT "&amp;COUNTIF($Q$1:$T254,"&gt;0")+1&amp;", "&amp;$A255&amp;", "&amp;Q255&amp;" UNION ALL","")</f>
        <v>SELECT 275, 286, 51 UNION ALL</v>
      </c>
      <c r="V255" s="6" t="str">
        <f ca="1">IF(R255&gt;0,"SELECT "&amp;COUNTIF($Q$1:$T254,"&gt;0")+COUNTIF($Q255:Q255,"&gt;0")+1&amp;", "&amp;$A255&amp;", "&amp;R255&amp;" UNION ALL","")</f>
        <v/>
      </c>
      <c r="W255" s="6" t="str">
        <f>IF(S255&gt;0,"SELECT "&amp;COUNTIF($Q$1:$T254,"&gt;0")+COUNTIF($Q255:R255,"&gt;0")+1&amp;", "&amp;$A255&amp;", "&amp;S255&amp;" UNION ALL","")</f>
        <v/>
      </c>
      <c r="X255" s="6" t="str">
        <f>IF(T255&gt;0,"SELECT "&amp;COUNTIF($Q$1:$T254,"&gt;0")+COUNTIF($Q255:S255,"&gt;0")+1&amp;", "&amp;$A255&amp;", "&amp;T255&amp;" UNION ALL","")</f>
        <v/>
      </c>
      <c r="Y255" s="5" t="str">
        <f t="shared" ca="1" si="18"/>
        <v>SELECT 275, 286, 51 UNION ALL</v>
      </c>
    </row>
    <row r="256" spans="1:25">
      <c r="A256">
        <f t="shared" si="21"/>
        <v>287</v>
      </c>
      <c r="B256" t="s">
        <v>1079</v>
      </c>
      <c r="C256">
        <v>1</v>
      </c>
      <c r="D256">
        <v>10</v>
      </c>
      <c r="L256" t="str">
        <f t="shared" si="20"/>
        <v>SELECT 287, N'wczoraj', 1, 10 UNION ALL</v>
      </c>
      <c r="M256" t="s">
        <v>1049</v>
      </c>
      <c r="Q256" s="6">
        <f t="shared" ca="1" si="16"/>
        <v>51</v>
      </c>
      <c r="R256" s="6">
        <f t="shared" ca="1" si="17"/>
        <v>0</v>
      </c>
      <c r="U256" s="6" t="str">
        <f ca="1">IF(Q256&gt;0,"SELECT "&amp;COUNTIF($Q$1:$T255,"&gt;0")+1&amp;", "&amp;$A256&amp;", "&amp;Q256&amp;" UNION ALL","")</f>
        <v>SELECT 276, 287, 51 UNION ALL</v>
      </c>
      <c r="V256" s="6" t="str">
        <f ca="1">IF(R256&gt;0,"SELECT "&amp;COUNTIF($Q$1:$T255,"&gt;0")+COUNTIF($Q256:Q256,"&gt;0")+1&amp;", "&amp;$A256&amp;", "&amp;R256&amp;" UNION ALL","")</f>
        <v/>
      </c>
      <c r="W256" s="6" t="str">
        <f>IF(S256&gt;0,"SELECT "&amp;COUNTIF($Q$1:$T255,"&gt;0")+COUNTIF($Q256:R256,"&gt;0")+1&amp;", "&amp;$A256&amp;", "&amp;S256&amp;" UNION ALL","")</f>
        <v/>
      </c>
      <c r="X256" s="6" t="str">
        <f>IF(T256&gt;0,"SELECT "&amp;COUNTIF($Q$1:$T255,"&gt;0")+COUNTIF($Q256:S256,"&gt;0")+1&amp;", "&amp;$A256&amp;", "&amp;T256&amp;" UNION ALL","")</f>
        <v/>
      </c>
      <c r="Y256" s="5" t="str">
        <f t="shared" ca="1" si="18"/>
        <v>SELECT 276, 287, 51 UNION ALL</v>
      </c>
    </row>
    <row r="257" spans="1:25" ht="30">
      <c r="A257">
        <f t="shared" si="21"/>
        <v>288</v>
      </c>
      <c r="B257" t="s">
        <v>1080</v>
      </c>
      <c r="C257">
        <v>1</v>
      </c>
      <c r="D257">
        <v>10</v>
      </c>
      <c r="L257" t="str">
        <f t="shared" si="20"/>
        <v>SELECT 288, N'żółw', 1, 10 UNION ALL</v>
      </c>
      <c r="M257" t="s">
        <v>565</v>
      </c>
      <c r="N257" t="s">
        <v>566</v>
      </c>
      <c r="Q257" s="6">
        <f t="shared" ca="1" si="16"/>
        <v>22</v>
      </c>
      <c r="R257" s="6">
        <f t="shared" ca="1" si="17"/>
        <v>23</v>
      </c>
      <c r="U257" s="6" t="str">
        <f ca="1">IF(Q257&gt;0,"SELECT "&amp;COUNTIF($Q$1:$T256,"&gt;0")+1&amp;", "&amp;$A257&amp;", "&amp;Q257&amp;" UNION ALL","")</f>
        <v>SELECT 277, 288, 22 UNION ALL</v>
      </c>
      <c r="V257" s="6" t="str">
        <f ca="1">IF(R257&gt;0,"SELECT "&amp;COUNTIF($Q$1:$T256,"&gt;0")+COUNTIF($Q257:Q257,"&gt;0")+1&amp;", "&amp;$A257&amp;", "&amp;R257&amp;" UNION ALL","")</f>
        <v>SELECT 278, 288, 23 UNION ALL</v>
      </c>
      <c r="W257" s="6" t="str">
        <f>IF(S257&gt;0,"SELECT "&amp;COUNTIF($Q$1:$T256,"&gt;0")+COUNTIF($Q257:R257,"&gt;0")+1&amp;", "&amp;$A257&amp;", "&amp;S257&amp;" UNION ALL","")</f>
        <v/>
      </c>
      <c r="X257" s="6" t="str">
        <f>IF(T257&gt;0,"SELECT "&amp;COUNTIF($Q$1:$T256,"&gt;0")+COUNTIF($Q257:S257,"&gt;0")+1&amp;", "&amp;$A257&amp;", "&amp;T257&amp;" UNION ALL","")</f>
        <v/>
      </c>
      <c r="Y257" s="5" t="str">
        <f t="shared" ca="1" si="18"/>
        <v>SELECT 277, 288, 22 UNION ALL
SELECT 278, 288, 23 UNION ALL</v>
      </c>
    </row>
    <row r="258" spans="1:25">
      <c r="A258">
        <f t="shared" si="21"/>
        <v>289</v>
      </c>
      <c r="B258" t="s">
        <v>1081</v>
      </c>
      <c r="C258">
        <v>1</v>
      </c>
      <c r="D258">
        <v>8</v>
      </c>
      <c r="L258" t="str">
        <f t="shared" si="20"/>
        <v>SELECT 289, N'krokodyl', 1, 8 UNION ALL</v>
      </c>
      <c r="M258" t="s">
        <v>566</v>
      </c>
      <c r="Q258" s="6">
        <f t="shared" ca="1" si="16"/>
        <v>23</v>
      </c>
      <c r="R258" s="6">
        <f t="shared" ca="1" si="17"/>
        <v>0</v>
      </c>
      <c r="U258" s="6" t="str">
        <f ca="1">IF(Q258&gt;0,"SELECT "&amp;COUNTIF($Q$1:$T257,"&gt;0")+1&amp;", "&amp;$A258&amp;", "&amp;Q258&amp;" UNION ALL","")</f>
        <v>SELECT 279, 289, 23 UNION ALL</v>
      </c>
      <c r="V258" s="6" t="str">
        <f ca="1">IF(R258&gt;0,"SELECT "&amp;COUNTIF($Q$1:$T257,"&gt;0")+COUNTIF($Q258:Q258,"&gt;0")+1&amp;", "&amp;$A258&amp;", "&amp;R258&amp;" UNION ALL","")</f>
        <v/>
      </c>
      <c r="W258" s="6" t="str">
        <f>IF(S258&gt;0,"SELECT "&amp;COUNTIF($Q$1:$T257,"&gt;0")+COUNTIF($Q258:R258,"&gt;0")+1&amp;", "&amp;$A258&amp;", "&amp;S258&amp;" UNION ALL","")</f>
        <v/>
      </c>
      <c r="X258" s="6" t="str">
        <f>IF(T258&gt;0,"SELECT "&amp;COUNTIF($Q$1:$T257,"&gt;0")+COUNTIF($Q258:S258,"&gt;0")+1&amp;", "&amp;$A258&amp;", "&amp;T258&amp;" UNION ALL","")</f>
        <v/>
      </c>
      <c r="Y258" s="5" t="str">
        <f t="shared" ca="1" si="18"/>
        <v>SELECT 279, 289, 23 UNION ALL</v>
      </c>
    </row>
    <row r="259" spans="1:25">
      <c r="A259">
        <f t="shared" si="21"/>
        <v>290</v>
      </c>
      <c r="B259" t="s">
        <v>1082</v>
      </c>
      <c r="C259">
        <v>1</v>
      </c>
      <c r="D259">
        <v>8</v>
      </c>
      <c r="L259" t="str">
        <f t="shared" si="20"/>
        <v>SELECT 290, N'kangur', 1, 8 UNION ALL</v>
      </c>
      <c r="M259" t="s">
        <v>566</v>
      </c>
      <c r="Q259" s="6">
        <f t="shared" ref="Q259:Q322" ca="1" si="22">IFERROR(VLOOKUP(M259,Kategorie,9,0),0)</f>
        <v>23</v>
      </c>
      <c r="R259" s="6">
        <f t="shared" ref="R259:R322" ca="1" si="23">IFERROR(VLOOKUP(N259,Kategorie,9,0),0)</f>
        <v>0</v>
      </c>
      <c r="U259" s="6" t="str">
        <f ca="1">IF(Q259&gt;0,"SELECT "&amp;COUNTIF($Q$1:$T258,"&gt;0")+1&amp;", "&amp;$A259&amp;", "&amp;Q259&amp;" UNION ALL","")</f>
        <v>SELECT 280, 290, 23 UNION ALL</v>
      </c>
      <c r="V259" s="6" t="str">
        <f ca="1">IF(R259&gt;0,"SELECT "&amp;COUNTIF($Q$1:$T258,"&gt;0")+COUNTIF($Q259:Q259,"&gt;0")+1&amp;", "&amp;$A259&amp;", "&amp;R259&amp;" UNION ALL","")</f>
        <v/>
      </c>
      <c r="W259" s="6" t="str">
        <f>IF(S259&gt;0,"SELECT "&amp;COUNTIF($Q$1:$T258,"&gt;0")+COUNTIF($Q259:R259,"&gt;0")+1&amp;", "&amp;$A259&amp;", "&amp;S259&amp;" UNION ALL","")</f>
        <v/>
      </c>
      <c r="X259" s="6" t="str">
        <f>IF(T259&gt;0,"SELECT "&amp;COUNTIF($Q$1:$T258,"&gt;0")+COUNTIF($Q259:S259,"&gt;0")+1&amp;", "&amp;$A259&amp;", "&amp;T259&amp;" UNION ALL","")</f>
        <v/>
      </c>
      <c r="Y259" s="5" t="str">
        <f t="shared" ca="1" si="18"/>
        <v>SELECT 280, 290, 23 UNION ALL</v>
      </c>
    </row>
    <row r="260" spans="1:25">
      <c r="A260">
        <f t="shared" si="21"/>
        <v>291</v>
      </c>
      <c r="B260" t="s">
        <v>1083</v>
      </c>
      <c r="C260">
        <v>1</v>
      </c>
      <c r="D260">
        <v>9</v>
      </c>
      <c r="L260" t="str">
        <f t="shared" si="20"/>
        <v>SELECT 291, N'gad', 1, 9 UNION ALL</v>
      </c>
      <c r="M260" t="s">
        <v>565</v>
      </c>
      <c r="Q260" s="6">
        <f t="shared" ca="1" si="22"/>
        <v>22</v>
      </c>
      <c r="R260" s="6">
        <f t="shared" ca="1" si="23"/>
        <v>0</v>
      </c>
      <c r="U260" s="6" t="str">
        <f ca="1">IF(Q260&gt;0,"SELECT "&amp;COUNTIF($Q$1:$T259,"&gt;0")+1&amp;", "&amp;$A260&amp;", "&amp;Q260&amp;" UNION ALL","")</f>
        <v>SELECT 281, 291, 22 UNION ALL</v>
      </c>
      <c r="V260" s="6" t="str">
        <f ca="1">IF(R260&gt;0,"SELECT "&amp;COUNTIF($Q$1:$T259,"&gt;0")+COUNTIF($Q260:Q260,"&gt;0")+1&amp;", "&amp;$A260&amp;", "&amp;R260&amp;" UNION ALL","")</f>
        <v/>
      </c>
      <c r="W260" s="6" t="str">
        <f>IF(S260&gt;0,"SELECT "&amp;COUNTIF($Q$1:$T259,"&gt;0")+COUNTIF($Q260:R260,"&gt;0")+1&amp;", "&amp;$A260&amp;", "&amp;S260&amp;" UNION ALL","")</f>
        <v/>
      </c>
      <c r="X260" s="6" t="str">
        <f>IF(T260&gt;0,"SELECT "&amp;COUNTIF($Q$1:$T259,"&gt;0")+COUNTIF($Q260:S260,"&gt;0")+1&amp;", "&amp;$A260&amp;", "&amp;T260&amp;" UNION ALL","")</f>
        <v/>
      </c>
      <c r="Y260" s="5" t="str">
        <f t="shared" ref="Y260:Y323" ca="1" si="24">SUBSTITUTE(IF(LEN(U260)&gt;0,U260,"")&amp;IF(LEN(V260)&gt;0,CHAR(10)&amp;V260,"")&amp;IF(LEN(W260)&gt;0,CHAR(10)&amp;W260,"")&amp;IF(LEN(X260)&gt;0,CHAR(10)&amp;X260,""),CHAR(34),"")</f>
        <v>SELECT 281, 291, 22 UNION ALL</v>
      </c>
    </row>
    <row r="261" spans="1:25">
      <c r="A261">
        <f t="shared" si="21"/>
        <v>292</v>
      </c>
      <c r="B261" t="s">
        <v>1084</v>
      </c>
      <c r="C261">
        <v>1</v>
      </c>
      <c r="D261">
        <v>9</v>
      </c>
      <c r="L261" t="str">
        <f t="shared" si="20"/>
        <v>SELECT 292, N'płaz', 1, 9 UNION ALL</v>
      </c>
      <c r="M261" t="s">
        <v>565</v>
      </c>
      <c r="Q261" s="6">
        <f t="shared" ca="1" si="22"/>
        <v>22</v>
      </c>
      <c r="R261" s="6">
        <f t="shared" ca="1" si="23"/>
        <v>0</v>
      </c>
      <c r="U261" s="6" t="str">
        <f ca="1">IF(Q261&gt;0,"SELECT "&amp;COUNTIF($Q$1:$T260,"&gt;0")+1&amp;", "&amp;$A261&amp;", "&amp;Q261&amp;" UNION ALL","")</f>
        <v>SELECT 282, 292, 22 UNION ALL</v>
      </c>
      <c r="V261" s="6" t="str">
        <f ca="1">IF(R261&gt;0,"SELECT "&amp;COUNTIF($Q$1:$T260,"&gt;0")+COUNTIF($Q261:Q261,"&gt;0")+1&amp;", "&amp;$A261&amp;", "&amp;R261&amp;" UNION ALL","")</f>
        <v/>
      </c>
      <c r="W261" s="6" t="str">
        <f>IF(S261&gt;0,"SELECT "&amp;COUNTIF($Q$1:$T260,"&gt;0")+COUNTIF($Q261:R261,"&gt;0")+1&amp;", "&amp;$A261&amp;", "&amp;S261&amp;" UNION ALL","")</f>
        <v/>
      </c>
      <c r="X261" s="6" t="str">
        <f>IF(T261&gt;0,"SELECT "&amp;COUNTIF($Q$1:$T260,"&gt;0")+COUNTIF($Q261:S261,"&gt;0")+1&amp;", "&amp;$A261&amp;", "&amp;T261&amp;" UNION ALL","")</f>
        <v/>
      </c>
      <c r="Y261" s="5" t="str">
        <f t="shared" ca="1" si="24"/>
        <v>SELECT 282, 292, 22 UNION ALL</v>
      </c>
    </row>
    <row r="262" spans="1:25">
      <c r="A262">
        <f t="shared" si="21"/>
        <v>293</v>
      </c>
      <c r="B262" t="s">
        <v>1085</v>
      </c>
      <c r="C262">
        <v>1</v>
      </c>
      <c r="D262">
        <v>9</v>
      </c>
      <c r="L262" t="str">
        <f t="shared" si="20"/>
        <v>SELECT 293, N'ssak', 1, 9 UNION ALL</v>
      </c>
      <c r="M262" t="s">
        <v>530</v>
      </c>
      <c r="Q262" s="6">
        <f t="shared" ca="1" si="22"/>
        <v>16</v>
      </c>
      <c r="R262" s="6">
        <f t="shared" ca="1" si="23"/>
        <v>0</v>
      </c>
      <c r="U262" s="6" t="str">
        <f ca="1">IF(Q262&gt;0,"SELECT "&amp;COUNTIF($Q$1:$T261,"&gt;0")+1&amp;", "&amp;$A262&amp;", "&amp;Q262&amp;" UNION ALL","")</f>
        <v>SELECT 283, 293, 16 UNION ALL</v>
      </c>
      <c r="V262" s="6" t="str">
        <f ca="1">IF(R262&gt;0,"SELECT "&amp;COUNTIF($Q$1:$T261,"&gt;0")+COUNTIF($Q262:Q262,"&gt;0")+1&amp;", "&amp;$A262&amp;", "&amp;R262&amp;" UNION ALL","")</f>
        <v/>
      </c>
      <c r="W262" s="6" t="str">
        <f>IF(S262&gt;0,"SELECT "&amp;COUNTIF($Q$1:$T261,"&gt;0")+COUNTIF($Q262:R262,"&gt;0")+1&amp;", "&amp;$A262&amp;", "&amp;S262&amp;" UNION ALL","")</f>
        <v/>
      </c>
      <c r="X262" s="6" t="str">
        <f>IF(T262&gt;0,"SELECT "&amp;COUNTIF($Q$1:$T261,"&gt;0")+COUNTIF($Q262:S262,"&gt;0")+1&amp;", "&amp;$A262&amp;", "&amp;T262&amp;" UNION ALL","")</f>
        <v/>
      </c>
      <c r="Y262" s="5" t="str">
        <f t="shared" ca="1" si="24"/>
        <v>SELECT 283, 293, 16 UNION ALL</v>
      </c>
    </row>
    <row r="263" spans="1:25">
      <c r="A263">
        <f t="shared" si="21"/>
        <v>294</v>
      </c>
      <c r="B263" t="s">
        <v>1086</v>
      </c>
      <c r="C263">
        <v>1</v>
      </c>
      <c r="D263">
        <v>10</v>
      </c>
      <c r="L263" t="str">
        <f t="shared" si="20"/>
        <v>SELECT 294, N'robak', 1, 10 UNION ALL</v>
      </c>
      <c r="M263" t="s">
        <v>564</v>
      </c>
      <c r="Q263" s="6">
        <f t="shared" ca="1" si="22"/>
        <v>21</v>
      </c>
      <c r="R263" s="6">
        <f t="shared" ca="1" si="23"/>
        <v>0</v>
      </c>
      <c r="U263" s="6" t="str">
        <f ca="1">IF(Q263&gt;0,"SELECT "&amp;COUNTIF($Q$1:$T262,"&gt;0")+1&amp;", "&amp;$A263&amp;", "&amp;Q263&amp;" UNION ALL","")</f>
        <v>SELECT 284, 294, 21 UNION ALL</v>
      </c>
      <c r="V263" s="6" t="str">
        <f ca="1">IF(R263&gt;0,"SELECT "&amp;COUNTIF($Q$1:$T262,"&gt;0")+COUNTIF($Q263:Q263,"&gt;0")+1&amp;", "&amp;$A263&amp;", "&amp;R263&amp;" UNION ALL","")</f>
        <v/>
      </c>
      <c r="W263" s="6" t="str">
        <f>IF(S263&gt;0,"SELECT "&amp;COUNTIF($Q$1:$T262,"&gt;0")+COUNTIF($Q263:R263,"&gt;0")+1&amp;", "&amp;$A263&amp;", "&amp;S263&amp;" UNION ALL","")</f>
        <v/>
      </c>
      <c r="X263" s="6" t="str">
        <f>IF(T263&gt;0,"SELECT "&amp;COUNTIF($Q$1:$T262,"&gt;0")+COUNTIF($Q263:S263,"&gt;0")+1&amp;", "&amp;$A263&amp;", "&amp;T263&amp;" UNION ALL","")</f>
        <v/>
      </c>
      <c r="Y263" s="5" t="str">
        <f t="shared" ca="1" si="24"/>
        <v>SELECT 284, 294, 21 UNION ALL</v>
      </c>
    </row>
    <row r="264" spans="1:25">
      <c r="A264">
        <f t="shared" si="21"/>
        <v>295</v>
      </c>
      <c r="B264" t="s">
        <v>1087</v>
      </c>
      <c r="C264">
        <v>1</v>
      </c>
      <c r="D264">
        <v>10</v>
      </c>
      <c r="L264" t="str">
        <f t="shared" si="20"/>
        <v>SELECT 295, N'owad', 1, 10 UNION ALL</v>
      </c>
      <c r="M264" t="s">
        <v>564</v>
      </c>
      <c r="Q264" s="6">
        <f t="shared" ca="1" si="22"/>
        <v>21</v>
      </c>
      <c r="R264" s="6">
        <f t="shared" ca="1" si="23"/>
        <v>0</v>
      </c>
      <c r="U264" s="6" t="str">
        <f ca="1">IF(Q264&gt;0,"SELECT "&amp;COUNTIF($Q$1:$T263,"&gt;0")+1&amp;", "&amp;$A264&amp;", "&amp;Q264&amp;" UNION ALL","")</f>
        <v>SELECT 285, 295, 21 UNION ALL</v>
      </c>
      <c r="V264" s="6" t="str">
        <f ca="1">IF(R264&gt;0,"SELECT "&amp;COUNTIF($Q$1:$T263,"&gt;0")+COUNTIF($Q264:Q264,"&gt;0")+1&amp;", "&amp;$A264&amp;", "&amp;R264&amp;" UNION ALL","")</f>
        <v/>
      </c>
      <c r="W264" s="6" t="str">
        <f>IF(S264&gt;0,"SELECT "&amp;COUNTIF($Q$1:$T263,"&gt;0")+COUNTIF($Q264:R264,"&gt;0")+1&amp;", "&amp;$A264&amp;", "&amp;S264&amp;" UNION ALL","")</f>
        <v/>
      </c>
      <c r="X264" s="6" t="str">
        <f>IF(T264&gt;0,"SELECT "&amp;COUNTIF($Q$1:$T263,"&gt;0")+COUNTIF($Q264:S264,"&gt;0")+1&amp;", "&amp;$A264&amp;", "&amp;T264&amp;" UNION ALL","")</f>
        <v/>
      </c>
      <c r="Y264" s="5" t="str">
        <f t="shared" ca="1" si="24"/>
        <v>SELECT 285, 295, 21 UNION ALL</v>
      </c>
    </row>
    <row r="265" spans="1:25">
      <c r="A265">
        <f t="shared" si="21"/>
        <v>296</v>
      </c>
      <c r="B265" t="s">
        <v>1088</v>
      </c>
      <c r="C265">
        <v>1</v>
      </c>
      <c r="D265">
        <v>10</v>
      </c>
      <c r="L265" t="str">
        <f t="shared" si="20"/>
        <v>SELECT 296, N'jabłko', 1, 10 UNION ALL</v>
      </c>
      <c r="M265" s="6" t="s">
        <v>568</v>
      </c>
      <c r="Q265" s="6">
        <f t="shared" ca="1" si="22"/>
        <v>24</v>
      </c>
      <c r="R265" s="6">
        <f t="shared" ca="1" si="23"/>
        <v>0</v>
      </c>
      <c r="U265" s="6" t="str">
        <f ca="1">IF(Q265&gt;0,"SELECT "&amp;COUNTIF($Q$1:$T264,"&gt;0")+1&amp;", "&amp;$A265&amp;", "&amp;Q265&amp;" UNION ALL","")</f>
        <v>SELECT 286, 296, 24 UNION ALL</v>
      </c>
      <c r="V265" s="6" t="str">
        <f ca="1">IF(R265&gt;0,"SELECT "&amp;COUNTIF($Q$1:$T264,"&gt;0")+COUNTIF($Q265:Q265,"&gt;0")+1&amp;", "&amp;$A265&amp;", "&amp;R265&amp;" UNION ALL","")</f>
        <v/>
      </c>
      <c r="W265" s="6" t="str">
        <f>IF(S265&gt;0,"SELECT "&amp;COUNTIF($Q$1:$T264,"&gt;0")+COUNTIF($Q265:R265,"&gt;0")+1&amp;", "&amp;$A265&amp;", "&amp;S265&amp;" UNION ALL","")</f>
        <v/>
      </c>
      <c r="X265" s="6" t="str">
        <f>IF(T265&gt;0,"SELECT "&amp;COUNTIF($Q$1:$T264,"&gt;0")+COUNTIF($Q265:S265,"&gt;0")+1&amp;", "&amp;$A265&amp;", "&amp;T265&amp;" UNION ALL","")</f>
        <v/>
      </c>
      <c r="Y265" s="5" t="str">
        <f t="shared" ca="1" si="24"/>
        <v>SELECT 286, 296, 24 UNION ALL</v>
      </c>
    </row>
    <row r="266" spans="1:25">
      <c r="A266">
        <f t="shared" si="21"/>
        <v>297</v>
      </c>
      <c r="B266" t="s">
        <v>1089</v>
      </c>
      <c r="C266">
        <v>1</v>
      </c>
      <c r="D266">
        <v>10</v>
      </c>
      <c r="L266" t="str">
        <f t="shared" si="20"/>
        <v>SELECT 297, N'gruszka', 1, 10 UNION ALL</v>
      </c>
      <c r="M266" s="6" t="s">
        <v>568</v>
      </c>
      <c r="Q266" s="6">
        <f t="shared" ca="1" si="22"/>
        <v>24</v>
      </c>
      <c r="R266" s="6">
        <f t="shared" ca="1" si="23"/>
        <v>0</v>
      </c>
      <c r="U266" s="6" t="str">
        <f ca="1">IF(Q266&gt;0,"SELECT "&amp;COUNTIF($Q$1:$T265,"&gt;0")+1&amp;", "&amp;$A266&amp;", "&amp;Q266&amp;" UNION ALL","")</f>
        <v>SELECT 287, 297, 24 UNION ALL</v>
      </c>
      <c r="V266" s="6" t="str">
        <f ca="1">IF(R266&gt;0,"SELECT "&amp;COUNTIF($Q$1:$T265,"&gt;0")+COUNTIF($Q266:Q266,"&gt;0")+1&amp;", "&amp;$A266&amp;", "&amp;R266&amp;" UNION ALL","")</f>
        <v/>
      </c>
      <c r="W266" s="6" t="str">
        <f>IF(S266&gt;0,"SELECT "&amp;COUNTIF($Q$1:$T265,"&gt;0")+COUNTIF($Q266:R266,"&gt;0")+1&amp;", "&amp;$A266&amp;", "&amp;S266&amp;" UNION ALL","")</f>
        <v/>
      </c>
      <c r="X266" s="6" t="str">
        <f>IF(T266&gt;0,"SELECT "&amp;COUNTIF($Q$1:$T265,"&gt;0")+COUNTIF($Q266:S266,"&gt;0")+1&amp;", "&amp;$A266&amp;", "&amp;T266&amp;" UNION ALL","")</f>
        <v/>
      </c>
      <c r="Y266" s="5" t="str">
        <f t="shared" ca="1" si="24"/>
        <v>SELECT 287, 297, 24 UNION ALL</v>
      </c>
    </row>
    <row r="267" spans="1:25">
      <c r="A267">
        <f t="shared" si="21"/>
        <v>298</v>
      </c>
      <c r="B267" t="s">
        <v>1090</v>
      </c>
      <c r="C267">
        <v>1</v>
      </c>
      <c r="D267">
        <v>10</v>
      </c>
      <c r="L267" t="str">
        <f t="shared" si="20"/>
        <v>SELECT 298, N'wiśnia', 1, 10 UNION ALL</v>
      </c>
      <c r="M267" s="6" t="s">
        <v>568</v>
      </c>
      <c r="Q267" s="6">
        <f t="shared" ca="1" si="22"/>
        <v>24</v>
      </c>
      <c r="R267" s="6">
        <f t="shared" ca="1" si="23"/>
        <v>0</v>
      </c>
      <c r="U267" s="6" t="str">
        <f ca="1">IF(Q267&gt;0,"SELECT "&amp;COUNTIF($Q$1:$T266,"&gt;0")+1&amp;", "&amp;$A267&amp;", "&amp;Q267&amp;" UNION ALL","")</f>
        <v>SELECT 288, 298, 24 UNION ALL</v>
      </c>
      <c r="V267" s="6" t="str">
        <f ca="1">IF(R267&gt;0,"SELECT "&amp;COUNTIF($Q$1:$T266,"&gt;0")+COUNTIF($Q267:Q267,"&gt;0")+1&amp;", "&amp;$A267&amp;", "&amp;R267&amp;" UNION ALL","")</f>
        <v/>
      </c>
      <c r="W267" s="6" t="str">
        <f>IF(S267&gt;0,"SELECT "&amp;COUNTIF($Q$1:$T266,"&gt;0")+COUNTIF($Q267:R267,"&gt;0")+1&amp;", "&amp;$A267&amp;", "&amp;S267&amp;" UNION ALL","")</f>
        <v/>
      </c>
      <c r="X267" s="6" t="str">
        <f>IF(T267&gt;0,"SELECT "&amp;COUNTIF($Q$1:$T266,"&gt;0")+COUNTIF($Q267:S267,"&gt;0")+1&amp;", "&amp;$A267&amp;", "&amp;T267&amp;" UNION ALL","")</f>
        <v/>
      </c>
      <c r="Y267" s="5" t="str">
        <f t="shared" ca="1" si="24"/>
        <v>SELECT 288, 298, 24 UNION ALL</v>
      </c>
    </row>
    <row r="268" spans="1:25">
      <c r="A268">
        <f t="shared" si="21"/>
        <v>299</v>
      </c>
      <c r="B268" t="s">
        <v>1091</v>
      </c>
      <c r="C268">
        <v>1</v>
      </c>
      <c r="D268">
        <v>10</v>
      </c>
      <c r="L268" t="str">
        <f t="shared" si="20"/>
        <v>SELECT 299, N'truskawka', 1, 10 UNION ALL</v>
      </c>
      <c r="M268" s="6" t="s">
        <v>568</v>
      </c>
      <c r="Q268" s="6">
        <f t="shared" ca="1" si="22"/>
        <v>24</v>
      </c>
      <c r="R268" s="6">
        <f t="shared" ca="1" si="23"/>
        <v>0</v>
      </c>
      <c r="U268" s="6" t="str">
        <f ca="1">IF(Q268&gt;0,"SELECT "&amp;COUNTIF($Q$1:$T267,"&gt;0")+1&amp;", "&amp;$A268&amp;", "&amp;Q268&amp;" UNION ALL","")</f>
        <v>SELECT 289, 299, 24 UNION ALL</v>
      </c>
      <c r="V268" s="6" t="str">
        <f ca="1">IF(R268&gt;0,"SELECT "&amp;COUNTIF($Q$1:$T267,"&gt;0")+COUNTIF($Q268:Q268,"&gt;0")+1&amp;", "&amp;$A268&amp;", "&amp;R268&amp;" UNION ALL","")</f>
        <v/>
      </c>
      <c r="W268" s="6" t="str">
        <f>IF(S268&gt;0,"SELECT "&amp;COUNTIF($Q$1:$T267,"&gt;0")+COUNTIF($Q268:R268,"&gt;0")+1&amp;", "&amp;$A268&amp;", "&amp;S268&amp;" UNION ALL","")</f>
        <v/>
      </c>
      <c r="X268" s="6" t="str">
        <f>IF(T268&gt;0,"SELECT "&amp;COUNTIF($Q$1:$T267,"&gt;0")+COUNTIF($Q268:S268,"&gt;0")+1&amp;", "&amp;$A268&amp;", "&amp;T268&amp;" UNION ALL","")</f>
        <v/>
      </c>
      <c r="Y268" s="5" t="str">
        <f t="shared" ca="1" si="24"/>
        <v>SELECT 289, 299, 24 UNION ALL</v>
      </c>
    </row>
    <row r="269" spans="1:25">
      <c r="A269">
        <f t="shared" si="21"/>
        <v>300</v>
      </c>
      <c r="B269" t="s">
        <v>1092</v>
      </c>
      <c r="C269">
        <v>1</v>
      </c>
      <c r="D269">
        <v>9</v>
      </c>
      <c r="L269" t="str">
        <f t="shared" si="20"/>
        <v>SELECT 300, N'ananas', 1, 9 UNION ALL</v>
      </c>
      <c r="M269" s="6" t="s">
        <v>568</v>
      </c>
      <c r="Q269" s="6">
        <f t="shared" ca="1" si="22"/>
        <v>24</v>
      </c>
      <c r="R269" s="6">
        <f t="shared" ca="1" si="23"/>
        <v>0</v>
      </c>
      <c r="U269" s="6" t="str">
        <f ca="1">IF(Q269&gt;0,"SELECT "&amp;COUNTIF($Q$1:$T268,"&gt;0")+1&amp;", "&amp;$A269&amp;", "&amp;Q269&amp;" UNION ALL","")</f>
        <v>SELECT 290, 300, 24 UNION ALL</v>
      </c>
      <c r="V269" s="6" t="str">
        <f ca="1">IF(R269&gt;0,"SELECT "&amp;COUNTIF($Q$1:$T268,"&gt;0")+COUNTIF($Q269:Q269,"&gt;0")+1&amp;", "&amp;$A269&amp;", "&amp;R269&amp;" UNION ALL","")</f>
        <v/>
      </c>
      <c r="W269" s="6" t="str">
        <f>IF(S269&gt;0,"SELECT "&amp;COUNTIF($Q$1:$T268,"&gt;0")+COUNTIF($Q269:R269,"&gt;0")+1&amp;", "&amp;$A269&amp;", "&amp;S269&amp;" UNION ALL","")</f>
        <v/>
      </c>
      <c r="X269" s="6" t="str">
        <f>IF(T269&gt;0,"SELECT "&amp;COUNTIF($Q$1:$T268,"&gt;0")+COUNTIF($Q269:S269,"&gt;0")+1&amp;", "&amp;$A269&amp;", "&amp;T269&amp;" UNION ALL","")</f>
        <v/>
      </c>
      <c r="Y269" s="5" t="str">
        <f t="shared" ca="1" si="24"/>
        <v>SELECT 290, 300, 24 UNION ALL</v>
      </c>
    </row>
    <row r="270" spans="1:25">
      <c r="A270">
        <f t="shared" si="21"/>
        <v>301</v>
      </c>
      <c r="B270" t="s">
        <v>1093</v>
      </c>
      <c r="C270">
        <v>1</v>
      </c>
      <c r="D270">
        <v>10</v>
      </c>
      <c r="L270" t="str">
        <f t="shared" si="20"/>
        <v>SELECT 301, N'pomarańcza', 1, 10 UNION ALL</v>
      </c>
      <c r="M270" s="6" t="s">
        <v>568</v>
      </c>
      <c r="Q270" s="6">
        <f t="shared" ca="1" si="22"/>
        <v>24</v>
      </c>
      <c r="R270" s="6">
        <f t="shared" ca="1" si="23"/>
        <v>0</v>
      </c>
      <c r="U270" s="6" t="str">
        <f ca="1">IF(Q270&gt;0,"SELECT "&amp;COUNTIF($Q$1:$T269,"&gt;0")+1&amp;", "&amp;$A270&amp;", "&amp;Q270&amp;" UNION ALL","")</f>
        <v>SELECT 291, 301, 24 UNION ALL</v>
      </c>
      <c r="V270" s="6" t="str">
        <f ca="1">IF(R270&gt;0,"SELECT "&amp;COUNTIF($Q$1:$T269,"&gt;0")+COUNTIF($Q270:Q270,"&gt;0")+1&amp;", "&amp;$A270&amp;", "&amp;R270&amp;" UNION ALL","")</f>
        <v/>
      </c>
      <c r="W270" s="6" t="str">
        <f>IF(S270&gt;0,"SELECT "&amp;COUNTIF($Q$1:$T269,"&gt;0")+COUNTIF($Q270:R270,"&gt;0")+1&amp;", "&amp;$A270&amp;", "&amp;S270&amp;" UNION ALL","")</f>
        <v/>
      </c>
      <c r="X270" s="6" t="str">
        <f>IF(T270&gt;0,"SELECT "&amp;COUNTIF($Q$1:$T269,"&gt;0")+COUNTIF($Q270:S270,"&gt;0")+1&amp;", "&amp;$A270&amp;", "&amp;T270&amp;" UNION ALL","")</f>
        <v/>
      </c>
      <c r="Y270" s="5" t="str">
        <f t="shared" ca="1" si="24"/>
        <v>SELECT 291, 301, 24 UNION ALL</v>
      </c>
    </row>
    <row r="271" spans="1:25">
      <c r="A271">
        <f t="shared" si="21"/>
        <v>302</v>
      </c>
      <c r="B271" t="s">
        <v>1094</v>
      </c>
      <c r="C271">
        <v>1</v>
      </c>
      <c r="D271">
        <v>7</v>
      </c>
      <c r="L271" t="str">
        <f t="shared" si="20"/>
        <v>SELECT 302, N'czereśnia', 1, 7 UNION ALL</v>
      </c>
      <c r="M271" s="6" t="s">
        <v>568</v>
      </c>
      <c r="Q271" s="6">
        <f t="shared" ca="1" si="22"/>
        <v>24</v>
      </c>
      <c r="R271" s="6">
        <f t="shared" ca="1" si="23"/>
        <v>0</v>
      </c>
      <c r="U271" s="6" t="str">
        <f ca="1">IF(Q271&gt;0,"SELECT "&amp;COUNTIF($Q$1:$T270,"&gt;0")+1&amp;", "&amp;$A271&amp;", "&amp;Q271&amp;" UNION ALL","")</f>
        <v>SELECT 292, 302, 24 UNION ALL</v>
      </c>
      <c r="V271" s="6" t="str">
        <f ca="1">IF(R271&gt;0,"SELECT "&amp;COUNTIF($Q$1:$T270,"&gt;0")+COUNTIF($Q271:Q271,"&gt;0")+1&amp;", "&amp;$A271&amp;", "&amp;R271&amp;" UNION ALL","")</f>
        <v/>
      </c>
      <c r="W271" s="6" t="str">
        <f>IF(S271&gt;0,"SELECT "&amp;COUNTIF($Q$1:$T270,"&gt;0")+COUNTIF($Q271:R271,"&gt;0")+1&amp;", "&amp;$A271&amp;", "&amp;S271&amp;" UNION ALL","")</f>
        <v/>
      </c>
      <c r="X271" s="6" t="str">
        <f>IF(T271&gt;0,"SELECT "&amp;COUNTIF($Q$1:$T270,"&gt;0")+COUNTIF($Q271:S271,"&gt;0")+1&amp;", "&amp;$A271&amp;", "&amp;T271&amp;" UNION ALL","")</f>
        <v/>
      </c>
      <c r="Y271" s="5" t="str">
        <f t="shared" ca="1" si="24"/>
        <v>SELECT 292, 302, 24 UNION ALL</v>
      </c>
    </row>
    <row r="272" spans="1:25">
      <c r="A272">
        <f t="shared" si="21"/>
        <v>303</v>
      </c>
      <c r="B272" t="s">
        <v>1095</v>
      </c>
      <c r="C272">
        <v>1</v>
      </c>
      <c r="D272">
        <v>7</v>
      </c>
      <c r="L272" t="str">
        <f t="shared" si="20"/>
        <v>SELECT 303, N'porzeczka', 1, 7 UNION ALL</v>
      </c>
      <c r="M272" s="6" t="s">
        <v>568</v>
      </c>
      <c r="Q272" s="6">
        <f t="shared" ca="1" si="22"/>
        <v>24</v>
      </c>
      <c r="R272" s="6">
        <f t="shared" ca="1" si="23"/>
        <v>0</v>
      </c>
      <c r="U272" s="6" t="str">
        <f ca="1">IF(Q272&gt;0,"SELECT "&amp;COUNTIF($Q$1:$T271,"&gt;0")+1&amp;", "&amp;$A272&amp;", "&amp;Q272&amp;" UNION ALL","")</f>
        <v>SELECT 293, 303, 24 UNION ALL</v>
      </c>
      <c r="V272" s="6" t="str">
        <f ca="1">IF(R272&gt;0,"SELECT "&amp;COUNTIF($Q$1:$T271,"&gt;0")+COUNTIF($Q272:Q272,"&gt;0")+1&amp;", "&amp;$A272&amp;", "&amp;R272&amp;" UNION ALL","")</f>
        <v/>
      </c>
      <c r="W272" s="6" t="str">
        <f>IF(S272&gt;0,"SELECT "&amp;COUNTIF($Q$1:$T271,"&gt;0")+COUNTIF($Q272:R272,"&gt;0")+1&amp;", "&amp;$A272&amp;", "&amp;S272&amp;" UNION ALL","")</f>
        <v/>
      </c>
      <c r="X272" s="6" t="str">
        <f>IF(T272&gt;0,"SELECT "&amp;COUNTIF($Q$1:$T271,"&gt;0")+COUNTIF($Q272:S272,"&gt;0")+1&amp;", "&amp;$A272&amp;", "&amp;T272&amp;" UNION ALL","")</f>
        <v/>
      </c>
      <c r="Y272" s="5" t="str">
        <f t="shared" ca="1" si="24"/>
        <v>SELECT 293, 303, 24 UNION ALL</v>
      </c>
    </row>
    <row r="273" spans="1:25">
      <c r="A273">
        <f t="shared" si="21"/>
        <v>304</v>
      </c>
      <c r="B273" t="s">
        <v>1096</v>
      </c>
      <c r="C273">
        <v>1</v>
      </c>
      <c r="D273">
        <v>9</v>
      </c>
      <c r="L273" t="str">
        <f t="shared" si="20"/>
        <v>SELECT 304, N'malina', 1, 9 UNION ALL</v>
      </c>
      <c r="M273" s="6" t="s">
        <v>568</v>
      </c>
      <c r="Q273" s="6">
        <f t="shared" ca="1" si="22"/>
        <v>24</v>
      </c>
      <c r="R273" s="6">
        <f t="shared" ca="1" si="23"/>
        <v>0</v>
      </c>
      <c r="U273" s="6" t="str">
        <f ca="1">IF(Q273&gt;0,"SELECT "&amp;COUNTIF($Q$1:$T272,"&gt;0")+1&amp;", "&amp;$A273&amp;", "&amp;Q273&amp;" UNION ALL","")</f>
        <v>SELECT 294, 304, 24 UNION ALL</v>
      </c>
      <c r="V273" s="6" t="str">
        <f ca="1">IF(R273&gt;0,"SELECT "&amp;COUNTIF($Q$1:$T272,"&gt;0")+COUNTIF($Q273:Q273,"&gt;0")+1&amp;", "&amp;$A273&amp;", "&amp;R273&amp;" UNION ALL","")</f>
        <v/>
      </c>
      <c r="W273" s="6" t="str">
        <f>IF(S273&gt;0,"SELECT "&amp;COUNTIF($Q$1:$T272,"&gt;0")+COUNTIF($Q273:R273,"&gt;0")+1&amp;", "&amp;$A273&amp;", "&amp;S273&amp;" UNION ALL","")</f>
        <v/>
      </c>
      <c r="X273" s="6" t="str">
        <f>IF(T273&gt;0,"SELECT "&amp;COUNTIF($Q$1:$T272,"&gt;0")+COUNTIF($Q273:S273,"&gt;0")+1&amp;", "&amp;$A273&amp;", "&amp;T273&amp;" UNION ALL","")</f>
        <v/>
      </c>
      <c r="Y273" s="5" t="str">
        <f t="shared" ca="1" si="24"/>
        <v>SELECT 294, 304, 24 UNION ALL</v>
      </c>
    </row>
    <row r="274" spans="1:25">
      <c r="A274">
        <f t="shared" si="21"/>
        <v>305</v>
      </c>
      <c r="B274" t="s">
        <v>1097</v>
      </c>
      <c r="C274">
        <v>1</v>
      </c>
      <c r="D274">
        <v>10</v>
      </c>
      <c r="L274" t="str">
        <f t="shared" si="20"/>
        <v>SELECT 305, N'banan', 1, 10 UNION ALL</v>
      </c>
      <c r="M274" s="6" t="s">
        <v>568</v>
      </c>
      <c r="Q274" s="6">
        <f t="shared" ca="1" si="22"/>
        <v>24</v>
      </c>
      <c r="R274" s="6">
        <f t="shared" ca="1" si="23"/>
        <v>0</v>
      </c>
      <c r="U274" s="6" t="str">
        <f ca="1">IF(Q274&gt;0,"SELECT "&amp;COUNTIF($Q$1:$T273,"&gt;0")+1&amp;", "&amp;$A274&amp;", "&amp;Q274&amp;" UNION ALL","")</f>
        <v>SELECT 295, 305, 24 UNION ALL</v>
      </c>
      <c r="V274" s="6" t="str">
        <f ca="1">IF(R274&gt;0,"SELECT "&amp;COUNTIF($Q$1:$T273,"&gt;0")+COUNTIF($Q274:Q274,"&gt;0")+1&amp;", "&amp;$A274&amp;", "&amp;R274&amp;" UNION ALL","")</f>
        <v/>
      </c>
      <c r="W274" s="6" t="str">
        <f>IF(S274&gt;0,"SELECT "&amp;COUNTIF($Q$1:$T273,"&gt;0")+COUNTIF($Q274:R274,"&gt;0")+1&amp;", "&amp;$A274&amp;", "&amp;S274&amp;" UNION ALL","")</f>
        <v/>
      </c>
      <c r="X274" s="6" t="str">
        <f>IF(T274&gt;0,"SELECT "&amp;COUNTIF($Q$1:$T273,"&gt;0")+COUNTIF($Q274:S274,"&gt;0")+1&amp;", "&amp;$A274&amp;", "&amp;T274&amp;" UNION ALL","")</f>
        <v/>
      </c>
      <c r="Y274" s="5" t="str">
        <f t="shared" ca="1" si="24"/>
        <v>SELECT 295, 305, 24 UNION ALL</v>
      </c>
    </row>
    <row r="275" spans="1:25">
      <c r="A275" s="6">
        <f t="shared" si="21"/>
        <v>306</v>
      </c>
      <c r="B275" s="6" t="s">
        <v>1098</v>
      </c>
      <c r="C275" s="6">
        <v>2</v>
      </c>
      <c r="D275" s="6">
        <v>10</v>
      </c>
      <c r="L275" s="6" t="str">
        <f t="shared" si="20"/>
        <v>SELECT 306, N'robić', 2, 10 UNION ALL</v>
      </c>
      <c r="Q275" s="6">
        <f t="shared" ca="1" si="22"/>
        <v>0</v>
      </c>
      <c r="R275" s="6">
        <f t="shared" ca="1" si="23"/>
        <v>0</v>
      </c>
      <c r="U275" s="6" t="str">
        <f ca="1">IF(Q275&gt;0,"SELECT "&amp;COUNTIF($Q$1:$T274,"&gt;0")+1&amp;", "&amp;$A275&amp;", "&amp;Q275&amp;" UNION ALL","")</f>
        <v/>
      </c>
      <c r="V275" s="6" t="str">
        <f ca="1">IF(R275&gt;0,"SELECT "&amp;COUNTIF($Q$1:$T274,"&gt;0")+COUNTIF($Q275:Q275,"&gt;0")+1&amp;", "&amp;$A275&amp;", "&amp;R275&amp;" UNION ALL","")</f>
        <v/>
      </c>
      <c r="W275" s="6" t="str">
        <f>IF(S275&gt;0,"SELECT "&amp;COUNTIF($Q$1:$T274,"&gt;0")+COUNTIF($Q275:R275,"&gt;0")+1&amp;", "&amp;$A275&amp;", "&amp;S275&amp;" UNION ALL","")</f>
        <v/>
      </c>
      <c r="X275" s="6" t="str">
        <f>IF(T275&gt;0,"SELECT "&amp;COUNTIF($Q$1:$T274,"&gt;0")+COUNTIF($Q275:S275,"&gt;0")+1&amp;", "&amp;$A275&amp;", "&amp;T275&amp;" UNION ALL","")</f>
        <v/>
      </c>
      <c r="Y275" s="5" t="str">
        <f t="shared" ca="1" si="24"/>
        <v/>
      </c>
    </row>
    <row r="276" spans="1:25">
      <c r="A276" s="6">
        <f t="shared" si="21"/>
        <v>307</v>
      </c>
      <c r="B276" s="6" t="s">
        <v>1099</v>
      </c>
      <c r="C276" s="6">
        <v>3</v>
      </c>
      <c r="D276" s="6">
        <v>10</v>
      </c>
      <c r="L276" s="6" t="str">
        <f t="shared" si="20"/>
        <v>SELECT 307, N'polski', 3, 10 UNION ALL</v>
      </c>
      <c r="M276" s="6" t="s">
        <v>555</v>
      </c>
      <c r="Q276" s="6">
        <f t="shared" ca="1" si="22"/>
        <v>4</v>
      </c>
      <c r="R276" s="6">
        <f t="shared" ca="1" si="23"/>
        <v>0</v>
      </c>
      <c r="U276" s="6" t="str">
        <f ca="1">IF(Q276&gt;0,"SELECT "&amp;COUNTIF($Q$1:$T275,"&gt;0")+1&amp;", "&amp;$A276&amp;", "&amp;Q276&amp;" UNION ALL","")</f>
        <v>SELECT 296, 307, 4 UNION ALL</v>
      </c>
      <c r="V276" s="6" t="str">
        <f ca="1">IF(R276&gt;0,"SELECT "&amp;COUNTIF($Q$1:$T275,"&gt;0")+COUNTIF($Q276:Q276,"&gt;0")+1&amp;", "&amp;$A276&amp;", "&amp;R276&amp;" UNION ALL","")</f>
        <v/>
      </c>
      <c r="W276" s="6" t="str">
        <f>IF(S276&gt;0,"SELECT "&amp;COUNTIF($Q$1:$T275,"&gt;0")+COUNTIF($Q276:R276,"&gt;0")+1&amp;", "&amp;$A276&amp;", "&amp;S276&amp;" UNION ALL","")</f>
        <v/>
      </c>
      <c r="X276" s="6" t="str">
        <f>IF(T276&gt;0,"SELECT "&amp;COUNTIF($Q$1:$T275,"&gt;0")+COUNTIF($Q276:S276,"&gt;0")+1&amp;", "&amp;$A276&amp;", "&amp;T276&amp;" UNION ALL","")</f>
        <v/>
      </c>
      <c r="Y276" s="5" t="str">
        <f t="shared" ca="1" si="24"/>
        <v>SELECT 296, 307, 4 UNION ALL</v>
      </c>
    </row>
    <row r="277" spans="1:25">
      <c r="A277" s="6">
        <f t="shared" si="21"/>
        <v>308</v>
      </c>
      <c r="B277" s="6" t="s">
        <v>1100</v>
      </c>
      <c r="C277" s="6">
        <v>1</v>
      </c>
      <c r="D277" s="6">
        <v>10</v>
      </c>
      <c r="L277" s="6" t="str">
        <f t="shared" si="20"/>
        <v>SELECT 308, N'ręka', 1, 10 UNION ALL</v>
      </c>
      <c r="M277" s="6" t="s">
        <v>1446</v>
      </c>
      <c r="Q277" s="6">
        <f t="shared" ca="1" si="22"/>
        <v>75</v>
      </c>
      <c r="R277" s="6">
        <f t="shared" ca="1" si="23"/>
        <v>0</v>
      </c>
      <c r="U277" s="6" t="str">
        <f ca="1">IF(Q277&gt;0,"SELECT "&amp;COUNTIF($Q$1:$T276,"&gt;0")+1&amp;", "&amp;$A277&amp;", "&amp;Q277&amp;" UNION ALL","")</f>
        <v>SELECT 297, 308, 75 UNION ALL</v>
      </c>
      <c r="V277" s="6" t="str">
        <f ca="1">IF(R277&gt;0,"SELECT "&amp;COUNTIF($Q$1:$T276,"&gt;0")+COUNTIF($Q277:Q277,"&gt;0")+1&amp;", "&amp;$A277&amp;", "&amp;R277&amp;" UNION ALL","")</f>
        <v/>
      </c>
      <c r="W277" s="6" t="str">
        <f>IF(S277&gt;0,"SELECT "&amp;COUNTIF($Q$1:$T276,"&gt;0")+COUNTIF($Q277:R277,"&gt;0")+1&amp;", "&amp;$A277&amp;", "&amp;S277&amp;" UNION ALL","")</f>
        <v/>
      </c>
      <c r="X277" s="6" t="str">
        <f>IF(T277&gt;0,"SELECT "&amp;COUNTIF($Q$1:$T276,"&gt;0")+COUNTIF($Q277:S277,"&gt;0")+1&amp;", "&amp;$A277&amp;", "&amp;T277&amp;" UNION ALL","")</f>
        <v/>
      </c>
      <c r="Y277" s="5" t="str">
        <f t="shared" ca="1" si="24"/>
        <v>SELECT 297, 308, 75 UNION ALL</v>
      </c>
    </row>
    <row r="278" spans="1:25">
      <c r="A278" s="6">
        <f t="shared" si="21"/>
        <v>309</v>
      </c>
      <c r="B278" s="6" t="s">
        <v>1101</v>
      </c>
      <c r="C278" s="6">
        <v>2</v>
      </c>
      <c r="D278" s="6">
        <v>10</v>
      </c>
      <c r="L278" s="6" t="str">
        <f t="shared" si="20"/>
        <v>SELECT 309, N'płacić', 2, 10 UNION ALL</v>
      </c>
      <c r="Q278" s="6">
        <f t="shared" ca="1" si="22"/>
        <v>0</v>
      </c>
      <c r="R278" s="6">
        <f t="shared" ca="1" si="23"/>
        <v>0</v>
      </c>
      <c r="U278" s="6" t="str">
        <f ca="1">IF(Q278&gt;0,"SELECT "&amp;COUNTIF($Q$1:$T277,"&gt;0")+1&amp;", "&amp;$A278&amp;", "&amp;Q278&amp;" UNION ALL","")</f>
        <v/>
      </c>
      <c r="V278" s="6" t="str">
        <f ca="1">IF(R278&gt;0,"SELECT "&amp;COUNTIF($Q$1:$T277,"&gt;0")+COUNTIF($Q278:Q278,"&gt;0")+1&amp;", "&amp;$A278&amp;", "&amp;R278&amp;" UNION ALL","")</f>
        <v/>
      </c>
      <c r="W278" s="6" t="str">
        <f>IF(S278&gt;0,"SELECT "&amp;COUNTIF($Q$1:$T277,"&gt;0")+COUNTIF($Q278:R278,"&gt;0")+1&amp;", "&amp;$A278&amp;", "&amp;S278&amp;" UNION ALL","")</f>
        <v/>
      </c>
      <c r="X278" s="6" t="str">
        <f>IF(T278&gt;0,"SELECT "&amp;COUNTIF($Q$1:$T277,"&gt;0")+COUNTIF($Q278:S278,"&gt;0")+1&amp;", "&amp;$A278&amp;", "&amp;T278&amp;" UNION ALL","")</f>
        <v/>
      </c>
      <c r="Y278" s="5" t="str">
        <f t="shared" ca="1" si="24"/>
        <v/>
      </c>
    </row>
    <row r="279" spans="1:25">
      <c r="A279" s="6">
        <f t="shared" si="21"/>
        <v>310</v>
      </c>
      <c r="B279" s="6" t="s">
        <v>1102</v>
      </c>
      <c r="C279" s="6">
        <v>3</v>
      </c>
      <c r="D279" s="6">
        <v>10</v>
      </c>
      <c r="L279" s="6" t="str">
        <f t="shared" si="20"/>
        <v>SELECT 310, N'szybki', 3, 10 UNION ALL</v>
      </c>
      <c r="Q279" s="6">
        <f t="shared" ca="1" si="22"/>
        <v>0</v>
      </c>
      <c r="R279" s="6">
        <f t="shared" ca="1" si="23"/>
        <v>0</v>
      </c>
      <c r="U279" s="6" t="str">
        <f ca="1">IF(Q279&gt;0,"SELECT "&amp;COUNTIF($Q$1:$T278,"&gt;0")+1&amp;", "&amp;$A279&amp;", "&amp;Q279&amp;" UNION ALL","")</f>
        <v/>
      </c>
      <c r="V279" s="6" t="str">
        <f ca="1">IF(R279&gt;0,"SELECT "&amp;COUNTIF($Q$1:$T278,"&gt;0")+COUNTIF($Q279:Q279,"&gt;0")+1&amp;", "&amp;$A279&amp;", "&amp;R279&amp;" UNION ALL","")</f>
        <v/>
      </c>
      <c r="W279" s="6" t="str">
        <f>IF(S279&gt;0,"SELECT "&amp;COUNTIF($Q$1:$T278,"&gt;0")+COUNTIF($Q279:R279,"&gt;0")+1&amp;", "&amp;$A279&amp;", "&amp;S279&amp;" UNION ALL","")</f>
        <v/>
      </c>
      <c r="X279" s="6" t="str">
        <f>IF(T279&gt;0,"SELECT "&amp;COUNTIF($Q$1:$T278,"&gt;0")+COUNTIF($Q279:S279,"&gt;0")+1&amp;", "&amp;$A279&amp;", "&amp;T279&amp;" UNION ALL","")</f>
        <v/>
      </c>
      <c r="Y279" s="5" t="str">
        <f t="shared" ca="1" si="24"/>
        <v/>
      </c>
    </row>
    <row r="280" spans="1:25">
      <c r="A280" s="6">
        <f t="shared" si="21"/>
        <v>311</v>
      </c>
      <c r="B280" s="6" t="s">
        <v>1103</v>
      </c>
      <c r="C280" s="6">
        <v>2</v>
      </c>
      <c r="D280" s="6">
        <v>10</v>
      </c>
      <c r="L280" s="6" t="str">
        <f t="shared" si="20"/>
        <v>SELECT 311, N'mówić', 2, 10 UNION ALL</v>
      </c>
      <c r="Q280" s="6">
        <f t="shared" ca="1" si="22"/>
        <v>0</v>
      </c>
      <c r="R280" s="6">
        <f t="shared" ca="1" si="23"/>
        <v>0</v>
      </c>
      <c r="U280" s="6" t="str">
        <f ca="1">IF(Q280&gt;0,"SELECT "&amp;COUNTIF($Q$1:$T279,"&gt;0")+1&amp;", "&amp;$A280&amp;", "&amp;Q280&amp;" UNION ALL","")</f>
        <v/>
      </c>
      <c r="V280" s="6" t="str">
        <f ca="1">IF(R280&gt;0,"SELECT "&amp;COUNTIF($Q$1:$T279,"&gt;0")+COUNTIF($Q280:Q280,"&gt;0")+1&amp;", "&amp;$A280&amp;", "&amp;R280&amp;" UNION ALL","")</f>
        <v/>
      </c>
      <c r="W280" s="6" t="str">
        <f>IF(S280&gt;0,"SELECT "&amp;COUNTIF($Q$1:$T279,"&gt;0")+COUNTIF($Q280:R280,"&gt;0")+1&amp;", "&amp;$A280&amp;", "&amp;S280&amp;" UNION ALL","")</f>
        <v/>
      </c>
      <c r="X280" s="6" t="str">
        <f>IF(T280&gt;0,"SELECT "&amp;COUNTIF($Q$1:$T279,"&gt;0")+COUNTIF($Q280:S280,"&gt;0")+1&amp;", "&amp;$A280&amp;", "&amp;T280&amp;" UNION ALL","")</f>
        <v/>
      </c>
      <c r="Y280" s="5" t="str">
        <f t="shared" ca="1" si="24"/>
        <v/>
      </c>
    </row>
    <row r="281" spans="1:25">
      <c r="A281" s="6">
        <f t="shared" si="21"/>
        <v>312</v>
      </c>
      <c r="B281" s="6" t="s">
        <v>1104</v>
      </c>
      <c r="C281" s="6">
        <v>2</v>
      </c>
      <c r="D281" s="6">
        <v>10</v>
      </c>
      <c r="L281" s="6" t="str">
        <f t="shared" ref="L281:L344" si="25">"SELECT "&amp;A281&amp;", N'"&amp;B281&amp;"', "&amp;C281&amp;", "&amp;D281&amp;" UNION ALL"</f>
        <v>SELECT 312, N'czytać', 2, 10 UNION ALL</v>
      </c>
      <c r="Q281" s="6">
        <f t="shared" ca="1" si="22"/>
        <v>0</v>
      </c>
      <c r="R281" s="6">
        <f t="shared" ca="1" si="23"/>
        <v>0</v>
      </c>
      <c r="U281" s="6" t="str">
        <f ca="1">IF(Q281&gt;0,"SELECT "&amp;COUNTIF($Q$1:$T280,"&gt;0")+1&amp;", "&amp;$A281&amp;", "&amp;Q281&amp;" UNION ALL","")</f>
        <v/>
      </c>
      <c r="V281" s="6" t="str">
        <f ca="1">IF(R281&gt;0,"SELECT "&amp;COUNTIF($Q$1:$T280,"&gt;0")+COUNTIF($Q281:Q281,"&gt;0")+1&amp;", "&amp;$A281&amp;", "&amp;R281&amp;" UNION ALL","")</f>
        <v/>
      </c>
      <c r="W281" s="6" t="str">
        <f>IF(S281&gt;0,"SELECT "&amp;COUNTIF($Q$1:$T280,"&gt;0")+COUNTIF($Q281:R281,"&gt;0")+1&amp;", "&amp;$A281&amp;", "&amp;S281&amp;" UNION ALL","")</f>
        <v/>
      </c>
      <c r="X281" s="6" t="str">
        <f>IF(T281&gt;0,"SELECT "&amp;COUNTIF($Q$1:$T280,"&gt;0")+COUNTIF($Q281:S281,"&gt;0")+1&amp;", "&amp;$A281&amp;", "&amp;T281&amp;" UNION ALL","")</f>
        <v/>
      </c>
      <c r="Y281" s="5" t="str">
        <f t="shared" ca="1" si="24"/>
        <v/>
      </c>
    </row>
    <row r="282" spans="1:25">
      <c r="A282" s="6">
        <f t="shared" si="21"/>
        <v>313</v>
      </c>
      <c r="B282" s="6" t="s">
        <v>1105</v>
      </c>
      <c r="C282" s="6">
        <v>2</v>
      </c>
      <c r="D282" s="6">
        <v>10</v>
      </c>
      <c r="L282" s="6" t="str">
        <f t="shared" si="25"/>
        <v>SELECT 313, N'być', 2, 10 UNION ALL</v>
      </c>
      <c r="Q282" s="6">
        <f t="shared" ca="1" si="22"/>
        <v>0</v>
      </c>
      <c r="R282" s="6">
        <f t="shared" ca="1" si="23"/>
        <v>0</v>
      </c>
      <c r="U282" s="6" t="str">
        <f ca="1">IF(Q282&gt;0,"SELECT "&amp;COUNTIF($Q$1:$T281,"&gt;0")+1&amp;", "&amp;$A282&amp;", "&amp;Q282&amp;" UNION ALL","")</f>
        <v/>
      </c>
      <c r="V282" s="6" t="str">
        <f ca="1">IF(R282&gt;0,"SELECT "&amp;COUNTIF($Q$1:$T281,"&gt;0")+COUNTIF($Q282:Q282,"&gt;0")+1&amp;", "&amp;$A282&amp;", "&amp;R282&amp;" UNION ALL","")</f>
        <v/>
      </c>
      <c r="W282" s="6" t="str">
        <f>IF(S282&gt;0,"SELECT "&amp;COUNTIF($Q$1:$T281,"&gt;0")+COUNTIF($Q282:R282,"&gt;0")+1&amp;", "&amp;$A282&amp;", "&amp;S282&amp;" UNION ALL","")</f>
        <v/>
      </c>
      <c r="X282" s="6" t="str">
        <f>IF(T282&gt;0,"SELECT "&amp;COUNTIF($Q$1:$T281,"&gt;0")+COUNTIF($Q282:S282,"&gt;0")+1&amp;", "&amp;$A282&amp;", "&amp;T282&amp;" UNION ALL","")</f>
        <v/>
      </c>
      <c r="Y282" s="5" t="str">
        <f t="shared" ca="1" si="24"/>
        <v/>
      </c>
    </row>
    <row r="283" spans="1:25">
      <c r="A283" s="6">
        <f t="shared" si="21"/>
        <v>314</v>
      </c>
      <c r="B283" s="6" t="s">
        <v>1106</v>
      </c>
      <c r="C283" s="6">
        <v>2</v>
      </c>
      <c r="D283" s="6">
        <v>10</v>
      </c>
      <c r="L283" s="6" t="str">
        <f t="shared" si="25"/>
        <v>SELECT 314, N'móc', 2, 10 UNION ALL</v>
      </c>
      <c r="Q283" s="6">
        <f t="shared" ca="1" si="22"/>
        <v>0</v>
      </c>
      <c r="R283" s="6">
        <f t="shared" ca="1" si="23"/>
        <v>0</v>
      </c>
      <c r="U283" s="6" t="str">
        <f ca="1">IF(Q283&gt;0,"SELECT "&amp;COUNTIF($Q$1:$T282,"&gt;0")+1&amp;", "&amp;$A283&amp;", "&amp;Q283&amp;" UNION ALL","")</f>
        <v/>
      </c>
      <c r="V283" s="6" t="str">
        <f ca="1">IF(R283&gt;0,"SELECT "&amp;COUNTIF($Q$1:$T282,"&gt;0")+COUNTIF($Q283:Q283,"&gt;0")+1&amp;", "&amp;$A283&amp;", "&amp;R283&amp;" UNION ALL","")</f>
        <v/>
      </c>
      <c r="W283" s="6" t="str">
        <f>IF(S283&gt;0,"SELECT "&amp;COUNTIF($Q$1:$T282,"&gt;0")+COUNTIF($Q283:R283,"&gt;0")+1&amp;", "&amp;$A283&amp;", "&amp;S283&amp;" UNION ALL","")</f>
        <v/>
      </c>
      <c r="X283" s="6" t="str">
        <f>IF(T283&gt;0,"SELECT "&amp;COUNTIF($Q$1:$T282,"&gt;0")+COUNTIF($Q283:S283,"&gt;0")+1&amp;", "&amp;$A283&amp;", "&amp;T283&amp;" UNION ALL","")</f>
        <v/>
      </c>
      <c r="Y283" s="5" t="str">
        <f t="shared" ca="1" si="24"/>
        <v/>
      </c>
    </row>
    <row r="284" spans="1:25">
      <c r="A284" s="6">
        <f t="shared" si="21"/>
        <v>315</v>
      </c>
      <c r="B284" s="6" t="s">
        <v>1107</v>
      </c>
      <c r="C284" s="6">
        <v>2</v>
      </c>
      <c r="D284" s="6">
        <v>10</v>
      </c>
      <c r="L284" s="6" t="str">
        <f t="shared" si="25"/>
        <v>SELECT 315, N'zdobywać', 2, 10 UNION ALL</v>
      </c>
      <c r="Q284" s="6">
        <f t="shared" ca="1" si="22"/>
        <v>0</v>
      </c>
      <c r="R284" s="6">
        <f t="shared" ca="1" si="23"/>
        <v>0</v>
      </c>
      <c r="U284" s="6" t="str">
        <f ca="1">IF(Q284&gt;0,"SELECT "&amp;COUNTIF($Q$1:$T283,"&gt;0")+1&amp;", "&amp;$A284&amp;", "&amp;Q284&amp;" UNION ALL","")</f>
        <v/>
      </c>
      <c r="V284" s="6" t="str">
        <f ca="1">IF(R284&gt;0,"SELECT "&amp;COUNTIF($Q$1:$T283,"&gt;0")+COUNTIF($Q284:Q284,"&gt;0")+1&amp;", "&amp;$A284&amp;", "&amp;R284&amp;" UNION ALL","")</f>
        <v/>
      </c>
      <c r="W284" s="6" t="str">
        <f>IF(S284&gt;0,"SELECT "&amp;COUNTIF($Q$1:$T283,"&gt;0")+COUNTIF($Q284:R284,"&gt;0")+1&amp;", "&amp;$A284&amp;", "&amp;S284&amp;" UNION ALL","")</f>
        <v/>
      </c>
      <c r="X284" s="6" t="str">
        <f>IF(T284&gt;0,"SELECT "&amp;COUNTIF($Q$1:$T283,"&gt;0")+COUNTIF($Q284:S284,"&gt;0")+1&amp;", "&amp;$A284&amp;", "&amp;T284&amp;" UNION ALL","")</f>
        <v/>
      </c>
      <c r="Y284" s="5" t="str">
        <f t="shared" ca="1" si="24"/>
        <v/>
      </c>
    </row>
    <row r="285" spans="1:25">
      <c r="A285" s="6">
        <f t="shared" si="21"/>
        <v>316</v>
      </c>
      <c r="B285" s="6" t="s">
        <v>1108</v>
      </c>
      <c r="C285" s="6">
        <v>2</v>
      </c>
      <c r="D285" s="6">
        <v>10</v>
      </c>
      <c r="L285" s="6" t="str">
        <f t="shared" si="25"/>
        <v>SELECT 316, N'próbować', 2, 10 UNION ALL</v>
      </c>
      <c r="Q285" s="6">
        <f t="shared" ca="1" si="22"/>
        <v>0</v>
      </c>
      <c r="R285" s="6">
        <f t="shared" ca="1" si="23"/>
        <v>0</v>
      </c>
      <c r="U285" s="6" t="str">
        <f ca="1">IF(Q285&gt;0,"SELECT "&amp;COUNTIF($Q$1:$T284,"&gt;0")+1&amp;", "&amp;$A285&amp;", "&amp;Q285&amp;" UNION ALL","")</f>
        <v/>
      </c>
      <c r="V285" s="6" t="str">
        <f ca="1">IF(R285&gt;0,"SELECT "&amp;COUNTIF($Q$1:$T284,"&gt;0")+COUNTIF($Q285:Q285,"&gt;0")+1&amp;", "&amp;$A285&amp;", "&amp;R285&amp;" UNION ALL","")</f>
        <v/>
      </c>
      <c r="W285" s="6" t="str">
        <f>IF(S285&gt;0,"SELECT "&amp;COUNTIF($Q$1:$T284,"&gt;0")+COUNTIF($Q285:R285,"&gt;0")+1&amp;", "&amp;$A285&amp;", "&amp;S285&amp;" UNION ALL","")</f>
        <v/>
      </c>
      <c r="X285" s="6" t="str">
        <f>IF(T285&gt;0,"SELECT "&amp;COUNTIF($Q$1:$T284,"&gt;0")+COUNTIF($Q285:S285,"&gt;0")+1&amp;", "&amp;$A285&amp;", "&amp;T285&amp;" UNION ALL","")</f>
        <v/>
      </c>
      <c r="Y285" s="5" t="str">
        <f t="shared" ca="1" si="24"/>
        <v/>
      </c>
    </row>
    <row r="286" spans="1:25">
      <c r="A286" s="6">
        <f t="shared" si="21"/>
        <v>317</v>
      </c>
      <c r="B286" s="6" t="s">
        <v>1109</v>
      </c>
      <c r="C286" s="6">
        <v>1</v>
      </c>
      <c r="D286" s="6">
        <v>10</v>
      </c>
      <c r="L286" s="6" t="str">
        <f t="shared" si="25"/>
        <v>SELECT 317, N'książka', 1, 10 UNION ALL</v>
      </c>
      <c r="M286" s="6" t="s">
        <v>1427</v>
      </c>
      <c r="Q286" s="6">
        <f t="shared" ca="1" si="22"/>
        <v>59</v>
      </c>
      <c r="R286" s="6">
        <f t="shared" ca="1" si="23"/>
        <v>0</v>
      </c>
      <c r="U286" s="6" t="str">
        <f ca="1">IF(Q286&gt;0,"SELECT "&amp;COUNTIF($Q$1:$T285,"&gt;0")+1&amp;", "&amp;$A286&amp;", "&amp;Q286&amp;" UNION ALL","")</f>
        <v>SELECT 298, 317, 59 UNION ALL</v>
      </c>
      <c r="V286" s="6" t="str">
        <f ca="1">IF(R286&gt;0,"SELECT "&amp;COUNTIF($Q$1:$T285,"&gt;0")+COUNTIF($Q286:Q286,"&gt;0")+1&amp;", "&amp;$A286&amp;", "&amp;R286&amp;" UNION ALL","")</f>
        <v/>
      </c>
      <c r="W286" s="6" t="str">
        <f>IF(S286&gt;0,"SELECT "&amp;COUNTIF($Q$1:$T285,"&gt;0")+COUNTIF($Q286:R286,"&gt;0")+1&amp;", "&amp;$A286&amp;", "&amp;S286&amp;" UNION ALL","")</f>
        <v/>
      </c>
      <c r="X286" s="6" t="str">
        <f>IF(T286&gt;0,"SELECT "&amp;COUNTIF($Q$1:$T285,"&gt;0")+COUNTIF($Q286:S286,"&gt;0")+1&amp;", "&amp;$A286&amp;", "&amp;T286&amp;" UNION ALL","")</f>
        <v/>
      </c>
      <c r="Y286" s="5" t="str">
        <f t="shared" ca="1" si="24"/>
        <v>SELECT 298, 317, 59 UNION ALL</v>
      </c>
    </row>
    <row r="287" spans="1:25">
      <c r="A287" s="6">
        <f t="shared" si="21"/>
        <v>318</v>
      </c>
      <c r="B287" s="6" t="s">
        <v>1110</v>
      </c>
      <c r="C287" s="6">
        <v>1</v>
      </c>
      <c r="D287" s="6">
        <v>10</v>
      </c>
      <c r="L287" s="6" t="str">
        <f t="shared" si="25"/>
        <v>SELECT 318, N'gra', 1, 10 UNION ALL</v>
      </c>
      <c r="Q287" s="6">
        <f t="shared" ca="1" si="22"/>
        <v>0</v>
      </c>
      <c r="R287" s="6">
        <f t="shared" ca="1" si="23"/>
        <v>0</v>
      </c>
      <c r="U287" s="6" t="str">
        <f ca="1">IF(Q287&gt;0,"SELECT "&amp;COUNTIF($Q$1:$T286,"&gt;0")+1&amp;", "&amp;$A287&amp;", "&amp;Q287&amp;" UNION ALL","")</f>
        <v/>
      </c>
      <c r="V287" s="6" t="str">
        <f ca="1">IF(R287&gt;0,"SELECT "&amp;COUNTIF($Q$1:$T286,"&gt;0")+COUNTIF($Q287:Q287,"&gt;0")+1&amp;", "&amp;$A287&amp;", "&amp;R287&amp;" UNION ALL","")</f>
        <v/>
      </c>
      <c r="W287" s="6" t="str">
        <f>IF(S287&gt;0,"SELECT "&amp;COUNTIF($Q$1:$T286,"&gt;0")+COUNTIF($Q287:R287,"&gt;0")+1&amp;", "&amp;$A287&amp;", "&amp;S287&amp;" UNION ALL","")</f>
        <v/>
      </c>
      <c r="X287" s="6" t="str">
        <f>IF(T287&gt;0,"SELECT "&amp;COUNTIF($Q$1:$T286,"&gt;0")+COUNTIF($Q287:S287,"&gt;0")+1&amp;", "&amp;$A287&amp;", "&amp;T287&amp;" UNION ALL","")</f>
        <v/>
      </c>
      <c r="Y287" s="5" t="str">
        <f t="shared" ca="1" si="24"/>
        <v/>
      </c>
    </row>
    <row r="288" spans="1:25">
      <c r="A288" s="6">
        <f t="shared" si="21"/>
        <v>319</v>
      </c>
      <c r="B288" s="6" t="s">
        <v>1111</v>
      </c>
      <c r="C288" s="6">
        <v>1</v>
      </c>
      <c r="D288" s="6">
        <v>10</v>
      </c>
      <c r="L288" s="6" t="str">
        <f t="shared" si="25"/>
        <v>SELECT 319, N'produkt', 1, 10 UNION ALL</v>
      </c>
      <c r="Q288" s="6">
        <f t="shared" ca="1" si="22"/>
        <v>0</v>
      </c>
      <c r="R288" s="6">
        <f t="shared" ca="1" si="23"/>
        <v>0</v>
      </c>
      <c r="U288" s="6" t="str">
        <f ca="1">IF(Q288&gt;0,"SELECT "&amp;COUNTIF($Q$1:$T287,"&gt;0")+1&amp;", "&amp;$A288&amp;", "&amp;Q288&amp;" UNION ALL","")</f>
        <v/>
      </c>
      <c r="V288" s="6" t="str">
        <f ca="1">IF(R288&gt;0,"SELECT "&amp;COUNTIF($Q$1:$T287,"&gt;0")+COUNTIF($Q288:Q288,"&gt;0")+1&amp;", "&amp;$A288&amp;", "&amp;R288&amp;" UNION ALL","")</f>
        <v/>
      </c>
      <c r="W288" s="6" t="str">
        <f>IF(S288&gt;0,"SELECT "&amp;COUNTIF($Q$1:$T287,"&gt;0")+COUNTIF($Q288:R288,"&gt;0")+1&amp;", "&amp;$A288&amp;", "&amp;S288&amp;" UNION ALL","")</f>
        <v/>
      </c>
      <c r="X288" s="6" t="str">
        <f>IF(T288&gt;0,"SELECT "&amp;COUNTIF($Q$1:$T287,"&gt;0")+COUNTIF($Q288:S288,"&gt;0")+1&amp;", "&amp;$A288&amp;", "&amp;T288&amp;" UNION ALL","")</f>
        <v/>
      </c>
      <c r="Y288" s="5" t="str">
        <f t="shared" ca="1" si="24"/>
        <v/>
      </c>
    </row>
    <row r="289" spans="1:25" ht="30">
      <c r="A289" s="6">
        <f t="shared" si="21"/>
        <v>320</v>
      </c>
      <c r="B289" s="6" t="s">
        <v>1112</v>
      </c>
      <c r="C289" s="6">
        <v>1</v>
      </c>
      <c r="D289" s="6">
        <v>10</v>
      </c>
      <c r="L289" s="6" t="str">
        <f t="shared" si="25"/>
        <v>SELECT 320, N'samochód', 1, 10 UNION ALL</v>
      </c>
      <c r="M289" t="s">
        <v>1428</v>
      </c>
      <c r="N289" s="6" t="s">
        <v>550</v>
      </c>
      <c r="Q289" s="6">
        <f t="shared" ca="1" si="22"/>
        <v>60</v>
      </c>
      <c r="R289" s="6">
        <f t="shared" ca="1" si="23"/>
        <v>72</v>
      </c>
      <c r="U289" s="6" t="str">
        <f ca="1">IF(Q289&gt;0,"SELECT "&amp;COUNTIF($Q$1:$T288,"&gt;0")+1&amp;", "&amp;$A289&amp;", "&amp;Q289&amp;" UNION ALL","")</f>
        <v>SELECT 299, 320, 60 UNION ALL</v>
      </c>
      <c r="V289" s="6" t="str">
        <f ca="1">IF(R289&gt;0,"SELECT "&amp;COUNTIF($Q$1:$T288,"&gt;0")+COUNTIF($Q289:Q289,"&gt;0")+1&amp;", "&amp;$A289&amp;", "&amp;R289&amp;" UNION ALL","")</f>
        <v>SELECT 300, 320, 72 UNION ALL</v>
      </c>
      <c r="W289" s="6" t="str">
        <f>IF(S289&gt;0,"SELECT "&amp;COUNTIF($Q$1:$T288,"&gt;0")+COUNTIF($Q289:R289,"&gt;0")+1&amp;", "&amp;$A289&amp;", "&amp;S289&amp;" UNION ALL","")</f>
        <v/>
      </c>
      <c r="X289" s="6" t="str">
        <f>IF(T289&gt;0,"SELECT "&amp;COUNTIF($Q$1:$T288,"&gt;0")+COUNTIF($Q289:S289,"&gt;0")+1&amp;", "&amp;$A289&amp;", "&amp;T289&amp;" UNION ALL","")</f>
        <v/>
      </c>
      <c r="Y289" s="5" t="str">
        <f t="shared" ca="1" si="24"/>
        <v>SELECT 299, 320, 60 UNION ALL
SELECT 300, 320, 72 UNION ALL</v>
      </c>
    </row>
    <row r="290" spans="1:25">
      <c r="A290" s="6">
        <f t="shared" si="21"/>
        <v>321</v>
      </c>
      <c r="B290" s="6" t="s">
        <v>1113</v>
      </c>
      <c r="C290" s="6">
        <v>1</v>
      </c>
      <c r="D290" s="6">
        <v>1</v>
      </c>
      <c r="L290" s="6" t="str">
        <f t="shared" si="25"/>
        <v>SELECT 321, N'oprogramowanie', 1, 1 UNION ALL</v>
      </c>
      <c r="O290" s="6"/>
      <c r="Q290" s="6">
        <f t="shared" ca="1" si="22"/>
        <v>0</v>
      </c>
      <c r="R290" s="6">
        <f t="shared" ca="1" si="23"/>
        <v>0</v>
      </c>
      <c r="U290" s="6" t="str">
        <f ca="1">IF(Q290&gt;0,"SELECT "&amp;COUNTIF($Q$1:$T289,"&gt;0")+1&amp;", "&amp;$A290&amp;", "&amp;Q290&amp;" UNION ALL","")</f>
        <v/>
      </c>
      <c r="V290" s="6" t="str">
        <f ca="1">IF(R290&gt;0,"SELECT "&amp;COUNTIF($Q$1:$T289,"&gt;0")+COUNTIF($Q290:Q290,"&gt;0")+1&amp;", "&amp;$A290&amp;", "&amp;R290&amp;" UNION ALL","")</f>
        <v/>
      </c>
      <c r="W290" s="6" t="str">
        <f>IF(S290&gt;0,"SELECT "&amp;COUNTIF($Q$1:$T289,"&gt;0")+COUNTIF($Q290:R290,"&gt;0")+1&amp;", "&amp;$A290&amp;", "&amp;S290&amp;" UNION ALL","")</f>
        <v/>
      </c>
      <c r="X290" s="6" t="str">
        <f>IF(T290&gt;0,"SELECT "&amp;COUNTIF($Q$1:$T289,"&gt;0")+COUNTIF($Q290:S290,"&gt;0")+1&amp;", "&amp;$A290&amp;", "&amp;T290&amp;" UNION ALL","")</f>
        <v/>
      </c>
      <c r="Y290" s="5" t="str">
        <f t="shared" ca="1" si="24"/>
        <v/>
      </c>
    </row>
    <row r="291" spans="1:25">
      <c r="A291" s="6">
        <f t="shared" si="21"/>
        <v>322</v>
      </c>
      <c r="B291" s="6" t="s">
        <v>1114</v>
      </c>
      <c r="C291" s="6">
        <v>2</v>
      </c>
      <c r="D291" s="6">
        <v>10</v>
      </c>
      <c r="L291" s="6" t="str">
        <f t="shared" si="25"/>
        <v>SELECT 322, N'gubić', 2, 10 UNION ALL</v>
      </c>
      <c r="O291" s="6" t="s">
        <v>1424</v>
      </c>
      <c r="Q291" s="6">
        <f t="shared" ca="1" si="22"/>
        <v>0</v>
      </c>
      <c r="R291" s="6">
        <f t="shared" ca="1" si="23"/>
        <v>0</v>
      </c>
      <c r="U291" s="6" t="str">
        <f ca="1">IF(Q291&gt;0,"SELECT "&amp;COUNTIF($Q$1:$T290,"&gt;0")+1&amp;", "&amp;$A291&amp;", "&amp;Q291&amp;" UNION ALL","")</f>
        <v/>
      </c>
      <c r="V291" s="6" t="str">
        <f ca="1">IF(R291&gt;0,"SELECT "&amp;COUNTIF($Q$1:$T290,"&gt;0")+COUNTIF($Q291:Q291,"&gt;0")+1&amp;", "&amp;$A291&amp;", "&amp;R291&amp;" UNION ALL","")</f>
        <v/>
      </c>
      <c r="W291" s="6" t="str">
        <f>IF(S291&gt;0,"SELECT "&amp;COUNTIF($Q$1:$T290,"&gt;0")+COUNTIF($Q291:R291,"&gt;0")+1&amp;", "&amp;$A291&amp;", "&amp;S291&amp;" UNION ALL","")</f>
        <v/>
      </c>
      <c r="X291" s="6" t="str">
        <f>IF(T291&gt;0,"SELECT "&amp;COUNTIF($Q$1:$T290,"&gt;0")+COUNTIF($Q291:S291,"&gt;0")+1&amp;", "&amp;$A291&amp;", "&amp;T291&amp;" UNION ALL","")</f>
        <v/>
      </c>
      <c r="Y291" s="5" t="str">
        <f t="shared" ca="1" si="24"/>
        <v/>
      </c>
    </row>
    <row r="292" spans="1:25">
      <c r="A292" s="6">
        <f t="shared" si="21"/>
        <v>323</v>
      </c>
      <c r="B292" s="6" t="s">
        <v>1115</v>
      </c>
      <c r="C292" s="6">
        <v>2</v>
      </c>
      <c r="D292" s="6">
        <v>8</v>
      </c>
      <c r="L292" s="6" t="str">
        <f t="shared" si="25"/>
        <v>SELECT 323, N'golić', 2, 8 UNION ALL</v>
      </c>
      <c r="O292" s="6" t="s">
        <v>1425</v>
      </c>
      <c r="Q292" s="6">
        <f t="shared" ca="1" si="22"/>
        <v>0</v>
      </c>
      <c r="R292" s="6">
        <f t="shared" ca="1" si="23"/>
        <v>0</v>
      </c>
      <c r="U292" s="6" t="str">
        <f ca="1">IF(Q292&gt;0,"SELECT "&amp;COUNTIF($Q$1:$T291,"&gt;0")+1&amp;", "&amp;$A292&amp;", "&amp;Q292&amp;" UNION ALL","")</f>
        <v/>
      </c>
      <c r="V292" s="6" t="str">
        <f ca="1">IF(R292&gt;0,"SELECT "&amp;COUNTIF($Q$1:$T291,"&gt;0")+COUNTIF($Q292:Q292,"&gt;0")+1&amp;", "&amp;$A292&amp;", "&amp;R292&amp;" UNION ALL","")</f>
        <v/>
      </c>
      <c r="W292" s="6" t="str">
        <f>IF(S292&gt;0,"SELECT "&amp;COUNTIF($Q$1:$T291,"&gt;0")+COUNTIF($Q292:R292,"&gt;0")+1&amp;", "&amp;$A292&amp;", "&amp;S292&amp;" UNION ALL","")</f>
        <v/>
      </c>
      <c r="X292" s="6" t="str">
        <f>IF(T292&gt;0,"SELECT "&amp;COUNTIF($Q$1:$T291,"&gt;0")+COUNTIF($Q292:S292,"&gt;0")+1&amp;", "&amp;$A292&amp;", "&amp;T292&amp;" UNION ALL","")</f>
        <v/>
      </c>
      <c r="Y292" s="5" t="str">
        <f t="shared" ca="1" si="24"/>
        <v/>
      </c>
    </row>
    <row r="293" spans="1:25">
      <c r="A293" s="6">
        <f t="shared" si="21"/>
        <v>324</v>
      </c>
      <c r="B293" s="6" t="s">
        <v>1116</v>
      </c>
      <c r="C293" s="6">
        <v>2</v>
      </c>
      <c r="D293" s="6">
        <v>9</v>
      </c>
      <c r="L293" s="6" t="str">
        <f t="shared" si="25"/>
        <v>SELECT 324, N'spóźnić', 2, 9 UNION ALL</v>
      </c>
      <c r="Q293" s="6">
        <f t="shared" ca="1" si="22"/>
        <v>0</v>
      </c>
      <c r="R293" s="6">
        <f t="shared" ca="1" si="23"/>
        <v>0</v>
      </c>
      <c r="U293" s="6" t="str">
        <f ca="1">IF(Q293&gt;0,"SELECT "&amp;COUNTIF($Q$1:$T292,"&gt;0")+1&amp;", "&amp;$A293&amp;", "&amp;Q293&amp;" UNION ALL","")</f>
        <v/>
      </c>
      <c r="V293" s="6" t="str">
        <f ca="1">IF(R293&gt;0,"SELECT "&amp;COUNTIF($Q$1:$T292,"&gt;0")+COUNTIF($Q293:Q293,"&gt;0")+1&amp;", "&amp;$A293&amp;", "&amp;R293&amp;" UNION ALL","")</f>
        <v/>
      </c>
      <c r="W293" s="6" t="str">
        <f>IF(S293&gt;0,"SELECT "&amp;COUNTIF($Q$1:$T292,"&gt;0")+COUNTIF($Q293:R293,"&gt;0")+1&amp;", "&amp;$A293&amp;", "&amp;S293&amp;" UNION ALL","")</f>
        <v/>
      </c>
      <c r="X293" s="6" t="str">
        <f>IF(T293&gt;0,"SELECT "&amp;COUNTIF($Q$1:$T292,"&gt;0")+COUNTIF($Q293:S293,"&gt;0")+1&amp;", "&amp;$A293&amp;", "&amp;T293&amp;" UNION ALL","")</f>
        <v/>
      </c>
      <c r="Y293" s="5" t="str">
        <f t="shared" ca="1" si="24"/>
        <v/>
      </c>
    </row>
    <row r="294" spans="1:25">
      <c r="A294" s="6">
        <f t="shared" si="21"/>
        <v>325</v>
      </c>
      <c r="B294" s="6" t="s">
        <v>1117</v>
      </c>
      <c r="C294" s="6">
        <v>2</v>
      </c>
      <c r="D294" s="6">
        <v>9</v>
      </c>
      <c r="L294" s="6" t="str">
        <f t="shared" si="25"/>
        <v>SELECT 325, N'poparzyć', 2, 9 UNION ALL</v>
      </c>
      <c r="Q294" s="6">
        <f t="shared" ca="1" si="22"/>
        <v>0</v>
      </c>
      <c r="R294" s="6">
        <f t="shared" ca="1" si="23"/>
        <v>0</v>
      </c>
      <c r="U294" s="6" t="str">
        <f ca="1">IF(Q294&gt;0,"SELECT "&amp;COUNTIF($Q$1:$T293,"&gt;0")+1&amp;", "&amp;$A294&amp;", "&amp;Q294&amp;" UNION ALL","")</f>
        <v/>
      </c>
      <c r="V294" s="6" t="str">
        <f ca="1">IF(R294&gt;0,"SELECT "&amp;COUNTIF($Q$1:$T293,"&gt;0")+COUNTIF($Q294:Q294,"&gt;0")+1&amp;", "&amp;$A294&amp;", "&amp;R294&amp;" UNION ALL","")</f>
        <v/>
      </c>
      <c r="W294" s="6" t="str">
        <f>IF(S294&gt;0,"SELECT "&amp;COUNTIF($Q$1:$T293,"&gt;0")+COUNTIF($Q294:R294,"&gt;0")+1&amp;", "&amp;$A294&amp;", "&amp;S294&amp;" UNION ALL","")</f>
        <v/>
      </c>
      <c r="X294" s="6" t="str">
        <f>IF(T294&gt;0,"SELECT "&amp;COUNTIF($Q$1:$T293,"&gt;0")+COUNTIF($Q294:S294,"&gt;0")+1&amp;", "&amp;$A294&amp;", "&amp;T294&amp;" UNION ALL","")</f>
        <v/>
      </c>
      <c r="Y294" s="5" t="str">
        <f t="shared" ca="1" si="24"/>
        <v/>
      </c>
    </row>
    <row r="295" spans="1:25">
      <c r="A295" s="6">
        <f t="shared" si="21"/>
        <v>326</v>
      </c>
      <c r="B295" s="6" t="s">
        <v>1118</v>
      </c>
      <c r="C295" s="6">
        <v>2</v>
      </c>
      <c r="D295" s="6">
        <v>9</v>
      </c>
      <c r="L295" s="6" t="str">
        <f t="shared" si="25"/>
        <v>SELECT 326, N'dowiadywać', 2, 9 UNION ALL</v>
      </c>
      <c r="Q295" s="6">
        <f t="shared" ca="1" si="22"/>
        <v>0</v>
      </c>
      <c r="R295" s="6">
        <f t="shared" ca="1" si="23"/>
        <v>0</v>
      </c>
      <c r="U295" s="6" t="str">
        <f ca="1">IF(Q295&gt;0,"SELECT "&amp;COUNTIF($Q$1:$T294,"&gt;0")+1&amp;", "&amp;$A295&amp;", "&amp;Q295&amp;" UNION ALL","")</f>
        <v/>
      </c>
      <c r="V295" s="6" t="str">
        <f ca="1">IF(R295&gt;0,"SELECT "&amp;COUNTIF($Q$1:$T294,"&gt;0")+COUNTIF($Q295:Q295,"&gt;0")+1&amp;", "&amp;$A295&amp;", "&amp;R295&amp;" UNION ALL","")</f>
        <v/>
      </c>
      <c r="W295" s="6" t="str">
        <f>IF(S295&gt;0,"SELECT "&amp;COUNTIF($Q$1:$T294,"&gt;0")+COUNTIF($Q295:R295,"&gt;0")+1&amp;", "&amp;$A295&amp;", "&amp;S295&amp;" UNION ALL","")</f>
        <v/>
      </c>
      <c r="X295" s="6" t="str">
        <f>IF(T295&gt;0,"SELECT "&amp;COUNTIF($Q$1:$T294,"&gt;0")+COUNTIF($Q295:S295,"&gt;0")+1&amp;", "&amp;$A295&amp;", "&amp;T295&amp;" UNION ALL","")</f>
        <v/>
      </c>
      <c r="Y295" s="5" t="str">
        <f t="shared" ca="1" si="24"/>
        <v/>
      </c>
    </row>
    <row r="296" spans="1:25">
      <c r="A296" s="6">
        <f t="shared" si="21"/>
        <v>327</v>
      </c>
      <c r="B296" s="6" t="s">
        <v>1119</v>
      </c>
      <c r="C296" s="6">
        <v>2</v>
      </c>
      <c r="D296" s="6">
        <v>7</v>
      </c>
      <c r="L296" s="6" t="str">
        <f t="shared" si="25"/>
        <v>SELECT 327, N'przeziębić', 2, 7 UNION ALL</v>
      </c>
      <c r="Q296" s="6">
        <f t="shared" ca="1" si="22"/>
        <v>0</v>
      </c>
      <c r="R296" s="6">
        <f t="shared" ca="1" si="23"/>
        <v>0</v>
      </c>
      <c r="U296" s="6" t="str">
        <f ca="1">IF(Q296&gt;0,"SELECT "&amp;COUNTIF($Q$1:$T295,"&gt;0")+1&amp;", "&amp;$A296&amp;", "&amp;Q296&amp;" UNION ALL","")</f>
        <v/>
      </c>
      <c r="V296" s="6" t="str">
        <f ca="1">IF(R296&gt;0,"SELECT "&amp;COUNTIF($Q$1:$T295,"&gt;0")+COUNTIF($Q296:Q296,"&gt;0")+1&amp;", "&amp;$A296&amp;", "&amp;R296&amp;" UNION ALL","")</f>
        <v/>
      </c>
      <c r="W296" s="6" t="str">
        <f>IF(S296&gt;0,"SELECT "&amp;COUNTIF($Q$1:$T295,"&gt;0")+COUNTIF($Q296:R296,"&gt;0")+1&amp;", "&amp;$A296&amp;", "&amp;S296&amp;" UNION ALL","")</f>
        <v/>
      </c>
      <c r="X296" s="6" t="str">
        <f>IF(T296&gt;0,"SELECT "&amp;COUNTIF($Q$1:$T295,"&gt;0")+COUNTIF($Q296:S296,"&gt;0")+1&amp;", "&amp;$A296&amp;", "&amp;T296&amp;" UNION ALL","")</f>
        <v/>
      </c>
      <c r="Y296" s="5" t="str">
        <f t="shared" ca="1" si="24"/>
        <v/>
      </c>
    </row>
    <row r="297" spans="1:25">
      <c r="A297" s="6">
        <f t="shared" ref="A297:A360" si="26">A296+1</f>
        <v>328</v>
      </c>
      <c r="B297" s="6" t="s">
        <v>1120</v>
      </c>
      <c r="C297" s="6">
        <v>2</v>
      </c>
      <c r="D297" s="6">
        <v>8</v>
      </c>
      <c r="L297" s="6" t="str">
        <f t="shared" si="25"/>
        <v>SELECT 328, N'odkręcać', 2, 8 UNION ALL</v>
      </c>
      <c r="Q297" s="6">
        <f t="shared" ca="1" si="22"/>
        <v>0</v>
      </c>
      <c r="R297" s="6">
        <f t="shared" ca="1" si="23"/>
        <v>0</v>
      </c>
      <c r="U297" s="6" t="str">
        <f ca="1">IF(Q297&gt;0,"SELECT "&amp;COUNTIF($Q$1:$T296,"&gt;0")+1&amp;", "&amp;$A297&amp;", "&amp;Q297&amp;" UNION ALL","")</f>
        <v/>
      </c>
      <c r="V297" s="6" t="str">
        <f ca="1">IF(R297&gt;0,"SELECT "&amp;COUNTIF($Q$1:$T296,"&gt;0")+COUNTIF($Q297:Q297,"&gt;0")+1&amp;", "&amp;$A297&amp;", "&amp;R297&amp;" UNION ALL","")</f>
        <v/>
      </c>
      <c r="W297" s="6" t="str">
        <f>IF(S297&gt;0,"SELECT "&amp;COUNTIF($Q$1:$T296,"&gt;0")+COUNTIF($Q297:R297,"&gt;0")+1&amp;", "&amp;$A297&amp;", "&amp;S297&amp;" UNION ALL","")</f>
        <v/>
      </c>
      <c r="X297" s="6" t="str">
        <f>IF(T297&gt;0,"SELECT "&amp;COUNTIF($Q$1:$T296,"&gt;0")+COUNTIF($Q297:S297,"&gt;0")+1&amp;", "&amp;$A297&amp;", "&amp;T297&amp;" UNION ALL","")</f>
        <v/>
      </c>
      <c r="Y297" s="5" t="str">
        <f t="shared" ca="1" si="24"/>
        <v/>
      </c>
    </row>
    <row r="298" spans="1:25">
      <c r="A298" s="6">
        <f t="shared" si="26"/>
        <v>329</v>
      </c>
      <c r="B298" s="6" t="s">
        <v>1121</v>
      </c>
      <c r="C298" s="6">
        <v>2</v>
      </c>
      <c r="D298" s="6">
        <v>8</v>
      </c>
      <c r="L298" s="6" t="str">
        <f t="shared" si="25"/>
        <v>SELECT 329, N'zawiązywać', 2, 8 UNION ALL</v>
      </c>
      <c r="Q298" s="6">
        <f t="shared" ca="1" si="22"/>
        <v>0</v>
      </c>
      <c r="R298" s="6">
        <f t="shared" ca="1" si="23"/>
        <v>0</v>
      </c>
      <c r="U298" s="6" t="str">
        <f ca="1">IF(Q298&gt;0,"SELECT "&amp;COUNTIF($Q$1:$T297,"&gt;0")+1&amp;", "&amp;$A298&amp;", "&amp;Q298&amp;" UNION ALL","")</f>
        <v/>
      </c>
      <c r="V298" s="6" t="str">
        <f ca="1">IF(R298&gt;0,"SELECT "&amp;COUNTIF($Q$1:$T297,"&gt;0")+COUNTIF($Q298:Q298,"&gt;0")+1&amp;", "&amp;$A298&amp;", "&amp;R298&amp;" UNION ALL","")</f>
        <v/>
      </c>
      <c r="W298" s="6" t="str">
        <f>IF(S298&gt;0,"SELECT "&amp;COUNTIF($Q$1:$T297,"&gt;0")+COUNTIF($Q298:R298,"&gt;0")+1&amp;", "&amp;$A298&amp;", "&amp;S298&amp;" UNION ALL","")</f>
        <v/>
      </c>
      <c r="X298" s="6" t="str">
        <f>IF(T298&gt;0,"SELECT "&amp;COUNTIF($Q$1:$T297,"&gt;0")+COUNTIF($Q298:S298,"&gt;0")+1&amp;", "&amp;$A298&amp;", "&amp;T298&amp;" UNION ALL","")</f>
        <v/>
      </c>
      <c r="Y298" s="5" t="str">
        <f t="shared" ca="1" si="24"/>
        <v/>
      </c>
    </row>
    <row r="299" spans="1:25">
      <c r="A299" s="6">
        <f t="shared" si="26"/>
        <v>330</v>
      </c>
      <c r="B299" s="6" t="s">
        <v>1122</v>
      </c>
      <c r="C299" s="6">
        <v>2</v>
      </c>
      <c r="D299" s="6">
        <v>8</v>
      </c>
      <c r="L299" s="6" t="str">
        <f t="shared" si="25"/>
        <v>SELECT 330, N'nazywać', 2, 8 UNION ALL</v>
      </c>
      <c r="Q299" s="6">
        <f t="shared" ca="1" si="22"/>
        <v>0</v>
      </c>
      <c r="R299" s="6">
        <f t="shared" ca="1" si="23"/>
        <v>0</v>
      </c>
      <c r="U299" s="6" t="str">
        <f ca="1">IF(Q299&gt;0,"SELECT "&amp;COUNTIF($Q$1:$T298,"&gt;0")+1&amp;", "&amp;$A299&amp;", "&amp;Q299&amp;" UNION ALL","")</f>
        <v/>
      </c>
      <c r="V299" s="6" t="str">
        <f ca="1">IF(R299&gt;0,"SELECT "&amp;COUNTIF($Q$1:$T298,"&gt;0")+COUNTIF($Q299:Q299,"&gt;0")+1&amp;", "&amp;$A299&amp;", "&amp;R299&amp;" UNION ALL","")</f>
        <v/>
      </c>
      <c r="W299" s="6" t="str">
        <f>IF(S299&gt;0,"SELECT "&amp;COUNTIF($Q$1:$T298,"&gt;0")+COUNTIF($Q299:R299,"&gt;0")+1&amp;", "&amp;$A299&amp;", "&amp;S299&amp;" UNION ALL","")</f>
        <v/>
      </c>
      <c r="X299" s="6" t="str">
        <f>IF(T299&gt;0,"SELECT "&amp;COUNTIF($Q$1:$T298,"&gt;0")+COUNTIF($Q299:S299,"&gt;0")+1&amp;", "&amp;$A299&amp;", "&amp;T299&amp;" UNION ALL","")</f>
        <v/>
      </c>
      <c r="Y299" s="5" t="str">
        <f t="shared" ca="1" si="24"/>
        <v/>
      </c>
    </row>
    <row r="300" spans="1:25">
      <c r="A300" s="6">
        <f t="shared" si="26"/>
        <v>331</v>
      </c>
      <c r="B300" s="6" t="s">
        <v>1123</v>
      </c>
      <c r="C300" s="6">
        <v>2</v>
      </c>
      <c r="D300" s="6">
        <v>10</v>
      </c>
      <c r="L300" s="6" t="str">
        <f t="shared" si="25"/>
        <v>SELECT 331, N'mieć', 2, 10 UNION ALL</v>
      </c>
      <c r="Q300" s="6">
        <f t="shared" ca="1" si="22"/>
        <v>0</v>
      </c>
      <c r="R300" s="6">
        <f t="shared" ca="1" si="23"/>
        <v>0</v>
      </c>
      <c r="U300" s="6" t="str">
        <f ca="1">IF(Q300&gt;0,"SELECT "&amp;COUNTIF($Q$1:$T299,"&gt;0")+1&amp;", "&amp;$A300&amp;", "&amp;Q300&amp;" UNION ALL","")</f>
        <v/>
      </c>
      <c r="V300" s="6" t="str">
        <f ca="1">IF(R300&gt;0,"SELECT "&amp;COUNTIF($Q$1:$T299,"&gt;0")+COUNTIF($Q300:Q300,"&gt;0")+1&amp;", "&amp;$A300&amp;", "&amp;R300&amp;" UNION ALL","")</f>
        <v/>
      </c>
      <c r="W300" s="6" t="str">
        <f>IF(S300&gt;0,"SELECT "&amp;COUNTIF($Q$1:$T299,"&gt;0")+COUNTIF($Q300:R300,"&gt;0")+1&amp;", "&amp;$A300&amp;", "&amp;S300&amp;" UNION ALL","")</f>
        <v/>
      </c>
      <c r="X300" s="6" t="str">
        <f>IF(T300&gt;0,"SELECT "&amp;COUNTIF($Q$1:$T299,"&gt;0")+COUNTIF($Q300:S300,"&gt;0")+1&amp;", "&amp;$A300&amp;", "&amp;T300&amp;" UNION ALL","")</f>
        <v/>
      </c>
      <c r="Y300" s="5" t="str">
        <f t="shared" ca="1" si="24"/>
        <v/>
      </c>
    </row>
    <row r="301" spans="1:25">
      <c r="A301" s="6">
        <f t="shared" si="26"/>
        <v>332</v>
      </c>
      <c r="B301" s="6" t="s">
        <v>1124</v>
      </c>
      <c r="C301" s="6">
        <v>2</v>
      </c>
      <c r="D301" s="6">
        <v>10</v>
      </c>
      <c r="L301" s="6" t="str">
        <f t="shared" si="25"/>
        <v>SELECT 332, N'musieć', 2, 10 UNION ALL</v>
      </c>
      <c r="Q301" s="6">
        <f t="shared" ca="1" si="22"/>
        <v>0</v>
      </c>
      <c r="R301" s="6">
        <f t="shared" ca="1" si="23"/>
        <v>0</v>
      </c>
      <c r="U301" s="6" t="str">
        <f ca="1">IF(Q301&gt;0,"SELECT "&amp;COUNTIF($Q$1:$T300,"&gt;0")+1&amp;", "&amp;$A301&amp;", "&amp;Q301&amp;" UNION ALL","")</f>
        <v/>
      </c>
      <c r="V301" s="6" t="str">
        <f ca="1">IF(R301&gt;0,"SELECT "&amp;COUNTIF($Q$1:$T300,"&gt;0")+COUNTIF($Q301:Q301,"&gt;0")+1&amp;", "&amp;$A301&amp;", "&amp;R301&amp;" UNION ALL","")</f>
        <v/>
      </c>
      <c r="W301" s="6" t="str">
        <f>IF(S301&gt;0,"SELECT "&amp;COUNTIF($Q$1:$T300,"&gt;0")+COUNTIF($Q301:R301,"&gt;0")+1&amp;", "&amp;$A301&amp;", "&amp;S301&amp;" UNION ALL","")</f>
        <v/>
      </c>
      <c r="X301" s="6" t="str">
        <f>IF(T301&gt;0,"SELECT "&amp;COUNTIF($Q$1:$T300,"&gt;0")+COUNTIF($Q301:S301,"&gt;0")+1&amp;", "&amp;$A301&amp;", "&amp;T301&amp;" UNION ALL","")</f>
        <v/>
      </c>
      <c r="Y301" s="5" t="str">
        <f t="shared" ca="1" si="24"/>
        <v/>
      </c>
    </row>
    <row r="302" spans="1:25">
      <c r="A302" s="6">
        <f t="shared" si="26"/>
        <v>333</v>
      </c>
      <c r="B302" s="6" t="s">
        <v>1125</v>
      </c>
      <c r="C302" s="6">
        <v>2</v>
      </c>
      <c r="D302" s="6">
        <v>10</v>
      </c>
      <c r="L302" s="6" t="str">
        <f t="shared" si="25"/>
        <v>SELECT 333, N'zauważyć', 2, 10 UNION ALL</v>
      </c>
      <c r="Q302" s="6">
        <f t="shared" ca="1" si="22"/>
        <v>0</v>
      </c>
      <c r="R302" s="6">
        <f t="shared" ca="1" si="23"/>
        <v>0</v>
      </c>
      <c r="U302" s="6" t="str">
        <f ca="1">IF(Q302&gt;0,"SELECT "&amp;COUNTIF($Q$1:$T301,"&gt;0")+1&amp;", "&amp;$A302&amp;", "&amp;Q302&amp;" UNION ALL","")</f>
        <v/>
      </c>
      <c r="V302" s="6" t="str">
        <f ca="1">IF(R302&gt;0,"SELECT "&amp;COUNTIF($Q$1:$T301,"&gt;0")+COUNTIF($Q302:Q302,"&gt;0")+1&amp;", "&amp;$A302&amp;", "&amp;R302&amp;" UNION ALL","")</f>
        <v/>
      </c>
      <c r="W302" s="6" t="str">
        <f>IF(S302&gt;0,"SELECT "&amp;COUNTIF($Q$1:$T301,"&gt;0")+COUNTIF($Q302:R302,"&gt;0")+1&amp;", "&amp;$A302&amp;", "&amp;S302&amp;" UNION ALL","")</f>
        <v/>
      </c>
      <c r="X302" s="6" t="str">
        <f>IF(T302&gt;0,"SELECT "&amp;COUNTIF($Q$1:$T301,"&gt;0")+COUNTIF($Q302:S302,"&gt;0")+1&amp;", "&amp;$A302&amp;", "&amp;T302&amp;" UNION ALL","")</f>
        <v/>
      </c>
      <c r="Y302" s="5" t="str">
        <f t="shared" ca="1" si="24"/>
        <v/>
      </c>
    </row>
    <row r="303" spans="1:25">
      <c r="A303" s="6">
        <f t="shared" si="26"/>
        <v>334</v>
      </c>
      <c r="B303" s="6" t="s">
        <v>1126</v>
      </c>
      <c r="C303" s="6">
        <v>2</v>
      </c>
      <c r="D303" s="6">
        <v>10</v>
      </c>
      <c r="L303" s="6" t="str">
        <f t="shared" si="25"/>
        <v>SELECT 334, N'popełniać', 2, 10 UNION ALL</v>
      </c>
      <c r="Q303" s="6">
        <f t="shared" ca="1" si="22"/>
        <v>0</v>
      </c>
      <c r="R303" s="6">
        <f t="shared" ca="1" si="23"/>
        <v>0</v>
      </c>
      <c r="U303" s="6" t="str">
        <f ca="1">IF(Q303&gt;0,"SELECT "&amp;COUNTIF($Q$1:$T302,"&gt;0")+1&amp;", "&amp;$A303&amp;", "&amp;Q303&amp;" UNION ALL","")</f>
        <v/>
      </c>
      <c r="V303" s="6" t="str">
        <f ca="1">IF(R303&gt;0,"SELECT "&amp;COUNTIF($Q$1:$T302,"&gt;0")+COUNTIF($Q303:Q303,"&gt;0")+1&amp;", "&amp;$A303&amp;", "&amp;R303&amp;" UNION ALL","")</f>
        <v/>
      </c>
      <c r="W303" s="6" t="str">
        <f>IF(S303&gt;0,"SELECT "&amp;COUNTIF($Q$1:$T302,"&gt;0")+COUNTIF($Q303:R303,"&gt;0")+1&amp;", "&amp;$A303&amp;", "&amp;S303&amp;" UNION ALL","")</f>
        <v/>
      </c>
      <c r="X303" s="6" t="str">
        <f>IF(T303&gt;0,"SELECT "&amp;COUNTIF($Q$1:$T302,"&gt;0")+COUNTIF($Q303:S303,"&gt;0")+1&amp;", "&amp;$A303&amp;", "&amp;T303&amp;" UNION ALL","")</f>
        <v/>
      </c>
      <c r="Y303" s="5" t="str">
        <f t="shared" ca="1" si="24"/>
        <v/>
      </c>
    </row>
    <row r="304" spans="1:25">
      <c r="A304" s="6">
        <f t="shared" si="26"/>
        <v>335</v>
      </c>
      <c r="B304" s="6" t="s">
        <v>1127</v>
      </c>
      <c r="C304" s="6">
        <v>2</v>
      </c>
      <c r="D304" s="6">
        <v>10</v>
      </c>
      <c r="L304" s="6" t="str">
        <f t="shared" si="25"/>
        <v>SELECT 335, N'rozmawiać', 2, 10 UNION ALL</v>
      </c>
      <c r="Q304" s="6">
        <f t="shared" ca="1" si="22"/>
        <v>0</v>
      </c>
      <c r="R304" s="6">
        <f t="shared" ca="1" si="23"/>
        <v>0</v>
      </c>
      <c r="U304" s="6" t="str">
        <f ca="1">IF(Q304&gt;0,"SELECT "&amp;COUNTIF($Q$1:$T303,"&gt;0")+1&amp;", "&amp;$A304&amp;", "&amp;Q304&amp;" UNION ALL","")</f>
        <v/>
      </c>
      <c r="V304" s="6" t="str">
        <f ca="1">IF(R304&gt;0,"SELECT "&amp;COUNTIF($Q$1:$T303,"&gt;0")+COUNTIF($Q304:Q304,"&gt;0")+1&amp;", "&amp;$A304&amp;", "&amp;R304&amp;" UNION ALL","")</f>
        <v/>
      </c>
      <c r="W304" s="6" t="str">
        <f>IF(S304&gt;0,"SELECT "&amp;COUNTIF($Q$1:$T303,"&gt;0")+COUNTIF($Q304:R304,"&gt;0")+1&amp;", "&amp;$A304&amp;", "&amp;S304&amp;" UNION ALL","")</f>
        <v/>
      </c>
      <c r="X304" s="6" t="str">
        <f>IF(T304&gt;0,"SELECT "&amp;COUNTIF($Q$1:$T303,"&gt;0")+COUNTIF($Q304:S304,"&gt;0")+1&amp;", "&amp;$A304&amp;", "&amp;T304&amp;" UNION ALL","")</f>
        <v/>
      </c>
      <c r="Y304" s="5" t="str">
        <f t="shared" ca="1" si="24"/>
        <v/>
      </c>
    </row>
    <row r="305" spans="1:25">
      <c r="A305" s="6">
        <f t="shared" si="26"/>
        <v>336</v>
      </c>
      <c r="B305" s="6" t="s">
        <v>1128</v>
      </c>
      <c r="C305" s="6">
        <v>2</v>
      </c>
      <c r="D305" s="6">
        <v>10</v>
      </c>
      <c r="L305" s="6" t="str">
        <f t="shared" si="25"/>
        <v>SELECT 336, N'odzyskiwać', 2, 10 UNION ALL</v>
      </c>
      <c r="Q305" s="6">
        <f t="shared" ca="1" si="22"/>
        <v>0</v>
      </c>
      <c r="R305" s="6">
        <f t="shared" ca="1" si="23"/>
        <v>0</v>
      </c>
      <c r="U305" s="6" t="str">
        <f ca="1">IF(Q305&gt;0,"SELECT "&amp;COUNTIF($Q$1:$T304,"&gt;0")+1&amp;", "&amp;$A305&amp;", "&amp;Q305&amp;" UNION ALL","")</f>
        <v/>
      </c>
      <c r="V305" s="6" t="str">
        <f ca="1">IF(R305&gt;0,"SELECT "&amp;COUNTIF($Q$1:$T304,"&gt;0")+COUNTIF($Q305:Q305,"&gt;0")+1&amp;", "&amp;$A305&amp;", "&amp;R305&amp;" UNION ALL","")</f>
        <v/>
      </c>
      <c r="W305" s="6" t="str">
        <f>IF(S305&gt;0,"SELECT "&amp;COUNTIF($Q$1:$T304,"&gt;0")+COUNTIF($Q305:R305,"&gt;0")+1&amp;", "&amp;$A305&amp;", "&amp;S305&amp;" UNION ALL","")</f>
        <v/>
      </c>
      <c r="X305" s="6" t="str">
        <f>IF(T305&gt;0,"SELECT "&amp;COUNTIF($Q$1:$T304,"&gt;0")+COUNTIF($Q305:S305,"&gt;0")+1&amp;", "&amp;$A305&amp;", "&amp;T305&amp;" UNION ALL","")</f>
        <v/>
      </c>
      <c r="Y305" s="5" t="str">
        <f t="shared" ca="1" si="24"/>
        <v/>
      </c>
    </row>
    <row r="306" spans="1:25">
      <c r="A306" s="6">
        <f t="shared" si="26"/>
        <v>337</v>
      </c>
      <c r="B306" s="6" t="s">
        <v>1129</v>
      </c>
      <c r="C306" s="6">
        <v>2</v>
      </c>
      <c r="D306" s="6">
        <v>10</v>
      </c>
      <c r="L306" s="6" t="str">
        <f t="shared" si="25"/>
        <v>SELECT 337, N'chcieć', 2, 10 UNION ALL</v>
      </c>
      <c r="Q306" s="6">
        <f t="shared" ca="1" si="22"/>
        <v>0</v>
      </c>
      <c r="R306" s="6">
        <f t="shared" ca="1" si="23"/>
        <v>0</v>
      </c>
      <c r="U306" s="6" t="str">
        <f ca="1">IF(Q306&gt;0,"SELECT "&amp;COUNTIF($Q$1:$T305,"&gt;0")+1&amp;", "&amp;$A306&amp;", "&amp;Q306&amp;" UNION ALL","")</f>
        <v/>
      </c>
      <c r="V306" s="6" t="str">
        <f ca="1">IF(R306&gt;0,"SELECT "&amp;COUNTIF($Q$1:$T305,"&gt;0")+COUNTIF($Q306:Q306,"&gt;0")+1&amp;", "&amp;$A306&amp;", "&amp;R306&amp;" UNION ALL","")</f>
        <v/>
      </c>
      <c r="W306" s="6" t="str">
        <f>IF(S306&gt;0,"SELECT "&amp;COUNTIF($Q$1:$T305,"&gt;0")+COUNTIF($Q306:R306,"&gt;0")+1&amp;", "&amp;$A306&amp;", "&amp;S306&amp;" UNION ALL","")</f>
        <v/>
      </c>
      <c r="X306" s="6" t="str">
        <f>IF(T306&gt;0,"SELECT "&amp;COUNTIF($Q$1:$T305,"&gt;0")+COUNTIF($Q306:S306,"&gt;0")+1&amp;", "&amp;$A306&amp;", "&amp;T306&amp;" UNION ALL","")</f>
        <v/>
      </c>
      <c r="Y306" s="5" t="str">
        <f t="shared" ca="1" si="24"/>
        <v/>
      </c>
    </row>
    <row r="307" spans="1:25">
      <c r="A307" s="6">
        <f t="shared" si="26"/>
        <v>338</v>
      </c>
      <c r="B307" s="6" t="s">
        <v>1130</v>
      </c>
      <c r="C307" s="6">
        <v>2</v>
      </c>
      <c r="D307" s="6">
        <v>10</v>
      </c>
      <c r="L307" s="6" t="str">
        <f t="shared" si="25"/>
        <v>SELECT 338, N'dotykać', 2, 10 UNION ALL</v>
      </c>
      <c r="Q307" s="6">
        <f t="shared" ca="1" si="22"/>
        <v>0</v>
      </c>
      <c r="R307" s="6">
        <f t="shared" ca="1" si="23"/>
        <v>0</v>
      </c>
      <c r="U307" s="6" t="str">
        <f ca="1">IF(Q307&gt;0,"SELECT "&amp;COUNTIF($Q$1:$T306,"&gt;0")+1&amp;", "&amp;$A307&amp;", "&amp;Q307&amp;" UNION ALL","")</f>
        <v/>
      </c>
      <c r="V307" s="6" t="str">
        <f ca="1">IF(R307&gt;0,"SELECT "&amp;COUNTIF($Q$1:$T306,"&gt;0")+COUNTIF($Q307:Q307,"&gt;0")+1&amp;", "&amp;$A307&amp;", "&amp;R307&amp;" UNION ALL","")</f>
        <v/>
      </c>
      <c r="W307" s="6" t="str">
        <f>IF(S307&gt;0,"SELECT "&amp;COUNTIF($Q$1:$T306,"&gt;0")+COUNTIF($Q307:R307,"&gt;0")+1&amp;", "&amp;$A307&amp;", "&amp;S307&amp;" UNION ALL","")</f>
        <v/>
      </c>
      <c r="X307" s="6" t="str">
        <f>IF(T307&gt;0,"SELECT "&amp;COUNTIF($Q$1:$T306,"&gt;0")+COUNTIF($Q307:S307,"&gt;0")+1&amp;", "&amp;$A307&amp;", "&amp;T307&amp;" UNION ALL","")</f>
        <v/>
      </c>
      <c r="Y307" s="5" t="str">
        <f t="shared" ca="1" si="24"/>
        <v/>
      </c>
    </row>
    <row r="308" spans="1:25">
      <c r="A308" s="6">
        <f t="shared" si="26"/>
        <v>339</v>
      </c>
      <c r="B308" s="6" t="s">
        <v>1131</v>
      </c>
      <c r="C308" s="6">
        <v>1</v>
      </c>
      <c r="D308" s="6">
        <v>10</v>
      </c>
      <c r="L308" s="6" t="str">
        <f t="shared" si="25"/>
        <v>SELECT 339, N'telewizja', 1, 10 UNION ALL</v>
      </c>
      <c r="M308" s="6" t="s">
        <v>1427</v>
      </c>
      <c r="Q308" s="6">
        <f t="shared" ca="1" si="22"/>
        <v>59</v>
      </c>
      <c r="R308" s="6">
        <f t="shared" ca="1" si="23"/>
        <v>0</v>
      </c>
      <c r="U308" s="6" t="str">
        <f ca="1">IF(Q308&gt;0,"SELECT "&amp;COUNTIF($Q$1:$T307,"&gt;0")+1&amp;", "&amp;$A308&amp;", "&amp;Q308&amp;" UNION ALL","")</f>
        <v>SELECT 301, 339, 59 UNION ALL</v>
      </c>
      <c r="V308" s="6" t="str">
        <f ca="1">IF(R308&gt;0,"SELECT "&amp;COUNTIF($Q$1:$T307,"&gt;0")+COUNTIF($Q308:Q308,"&gt;0")+1&amp;", "&amp;$A308&amp;", "&amp;R308&amp;" UNION ALL","")</f>
        <v/>
      </c>
      <c r="W308" s="6" t="str">
        <f>IF(S308&gt;0,"SELECT "&amp;COUNTIF($Q$1:$T307,"&gt;0")+COUNTIF($Q308:R308,"&gt;0")+1&amp;", "&amp;$A308&amp;", "&amp;S308&amp;" UNION ALL","")</f>
        <v/>
      </c>
      <c r="X308" s="6" t="str">
        <f>IF(T308&gt;0,"SELECT "&amp;COUNTIF($Q$1:$T307,"&gt;0")+COUNTIF($Q308:S308,"&gt;0")+1&amp;", "&amp;$A308&amp;", "&amp;T308&amp;" UNION ALL","")</f>
        <v/>
      </c>
      <c r="Y308" s="5" t="str">
        <f t="shared" ca="1" si="24"/>
        <v>SELECT 301, 339, 59 UNION ALL</v>
      </c>
    </row>
    <row r="309" spans="1:25">
      <c r="A309" s="6">
        <f t="shared" si="26"/>
        <v>340</v>
      </c>
      <c r="B309" s="6" t="s">
        <v>1132</v>
      </c>
      <c r="C309" s="6">
        <v>1</v>
      </c>
      <c r="D309" s="6">
        <v>10</v>
      </c>
      <c r="L309" s="6" t="str">
        <f t="shared" si="25"/>
        <v>SELECT 340, N'internet', 1, 10 UNION ALL</v>
      </c>
      <c r="M309" s="6" t="s">
        <v>1427</v>
      </c>
      <c r="Q309" s="6">
        <f t="shared" ca="1" si="22"/>
        <v>59</v>
      </c>
      <c r="R309" s="6">
        <f t="shared" ca="1" si="23"/>
        <v>0</v>
      </c>
      <c r="U309" s="6" t="str">
        <f ca="1">IF(Q309&gt;0,"SELECT "&amp;COUNTIF($Q$1:$T308,"&gt;0")+1&amp;", "&amp;$A309&amp;", "&amp;Q309&amp;" UNION ALL","")</f>
        <v>SELECT 302, 340, 59 UNION ALL</v>
      </c>
      <c r="V309" s="6" t="str">
        <f ca="1">IF(R309&gt;0,"SELECT "&amp;COUNTIF($Q$1:$T308,"&gt;0")+COUNTIF($Q309:Q309,"&gt;0")+1&amp;", "&amp;$A309&amp;", "&amp;R309&amp;" UNION ALL","")</f>
        <v/>
      </c>
      <c r="W309" s="6" t="str">
        <f>IF(S309&gt;0,"SELECT "&amp;COUNTIF($Q$1:$T308,"&gt;0")+COUNTIF($Q309:R309,"&gt;0")+1&amp;", "&amp;$A309&amp;", "&amp;S309&amp;" UNION ALL","")</f>
        <v/>
      </c>
      <c r="X309" s="6" t="str">
        <f>IF(T309&gt;0,"SELECT "&amp;COUNTIF($Q$1:$T308,"&gt;0")+COUNTIF($Q309:S309,"&gt;0")+1&amp;", "&amp;$A309&amp;", "&amp;T309&amp;" UNION ALL","")</f>
        <v/>
      </c>
      <c r="Y309" s="5" t="str">
        <f t="shared" ca="1" si="24"/>
        <v>SELECT 302, 340, 59 UNION ALL</v>
      </c>
    </row>
    <row r="310" spans="1:25">
      <c r="A310" s="6">
        <f t="shared" si="26"/>
        <v>341</v>
      </c>
      <c r="B310" s="6" t="s">
        <v>1133</v>
      </c>
      <c r="C310" s="6">
        <v>1</v>
      </c>
      <c r="D310" s="6">
        <v>10</v>
      </c>
      <c r="L310" s="6" t="str">
        <f t="shared" si="25"/>
        <v>SELECT 341, N'prasa', 1, 10 UNION ALL</v>
      </c>
      <c r="M310" s="6" t="s">
        <v>1427</v>
      </c>
      <c r="Q310" s="6">
        <f t="shared" ca="1" si="22"/>
        <v>59</v>
      </c>
      <c r="R310" s="6">
        <f t="shared" ca="1" si="23"/>
        <v>0</v>
      </c>
      <c r="U310" s="6" t="str">
        <f ca="1">IF(Q310&gt;0,"SELECT "&amp;COUNTIF($Q$1:$T309,"&gt;0")+1&amp;", "&amp;$A310&amp;", "&amp;Q310&amp;" UNION ALL","")</f>
        <v>SELECT 303, 341, 59 UNION ALL</v>
      </c>
      <c r="V310" s="6" t="str">
        <f ca="1">IF(R310&gt;0,"SELECT "&amp;COUNTIF($Q$1:$T309,"&gt;0")+COUNTIF($Q310:Q310,"&gt;0")+1&amp;", "&amp;$A310&amp;", "&amp;R310&amp;" UNION ALL","")</f>
        <v/>
      </c>
      <c r="W310" s="6" t="str">
        <f>IF(S310&gt;0,"SELECT "&amp;COUNTIF($Q$1:$T309,"&gt;0")+COUNTIF($Q310:R310,"&gt;0")+1&amp;", "&amp;$A310&amp;", "&amp;S310&amp;" UNION ALL","")</f>
        <v/>
      </c>
      <c r="X310" s="6" t="str">
        <f>IF(T310&gt;0,"SELECT "&amp;COUNTIF($Q$1:$T309,"&gt;0")+COUNTIF($Q310:S310,"&gt;0")+1&amp;", "&amp;$A310&amp;", "&amp;T310&amp;" UNION ALL","")</f>
        <v/>
      </c>
      <c r="Y310" s="5" t="str">
        <f t="shared" ca="1" si="24"/>
        <v>SELECT 303, 341, 59 UNION ALL</v>
      </c>
    </row>
    <row r="311" spans="1:25">
      <c r="A311" s="6">
        <f t="shared" si="26"/>
        <v>342</v>
      </c>
      <c r="B311" s="6" t="s">
        <v>1134</v>
      </c>
      <c r="C311" s="6">
        <v>2</v>
      </c>
      <c r="D311" s="6">
        <v>10</v>
      </c>
      <c r="L311" s="6" t="str">
        <f t="shared" si="25"/>
        <v>SELECT 342, N'szukać', 2, 10 UNION ALL</v>
      </c>
      <c r="Q311" s="6">
        <f t="shared" ca="1" si="22"/>
        <v>0</v>
      </c>
      <c r="R311" s="6">
        <f t="shared" ca="1" si="23"/>
        <v>0</v>
      </c>
      <c r="U311" s="6" t="str">
        <f ca="1">IF(Q311&gt;0,"SELECT "&amp;COUNTIF($Q$1:$T310,"&gt;0")+1&amp;", "&amp;$A311&amp;", "&amp;Q311&amp;" UNION ALL","")</f>
        <v/>
      </c>
      <c r="V311" s="6" t="str">
        <f ca="1">IF(R311&gt;0,"SELECT "&amp;COUNTIF($Q$1:$T310,"&gt;0")+COUNTIF($Q311:Q311,"&gt;0")+1&amp;", "&amp;$A311&amp;", "&amp;R311&amp;" UNION ALL","")</f>
        <v/>
      </c>
      <c r="W311" s="6" t="str">
        <f>IF(S311&gt;0,"SELECT "&amp;COUNTIF($Q$1:$T310,"&gt;0")+COUNTIF($Q311:R311,"&gt;0")+1&amp;", "&amp;$A311&amp;", "&amp;S311&amp;" UNION ALL","")</f>
        <v/>
      </c>
      <c r="X311" s="6" t="str">
        <f>IF(T311&gt;0,"SELECT "&amp;COUNTIF($Q$1:$T310,"&gt;0")+COUNTIF($Q311:S311,"&gt;0")+1&amp;", "&amp;$A311&amp;", "&amp;T311&amp;" UNION ALL","")</f>
        <v/>
      </c>
      <c r="Y311" s="5" t="str">
        <f t="shared" ca="1" si="24"/>
        <v/>
      </c>
    </row>
    <row r="312" spans="1:25">
      <c r="A312" s="6">
        <f t="shared" si="26"/>
        <v>343</v>
      </c>
      <c r="B312" s="6" t="s">
        <v>1135</v>
      </c>
      <c r="C312" s="6">
        <v>2</v>
      </c>
      <c r="D312" s="6">
        <v>10</v>
      </c>
      <c r="L312" s="6" t="str">
        <f t="shared" si="25"/>
        <v>SELECT 343, N'spać', 2, 10 UNION ALL</v>
      </c>
      <c r="Q312" s="6">
        <f t="shared" ca="1" si="22"/>
        <v>0</v>
      </c>
      <c r="R312" s="6">
        <f t="shared" ca="1" si="23"/>
        <v>0</v>
      </c>
      <c r="U312" s="6" t="str">
        <f ca="1">IF(Q312&gt;0,"SELECT "&amp;COUNTIF($Q$1:$T311,"&gt;0")+1&amp;", "&amp;$A312&amp;", "&amp;Q312&amp;" UNION ALL","")</f>
        <v/>
      </c>
      <c r="V312" s="6" t="str">
        <f ca="1">IF(R312&gt;0,"SELECT "&amp;COUNTIF($Q$1:$T311,"&gt;0")+COUNTIF($Q312:Q312,"&gt;0")+1&amp;", "&amp;$A312&amp;", "&amp;R312&amp;" UNION ALL","")</f>
        <v/>
      </c>
      <c r="W312" s="6" t="str">
        <f>IF(S312&gt;0,"SELECT "&amp;COUNTIF($Q$1:$T311,"&gt;0")+COUNTIF($Q312:R312,"&gt;0")+1&amp;", "&amp;$A312&amp;", "&amp;S312&amp;" UNION ALL","")</f>
        <v/>
      </c>
      <c r="X312" s="6" t="str">
        <f>IF(T312&gt;0,"SELECT "&amp;COUNTIF($Q$1:$T311,"&gt;0")+COUNTIF($Q312:S312,"&gt;0")+1&amp;", "&amp;$A312&amp;", "&amp;T312&amp;" UNION ALL","")</f>
        <v/>
      </c>
      <c r="Y312" s="5" t="str">
        <f t="shared" ca="1" si="24"/>
        <v/>
      </c>
    </row>
    <row r="313" spans="1:25">
      <c r="A313" s="6">
        <f t="shared" si="26"/>
        <v>344</v>
      </c>
      <c r="B313" s="6" t="s">
        <v>1136</v>
      </c>
      <c r="C313" s="6">
        <v>2</v>
      </c>
      <c r="D313" s="6">
        <v>10</v>
      </c>
      <c r="L313" s="6" t="str">
        <f t="shared" si="25"/>
        <v>SELECT 344, N'rozpoznawać', 2, 10 UNION ALL</v>
      </c>
      <c r="Q313" s="6">
        <f t="shared" ca="1" si="22"/>
        <v>0</v>
      </c>
      <c r="R313" s="6">
        <f t="shared" ca="1" si="23"/>
        <v>0</v>
      </c>
      <c r="U313" s="6" t="str">
        <f ca="1">IF(Q313&gt;0,"SELECT "&amp;COUNTIF($Q$1:$T312,"&gt;0")+1&amp;", "&amp;$A313&amp;", "&amp;Q313&amp;" UNION ALL","")</f>
        <v/>
      </c>
      <c r="V313" s="6" t="str">
        <f ca="1">IF(R313&gt;0,"SELECT "&amp;COUNTIF($Q$1:$T312,"&gt;0")+COUNTIF($Q313:Q313,"&gt;0")+1&amp;", "&amp;$A313&amp;", "&amp;R313&amp;" UNION ALL","")</f>
        <v/>
      </c>
      <c r="W313" s="6" t="str">
        <f>IF(S313&gt;0,"SELECT "&amp;COUNTIF($Q$1:$T312,"&gt;0")+COUNTIF($Q313:R313,"&gt;0")+1&amp;", "&amp;$A313&amp;", "&amp;S313&amp;" UNION ALL","")</f>
        <v/>
      </c>
      <c r="X313" s="6" t="str">
        <f>IF(T313&gt;0,"SELECT "&amp;COUNTIF($Q$1:$T312,"&gt;0")+COUNTIF($Q313:S313,"&gt;0")+1&amp;", "&amp;$A313&amp;", "&amp;T313&amp;" UNION ALL","")</f>
        <v/>
      </c>
      <c r="Y313" s="5" t="str">
        <f t="shared" ca="1" si="24"/>
        <v/>
      </c>
    </row>
    <row r="314" spans="1:25" ht="30">
      <c r="A314" s="6">
        <f t="shared" si="26"/>
        <v>345</v>
      </c>
      <c r="B314" s="6" t="s">
        <v>1137</v>
      </c>
      <c r="C314" s="6">
        <v>1</v>
      </c>
      <c r="D314" s="6">
        <v>10</v>
      </c>
      <c r="L314" s="6" t="str">
        <f t="shared" si="25"/>
        <v>SELECT 345, N'hotel', 1, 10 UNION ALL</v>
      </c>
      <c r="M314" t="s">
        <v>1421</v>
      </c>
      <c r="N314" t="s">
        <v>1422</v>
      </c>
      <c r="Q314" s="6">
        <f t="shared" ca="1" si="22"/>
        <v>62</v>
      </c>
      <c r="R314" s="6">
        <f t="shared" ca="1" si="23"/>
        <v>64</v>
      </c>
      <c r="U314" s="6" t="str">
        <f ca="1">IF(Q314&gt;0,"SELECT "&amp;COUNTIF($Q$1:$T313,"&gt;0")+1&amp;", "&amp;$A314&amp;", "&amp;Q314&amp;" UNION ALL","")</f>
        <v>SELECT 304, 345, 62 UNION ALL</v>
      </c>
      <c r="V314" s="6" t="str">
        <f ca="1">IF(R314&gt;0,"SELECT "&amp;COUNTIF($Q$1:$T313,"&gt;0")+COUNTIF($Q314:Q314,"&gt;0")+1&amp;", "&amp;$A314&amp;", "&amp;R314&amp;" UNION ALL","")</f>
        <v>SELECT 305, 345, 64 UNION ALL</v>
      </c>
      <c r="W314" s="6" t="str">
        <f>IF(S314&gt;0,"SELECT "&amp;COUNTIF($Q$1:$T313,"&gt;0")+COUNTIF($Q314:R314,"&gt;0")+1&amp;", "&amp;$A314&amp;", "&amp;S314&amp;" UNION ALL","")</f>
        <v/>
      </c>
      <c r="X314" s="6" t="str">
        <f>IF(T314&gt;0,"SELECT "&amp;COUNTIF($Q$1:$T313,"&gt;0")+COUNTIF($Q314:S314,"&gt;0")+1&amp;", "&amp;$A314&amp;", "&amp;T314&amp;" UNION ALL","")</f>
        <v/>
      </c>
      <c r="Y314" s="5" t="str">
        <f t="shared" ca="1" si="24"/>
        <v>SELECT 304, 345, 62 UNION ALL
SELECT 305, 345, 64 UNION ALL</v>
      </c>
    </row>
    <row r="315" spans="1:25">
      <c r="A315" s="6">
        <f t="shared" si="26"/>
        <v>346</v>
      </c>
      <c r="B315" s="6" t="s">
        <v>1138</v>
      </c>
      <c r="C315" s="6">
        <v>1</v>
      </c>
      <c r="D315" s="6">
        <v>10</v>
      </c>
      <c r="L315" s="6" t="str">
        <f t="shared" si="25"/>
        <v>SELECT 346, N'prąd', 1, 10 UNION ALL</v>
      </c>
      <c r="Q315" s="6">
        <f t="shared" ca="1" si="22"/>
        <v>0</v>
      </c>
      <c r="R315" s="6">
        <f t="shared" ca="1" si="23"/>
        <v>0</v>
      </c>
      <c r="U315" s="6" t="str">
        <f ca="1">IF(Q315&gt;0,"SELECT "&amp;COUNTIF($Q$1:$T314,"&gt;0")+1&amp;", "&amp;$A315&amp;", "&amp;Q315&amp;" UNION ALL","")</f>
        <v/>
      </c>
      <c r="V315" s="6" t="str">
        <f ca="1">IF(R315&gt;0,"SELECT "&amp;COUNTIF($Q$1:$T314,"&gt;0")+COUNTIF($Q315:Q315,"&gt;0")+1&amp;", "&amp;$A315&amp;", "&amp;R315&amp;" UNION ALL","")</f>
        <v/>
      </c>
      <c r="W315" s="6" t="str">
        <f>IF(S315&gt;0,"SELECT "&amp;COUNTIF($Q$1:$T314,"&gt;0")+COUNTIF($Q315:R315,"&gt;0")+1&amp;", "&amp;$A315&amp;", "&amp;S315&amp;" UNION ALL","")</f>
        <v/>
      </c>
      <c r="X315" s="6" t="str">
        <f>IF(T315&gt;0,"SELECT "&amp;COUNTIF($Q$1:$T314,"&gt;0")+COUNTIF($Q315:S315,"&gt;0")+1&amp;", "&amp;$A315&amp;", "&amp;T315&amp;" UNION ALL","")</f>
        <v/>
      </c>
      <c r="Y315" s="5" t="str">
        <f t="shared" ca="1" si="24"/>
        <v/>
      </c>
    </row>
    <row r="316" spans="1:25">
      <c r="A316" s="6">
        <f t="shared" si="26"/>
        <v>347</v>
      </c>
      <c r="B316" s="6" t="s">
        <v>1139</v>
      </c>
      <c r="C316" s="6">
        <v>1</v>
      </c>
      <c r="D316" s="6">
        <v>10</v>
      </c>
      <c r="L316" s="6" t="str">
        <f t="shared" si="25"/>
        <v>SELECT 347, N'telefon', 1, 10 UNION ALL</v>
      </c>
      <c r="M316" t="s">
        <v>1426</v>
      </c>
      <c r="Q316" s="6">
        <f t="shared" ca="1" si="22"/>
        <v>54</v>
      </c>
      <c r="R316" s="6">
        <f t="shared" ca="1" si="23"/>
        <v>0</v>
      </c>
      <c r="U316" s="6" t="str">
        <f ca="1">IF(Q316&gt;0,"SELECT "&amp;COUNTIF($Q$1:$T315,"&gt;0")+1&amp;", "&amp;$A316&amp;", "&amp;Q316&amp;" UNION ALL","")</f>
        <v>SELECT 306, 347, 54 UNION ALL</v>
      </c>
      <c r="V316" s="6" t="str">
        <f ca="1">IF(R316&gt;0,"SELECT "&amp;COUNTIF($Q$1:$T315,"&gt;0")+COUNTIF($Q316:Q316,"&gt;0")+1&amp;", "&amp;$A316&amp;", "&amp;R316&amp;" UNION ALL","")</f>
        <v/>
      </c>
      <c r="W316" s="6" t="str">
        <f>IF(S316&gt;0,"SELECT "&amp;COUNTIF($Q$1:$T315,"&gt;0")+COUNTIF($Q316:R316,"&gt;0")+1&amp;", "&amp;$A316&amp;", "&amp;S316&amp;" UNION ALL","")</f>
        <v/>
      </c>
      <c r="X316" s="6" t="str">
        <f>IF(T316&gt;0,"SELECT "&amp;COUNTIF($Q$1:$T315,"&gt;0")+COUNTIF($Q316:S316,"&gt;0")+1&amp;", "&amp;$A316&amp;", "&amp;T316&amp;" UNION ALL","")</f>
        <v/>
      </c>
      <c r="Y316" s="5" t="str">
        <f t="shared" ca="1" si="24"/>
        <v>SELECT 306, 347, 54 UNION ALL</v>
      </c>
    </row>
    <row r="317" spans="1:25">
      <c r="A317" s="6">
        <f t="shared" si="26"/>
        <v>348</v>
      </c>
      <c r="B317" s="6" t="s">
        <v>1140</v>
      </c>
      <c r="C317" s="6">
        <v>1</v>
      </c>
      <c r="D317" s="6">
        <v>8</v>
      </c>
      <c r="L317" s="6" t="str">
        <f t="shared" si="25"/>
        <v>SELECT 348, N'ogrzewanie', 1, 8 UNION ALL</v>
      </c>
      <c r="Q317" s="6">
        <f t="shared" ca="1" si="22"/>
        <v>0</v>
      </c>
      <c r="R317" s="6">
        <f t="shared" ca="1" si="23"/>
        <v>0</v>
      </c>
      <c r="U317" s="6" t="str">
        <f ca="1">IF(Q317&gt;0,"SELECT "&amp;COUNTIF($Q$1:$T316,"&gt;0")+1&amp;", "&amp;$A317&amp;", "&amp;Q317&amp;" UNION ALL","")</f>
        <v/>
      </c>
      <c r="V317" s="6" t="str">
        <f ca="1">IF(R317&gt;0,"SELECT "&amp;COUNTIF($Q$1:$T316,"&gt;0")+COUNTIF($Q317:Q317,"&gt;0")+1&amp;", "&amp;$A317&amp;", "&amp;R317&amp;" UNION ALL","")</f>
        <v/>
      </c>
      <c r="W317" s="6" t="str">
        <f>IF(S317&gt;0,"SELECT "&amp;COUNTIF($Q$1:$T316,"&gt;0")+COUNTIF($Q317:R317,"&gt;0")+1&amp;", "&amp;$A317&amp;", "&amp;S317&amp;" UNION ALL","")</f>
        <v/>
      </c>
      <c r="X317" s="6" t="str">
        <f>IF(T317&gt;0,"SELECT "&amp;COUNTIF($Q$1:$T316,"&gt;0")+COUNTIF($Q317:S317,"&gt;0")+1&amp;", "&amp;$A317&amp;", "&amp;T317&amp;" UNION ALL","")</f>
        <v/>
      </c>
      <c r="Y317" s="5" t="str">
        <f t="shared" ca="1" si="24"/>
        <v/>
      </c>
    </row>
    <row r="318" spans="1:25">
      <c r="A318" s="6">
        <f t="shared" si="26"/>
        <v>349</v>
      </c>
      <c r="B318" s="6" t="s">
        <v>1141</v>
      </c>
      <c r="C318" s="6">
        <v>1</v>
      </c>
      <c r="D318" s="6">
        <v>10</v>
      </c>
      <c r="L318" s="6" t="str">
        <f t="shared" si="25"/>
        <v>SELECT 349, N'woda', 1, 10 UNION ALL</v>
      </c>
      <c r="Q318" s="6">
        <f t="shared" ca="1" si="22"/>
        <v>0</v>
      </c>
      <c r="R318" s="6">
        <f t="shared" ca="1" si="23"/>
        <v>0</v>
      </c>
      <c r="U318" s="6" t="str">
        <f ca="1">IF(Q318&gt;0,"SELECT "&amp;COUNTIF($Q$1:$T317,"&gt;0")+1&amp;", "&amp;$A318&amp;", "&amp;Q318&amp;" UNION ALL","")</f>
        <v/>
      </c>
      <c r="V318" s="6" t="str">
        <f ca="1">IF(R318&gt;0,"SELECT "&amp;COUNTIF($Q$1:$T317,"&gt;0")+COUNTIF($Q318:Q318,"&gt;0")+1&amp;", "&amp;$A318&amp;", "&amp;R318&amp;" UNION ALL","")</f>
        <v/>
      </c>
      <c r="W318" s="6" t="str">
        <f>IF(S318&gt;0,"SELECT "&amp;COUNTIF($Q$1:$T317,"&gt;0")+COUNTIF($Q318:R318,"&gt;0")+1&amp;", "&amp;$A318&amp;", "&amp;S318&amp;" UNION ALL","")</f>
        <v/>
      </c>
      <c r="X318" s="6" t="str">
        <f>IF(T318&gt;0,"SELECT "&amp;COUNTIF($Q$1:$T317,"&gt;0")+COUNTIF($Q318:S318,"&gt;0")+1&amp;", "&amp;$A318&amp;", "&amp;T318&amp;" UNION ALL","")</f>
        <v/>
      </c>
      <c r="Y318" s="5" t="str">
        <f t="shared" ca="1" si="24"/>
        <v/>
      </c>
    </row>
    <row r="319" spans="1:25">
      <c r="A319" s="6">
        <f t="shared" si="26"/>
        <v>350</v>
      </c>
      <c r="B319" s="6" t="s">
        <v>1142</v>
      </c>
      <c r="C319" s="6">
        <v>1</v>
      </c>
      <c r="D319" s="6">
        <v>10</v>
      </c>
      <c r="L319" s="6" t="str">
        <f t="shared" si="25"/>
        <v>SELECT 350, N'gaz', 1, 10 UNION ALL</v>
      </c>
      <c r="Q319" s="6">
        <f t="shared" ca="1" si="22"/>
        <v>0</v>
      </c>
      <c r="R319" s="6">
        <f t="shared" ca="1" si="23"/>
        <v>0</v>
      </c>
      <c r="U319" s="6" t="str">
        <f ca="1">IF(Q319&gt;0,"SELECT "&amp;COUNTIF($Q$1:$T318,"&gt;0")+1&amp;", "&amp;$A319&amp;", "&amp;Q319&amp;" UNION ALL","")</f>
        <v/>
      </c>
      <c r="V319" s="6" t="str">
        <f ca="1">IF(R319&gt;0,"SELECT "&amp;COUNTIF($Q$1:$T318,"&gt;0")+COUNTIF($Q319:Q319,"&gt;0")+1&amp;", "&amp;$A319&amp;", "&amp;R319&amp;" UNION ALL","")</f>
        <v/>
      </c>
      <c r="W319" s="6" t="str">
        <f>IF(S319&gt;0,"SELECT "&amp;COUNTIF($Q$1:$T318,"&gt;0")+COUNTIF($Q319:R319,"&gt;0")+1&amp;", "&amp;$A319&amp;", "&amp;S319&amp;" UNION ALL","")</f>
        <v/>
      </c>
      <c r="X319" s="6" t="str">
        <f>IF(T319&gt;0,"SELECT "&amp;COUNTIF($Q$1:$T318,"&gt;0")+COUNTIF($Q319:S319,"&gt;0")+1&amp;", "&amp;$A319&amp;", "&amp;T319&amp;" UNION ALL","")</f>
        <v/>
      </c>
      <c r="Y319" s="5" t="str">
        <f t="shared" ca="1" si="24"/>
        <v/>
      </c>
    </row>
    <row r="320" spans="1:25">
      <c r="A320" s="6">
        <f t="shared" si="26"/>
        <v>351</v>
      </c>
      <c r="B320" s="6" t="s">
        <v>1143</v>
      </c>
      <c r="C320" s="6">
        <v>1</v>
      </c>
      <c r="D320" s="6">
        <v>10</v>
      </c>
      <c r="L320" s="6" t="str">
        <f t="shared" si="25"/>
        <v>SELECT 351, N'samolot', 1, 10 UNION ALL</v>
      </c>
      <c r="M320" s="6" t="s">
        <v>1428</v>
      </c>
      <c r="Q320" s="6">
        <f t="shared" ca="1" si="22"/>
        <v>60</v>
      </c>
      <c r="R320" s="6">
        <f t="shared" ca="1" si="23"/>
        <v>0</v>
      </c>
      <c r="U320" s="6" t="str">
        <f ca="1">IF(Q320&gt;0,"SELECT "&amp;COUNTIF($Q$1:$T319,"&gt;0")+1&amp;", "&amp;$A320&amp;", "&amp;Q320&amp;" UNION ALL","")</f>
        <v>SELECT 307, 351, 60 UNION ALL</v>
      </c>
      <c r="V320" s="6" t="str">
        <f ca="1">IF(R320&gt;0,"SELECT "&amp;COUNTIF($Q$1:$T319,"&gt;0")+COUNTIF($Q320:Q320,"&gt;0")+1&amp;", "&amp;$A320&amp;", "&amp;R320&amp;" UNION ALL","")</f>
        <v/>
      </c>
      <c r="W320" s="6" t="str">
        <f>IF(S320&gt;0,"SELECT "&amp;COUNTIF($Q$1:$T319,"&gt;0")+COUNTIF($Q320:R320,"&gt;0")+1&amp;", "&amp;$A320&amp;", "&amp;S320&amp;" UNION ALL","")</f>
        <v/>
      </c>
      <c r="X320" s="6" t="str">
        <f>IF(T320&gt;0,"SELECT "&amp;COUNTIF($Q$1:$T319,"&gt;0")+COUNTIF($Q320:S320,"&gt;0")+1&amp;", "&amp;$A320&amp;", "&amp;T320&amp;" UNION ALL","")</f>
        <v/>
      </c>
      <c r="Y320" s="5" t="str">
        <f t="shared" ca="1" si="24"/>
        <v>SELECT 307, 351, 60 UNION ALL</v>
      </c>
    </row>
    <row r="321" spans="1:25">
      <c r="A321" s="6">
        <f t="shared" si="26"/>
        <v>352</v>
      </c>
      <c r="B321" s="6" t="s">
        <v>1144</v>
      </c>
      <c r="C321" s="6">
        <v>1</v>
      </c>
      <c r="D321" s="6">
        <v>10</v>
      </c>
      <c r="L321" s="6" t="str">
        <f t="shared" si="25"/>
        <v>SELECT 352, N'pociąg', 1, 10 UNION ALL</v>
      </c>
      <c r="M321" s="6" t="s">
        <v>1428</v>
      </c>
      <c r="Q321" s="6">
        <f t="shared" ca="1" si="22"/>
        <v>60</v>
      </c>
      <c r="R321" s="6">
        <f t="shared" ca="1" si="23"/>
        <v>0</v>
      </c>
      <c r="U321" s="6" t="str">
        <f ca="1">IF(Q321&gt;0,"SELECT "&amp;COUNTIF($Q$1:$T320,"&gt;0")+1&amp;", "&amp;$A321&amp;", "&amp;Q321&amp;" UNION ALL","")</f>
        <v>SELECT 308, 352, 60 UNION ALL</v>
      </c>
      <c r="V321" s="6" t="str">
        <f ca="1">IF(R321&gt;0,"SELECT "&amp;COUNTIF($Q$1:$T320,"&gt;0")+COUNTIF($Q321:Q321,"&gt;0")+1&amp;", "&amp;$A321&amp;", "&amp;R321&amp;" UNION ALL","")</f>
        <v/>
      </c>
      <c r="W321" s="6" t="str">
        <f>IF(S321&gt;0,"SELECT "&amp;COUNTIF($Q$1:$T320,"&gt;0")+COUNTIF($Q321:R321,"&gt;0")+1&amp;", "&amp;$A321&amp;", "&amp;S321&amp;" UNION ALL","")</f>
        <v/>
      </c>
      <c r="X321" s="6" t="str">
        <f>IF(T321&gt;0,"SELECT "&amp;COUNTIF($Q$1:$T320,"&gt;0")+COUNTIF($Q321:S321,"&gt;0")+1&amp;", "&amp;$A321&amp;", "&amp;T321&amp;" UNION ALL","")</f>
        <v/>
      </c>
      <c r="Y321" s="5" t="str">
        <f t="shared" ca="1" si="24"/>
        <v>SELECT 308, 352, 60 UNION ALL</v>
      </c>
    </row>
    <row r="322" spans="1:25">
      <c r="A322" s="6">
        <f t="shared" si="26"/>
        <v>353</v>
      </c>
      <c r="B322" s="6" t="s">
        <v>1145</v>
      </c>
      <c r="C322" s="6">
        <v>1</v>
      </c>
      <c r="D322" s="6">
        <v>10</v>
      </c>
      <c r="L322" s="6" t="str">
        <f t="shared" si="25"/>
        <v>SELECT 353, N'autobus', 1, 10 UNION ALL</v>
      </c>
      <c r="M322" s="6" t="s">
        <v>1428</v>
      </c>
      <c r="Q322" s="6">
        <f t="shared" ca="1" si="22"/>
        <v>60</v>
      </c>
      <c r="R322" s="6">
        <f t="shared" ca="1" si="23"/>
        <v>0</v>
      </c>
      <c r="U322" s="6" t="str">
        <f ca="1">IF(Q322&gt;0,"SELECT "&amp;COUNTIF($Q$1:$T321,"&gt;0")+1&amp;", "&amp;$A322&amp;", "&amp;Q322&amp;" UNION ALL","")</f>
        <v>SELECT 309, 353, 60 UNION ALL</v>
      </c>
      <c r="V322" s="6" t="str">
        <f ca="1">IF(R322&gt;0,"SELECT "&amp;COUNTIF($Q$1:$T321,"&gt;0")+COUNTIF($Q322:Q322,"&gt;0")+1&amp;", "&amp;$A322&amp;", "&amp;R322&amp;" UNION ALL","")</f>
        <v/>
      </c>
      <c r="W322" s="6" t="str">
        <f>IF(S322&gt;0,"SELECT "&amp;COUNTIF($Q$1:$T321,"&gt;0")+COUNTIF($Q322:R322,"&gt;0")+1&amp;", "&amp;$A322&amp;", "&amp;S322&amp;" UNION ALL","")</f>
        <v/>
      </c>
      <c r="X322" s="6" t="str">
        <f>IF(T322&gt;0,"SELECT "&amp;COUNTIF($Q$1:$T321,"&gt;0")+COUNTIF($Q322:S322,"&gt;0")+1&amp;", "&amp;$A322&amp;", "&amp;T322&amp;" UNION ALL","")</f>
        <v/>
      </c>
      <c r="Y322" s="5" t="str">
        <f t="shared" ca="1" si="24"/>
        <v>SELECT 309, 353, 60 UNION ALL</v>
      </c>
    </row>
    <row r="323" spans="1:25">
      <c r="A323" s="6">
        <f t="shared" si="26"/>
        <v>354</v>
      </c>
      <c r="B323" s="6" t="s">
        <v>1146</v>
      </c>
      <c r="C323" s="6">
        <v>1</v>
      </c>
      <c r="D323" s="6">
        <v>10</v>
      </c>
      <c r="L323" s="6" t="str">
        <f t="shared" si="25"/>
        <v>SELECT 354, N'lekcja', 1, 10 UNION ALL</v>
      </c>
      <c r="Q323" s="6">
        <f t="shared" ref="Q323:Q386" ca="1" si="27">IFERROR(VLOOKUP(M323,Kategorie,9,0),0)</f>
        <v>0</v>
      </c>
      <c r="R323" s="6">
        <f t="shared" ref="R323:R386" ca="1" si="28">IFERROR(VLOOKUP(N323,Kategorie,9,0),0)</f>
        <v>0</v>
      </c>
      <c r="U323" s="6" t="str">
        <f ca="1">IF(Q323&gt;0,"SELECT "&amp;COUNTIF($Q$1:$T322,"&gt;0")+1&amp;", "&amp;$A323&amp;", "&amp;Q323&amp;" UNION ALL","")</f>
        <v/>
      </c>
      <c r="V323" s="6" t="str">
        <f ca="1">IF(R323&gt;0,"SELECT "&amp;COUNTIF($Q$1:$T322,"&gt;0")+COUNTIF($Q323:Q323,"&gt;0")+1&amp;", "&amp;$A323&amp;", "&amp;R323&amp;" UNION ALL","")</f>
        <v/>
      </c>
      <c r="W323" s="6" t="str">
        <f>IF(S323&gt;0,"SELECT "&amp;COUNTIF($Q$1:$T322,"&gt;0")+COUNTIF($Q323:R323,"&gt;0")+1&amp;", "&amp;$A323&amp;", "&amp;S323&amp;" UNION ALL","")</f>
        <v/>
      </c>
      <c r="X323" s="6" t="str">
        <f>IF(T323&gt;0,"SELECT "&amp;COUNTIF($Q$1:$T322,"&gt;0")+COUNTIF($Q323:S323,"&gt;0")+1&amp;", "&amp;$A323&amp;", "&amp;T323&amp;" UNION ALL","")</f>
        <v/>
      </c>
      <c r="Y323" s="5" t="str">
        <f t="shared" ca="1" si="24"/>
        <v/>
      </c>
    </row>
    <row r="324" spans="1:25">
      <c r="A324" s="6">
        <f t="shared" si="26"/>
        <v>355</v>
      </c>
      <c r="B324" s="6" t="s">
        <v>1147</v>
      </c>
      <c r="C324" s="6">
        <v>2</v>
      </c>
      <c r="D324" s="6">
        <v>10</v>
      </c>
      <c r="L324" s="6" t="str">
        <f t="shared" si="25"/>
        <v>SELECT 355, N'dochodzić', 2, 10 UNION ALL</v>
      </c>
      <c r="Q324" s="6">
        <f t="shared" ca="1" si="27"/>
        <v>0</v>
      </c>
      <c r="R324" s="6">
        <f t="shared" ca="1" si="28"/>
        <v>0</v>
      </c>
      <c r="U324" s="6" t="str">
        <f ca="1">IF(Q324&gt;0,"SELECT "&amp;COUNTIF($Q$1:$T323,"&gt;0")+1&amp;", "&amp;$A324&amp;", "&amp;Q324&amp;" UNION ALL","")</f>
        <v/>
      </c>
      <c r="V324" s="6" t="str">
        <f ca="1">IF(R324&gt;0,"SELECT "&amp;COUNTIF($Q$1:$T323,"&gt;0")+COUNTIF($Q324:Q324,"&gt;0")+1&amp;", "&amp;$A324&amp;", "&amp;R324&amp;" UNION ALL","")</f>
        <v/>
      </c>
      <c r="W324" s="6" t="str">
        <f>IF(S324&gt;0,"SELECT "&amp;COUNTIF($Q$1:$T323,"&gt;0")+COUNTIF($Q324:R324,"&gt;0")+1&amp;", "&amp;$A324&amp;", "&amp;S324&amp;" UNION ALL","")</f>
        <v/>
      </c>
      <c r="X324" s="6" t="str">
        <f>IF(T324&gt;0,"SELECT "&amp;COUNTIF($Q$1:$T323,"&gt;0")+COUNTIF($Q324:S324,"&gt;0")+1&amp;", "&amp;$A324&amp;", "&amp;T324&amp;" UNION ALL","")</f>
        <v/>
      </c>
      <c r="Y324" s="5" t="str">
        <f t="shared" ref="Y324:Y387" ca="1" si="29">SUBSTITUTE(IF(LEN(U324)&gt;0,U324,"")&amp;IF(LEN(V324)&gt;0,CHAR(10)&amp;V324,"")&amp;IF(LEN(W324)&gt;0,CHAR(10)&amp;W324,"")&amp;IF(LEN(X324)&gt;0,CHAR(10)&amp;X324,""),CHAR(34),"")</f>
        <v/>
      </c>
    </row>
    <row r="325" spans="1:25">
      <c r="A325" s="6">
        <f t="shared" si="26"/>
        <v>356</v>
      </c>
      <c r="B325" s="6" t="s">
        <v>1148</v>
      </c>
      <c r="C325" s="6">
        <v>2</v>
      </c>
      <c r="D325" s="6">
        <v>10</v>
      </c>
      <c r="L325" s="6" t="str">
        <f t="shared" si="25"/>
        <v>SELECT 356, N'dostawać', 2, 10 UNION ALL</v>
      </c>
      <c r="Q325" s="6">
        <f t="shared" ca="1" si="27"/>
        <v>0</v>
      </c>
      <c r="R325" s="6">
        <f t="shared" ca="1" si="28"/>
        <v>0</v>
      </c>
      <c r="U325" s="6" t="str">
        <f ca="1">IF(Q325&gt;0,"SELECT "&amp;COUNTIF($Q$1:$T324,"&gt;0")+1&amp;", "&amp;$A325&amp;", "&amp;Q325&amp;" UNION ALL","")</f>
        <v/>
      </c>
      <c r="V325" s="6" t="str">
        <f ca="1">IF(R325&gt;0,"SELECT "&amp;COUNTIF($Q$1:$T324,"&gt;0")+COUNTIF($Q325:Q325,"&gt;0")+1&amp;", "&amp;$A325&amp;", "&amp;R325&amp;" UNION ALL","")</f>
        <v/>
      </c>
      <c r="W325" s="6" t="str">
        <f>IF(S325&gt;0,"SELECT "&amp;COUNTIF($Q$1:$T324,"&gt;0")+COUNTIF($Q325:R325,"&gt;0")+1&amp;", "&amp;$A325&amp;", "&amp;S325&amp;" UNION ALL","")</f>
        <v/>
      </c>
      <c r="X325" s="6" t="str">
        <f>IF(T325&gt;0,"SELECT "&amp;COUNTIF($Q$1:$T324,"&gt;0")+COUNTIF($Q325:S325,"&gt;0")+1&amp;", "&amp;$A325&amp;", "&amp;T325&amp;" UNION ALL","")</f>
        <v/>
      </c>
      <c r="Y325" s="5" t="str">
        <f t="shared" ca="1" si="29"/>
        <v/>
      </c>
    </row>
    <row r="326" spans="1:25">
      <c r="A326" s="6">
        <f t="shared" si="26"/>
        <v>357</v>
      </c>
      <c r="B326" s="6" t="s">
        <v>1149</v>
      </c>
      <c r="C326" s="6">
        <v>2</v>
      </c>
      <c r="D326" s="6">
        <v>10</v>
      </c>
      <c r="L326" s="6" t="str">
        <f t="shared" si="25"/>
        <v>SELECT 357, N'pracować', 2, 10 UNION ALL</v>
      </c>
      <c r="Q326" s="6">
        <f t="shared" ca="1" si="27"/>
        <v>0</v>
      </c>
      <c r="R326" s="6">
        <f t="shared" ca="1" si="28"/>
        <v>0</v>
      </c>
      <c r="U326" s="6" t="str">
        <f ca="1">IF(Q326&gt;0,"SELECT "&amp;COUNTIF($Q$1:$T325,"&gt;0")+1&amp;", "&amp;$A326&amp;", "&amp;Q326&amp;" UNION ALL","")</f>
        <v/>
      </c>
      <c r="V326" s="6" t="str">
        <f ca="1">IF(R326&gt;0,"SELECT "&amp;COUNTIF($Q$1:$T325,"&gt;0")+COUNTIF($Q326:Q326,"&gt;0")+1&amp;", "&amp;$A326&amp;", "&amp;R326&amp;" UNION ALL","")</f>
        <v/>
      </c>
      <c r="W326" s="6" t="str">
        <f>IF(S326&gt;0,"SELECT "&amp;COUNTIF($Q$1:$T325,"&gt;0")+COUNTIF($Q326:R326,"&gt;0")+1&amp;", "&amp;$A326&amp;", "&amp;S326&amp;" UNION ALL","")</f>
        <v/>
      </c>
      <c r="X326" s="6" t="str">
        <f>IF(T326&gt;0,"SELECT "&amp;COUNTIF($Q$1:$T325,"&gt;0")+COUNTIF($Q326:S326,"&gt;0")+1&amp;", "&amp;$A326&amp;", "&amp;T326&amp;" UNION ALL","")</f>
        <v/>
      </c>
      <c r="Y326" s="5" t="str">
        <f t="shared" ca="1" si="29"/>
        <v/>
      </c>
    </row>
    <row r="327" spans="1:25">
      <c r="A327" s="6">
        <f t="shared" si="26"/>
        <v>358</v>
      </c>
      <c r="B327" s="6" t="s">
        <v>1150</v>
      </c>
      <c r="C327" s="6">
        <v>2</v>
      </c>
      <c r="D327" s="6">
        <v>10</v>
      </c>
      <c r="L327" s="6" t="str">
        <f t="shared" si="25"/>
        <v>SELECT 358, N'słuchać', 2, 10 UNION ALL</v>
      </c>
      <c r="Q327" s="6">
        <f t="shared" ca="1" si="27"/>
        <v>0</v>
      </c>
      <c r="R327" s="6">
        <f t="shared" ca="1" si="28"/>
        <v>0</v>
      </c>
      <c r="U327" s="6" t="str">
        <f ca="1">IF(Q327&gt;0,"SELECT "&amp;COUNTIF($Q$1:$T326,"&gt;0")+1&amp;", "&amp;$A327&amp;", "&amp;Q327&amp;" UNION ALL","")</f>
        <v/>
      </c>
      <c r="V327" s="6" t="str">
        <f ca="1">IF(R327&gt;0,"SELECT "&amp;COUNTIF($Q$1:$T326,"&gt;0")+COUNTIF($Q327:Q327,"&gt;0")+1&amp;", "&amp;$A327&amp;", "&amp;R327&amp;" UNION ALL","")</f>
        <v/>
      </c>
      <c r="W327" s="6" t="str">
        <f>IF(S327&gt;0,"SELECT "&amp;COUNTIF($Q$1:$T326,"&gt;0")+COUNTIF($Q327:R327,"&gt;0")+1&amp;", "&amp;$A327&amp;", "&amp;S327&amp;" UNION ALL","")</f>
        <v/>
      </c>
      <c r="X327" s="6" t="str">
        <f>IF(T327&gt;0,"SELECT "&amp;COUNTIF($Q$1:$T326,"&gt;0")+COUNTIF($Q327:S327,"&gt;0")+1&amp;", "&amp;$A327&amp;", "&amp;T327&amp;" UNION ALL","")</f>
        <v/>
      </c>
      <c r="Y327" s="5" t="str">
        <f t="shared" ca="1" si="29"/>
        <v/>
      </c>
    </row>
    <row r="328" spans="1:25">
      <c r="A328" s="6">
        <f t="shared" si="26"/>
        <v>359</v>
      </c>
      <c r="B328" s="6" t="s">
        <v>1151</v>
      </c>
      <c r="C328" s="6">
        <v>2</v>
      </c>
      <c r="D328" s="6">
        <v>10</v>
      </c>
      <c r="L328" s="6" t="str">
        <f t="shared" si="25"/>
        <v>SELECT 359, N'jeździć', 2, 10 UNION ALL</v>
      </c>
      <c r="Q328" s="6">
        <f t="shared" ca="1" si="27"/>
        <v>0</v>
      </c>
      <c r="R328" s="6">
        <f t="shared" ca="1" si="28"/>
        <v>0</v>
      </c>
      <c r="U328" s="6" t="str">
        <f ca="1">IF(Q328&gt;0,"SELECT "&amp;COUNTIF($Q$1:$T327,"&gt;0")+1&amp;", "&amp;$A328&amp;", "&amp;Q328&amp;" UNION ALL","")</f>
        <v/>
      </c>
      <c r="V328" s="6" t="str">
        <f ca="1">IF(R328&gt;0,"SELECT "&amp;COUNTIF($Q$1:$T327,"&gt;0")+COUNTIF($Q328:Q328,"&gt;0")+1&amp;", "&amp;$A328&amp;", "&amp;R328&amp;" UNION ALL","")</f>
        <v/>
      </c>
      <c r="W328" s="6" t="str">
        <f>IF(S328&gt;0,"SELECT "&amp;COUNTIF($Q$1:$T327,"&gt;0")+COUNTIF($Q328:R328,"&gt;0")+1&amp;", "&amp;$A328&amp;", "&amp;S328&amp;" UNION ALL","")</f>
        <v/>
      </c>
      <c r="X328" s="6" t="str">
        <f>IF(T328&gt;0,"SELECT "&amp;COUNTIF($Q$1:$T327,"&gt;0")+COUNTIF($Q328:S328,"&gt;0")+1&amp;", "&amp;$A328&amp;", "&amp;T328&amp;" UNION ALL","")</f>
        <v/>
      </c>
      <c r="Y328" s="5" t="str">
        <f t="shared" ca="1" si="29"/>
        <v/>
      </c>
    </row>
    <row r="329" spans="1:25">
      <c r="A329" s="6">
        <f t="shared" si="26"/>
        <v>360</v>
      </c>
      <c r="B329" s="6" t="s">
        <v>1152</v>
      </c>
      <c r="C329" s="6">
        <v>2</v>
      </c>
      <c r="D329" s="6">
        <v>10</v>
      </c>
      <c r="L329" s="6" t="str">
        <f t="shared" si="25"/>
        <v>SELECT 360, N'mieszkać', 2, 10 UNION ALL</v>
      </c>
      <c r="Q329" s="6">
        <f t="shared" ca="1" si="27"/>
        <v>0</v>
      </c>
      <c r="R329" s="6">
        <f t="shared" ca="1" si="28"/>
        <v>0</v>
      </c>
      <c r="U329" s="6" t="str">
        <f ca="1">IF(Q329&gt;0,"SELECT "&amp;COUNTIF($Q$1:$T328,"&gt;0")+1&amp;", "&amp;$A329&amp;", "&amp;Q329&amp;" UNION ALL","")</f>
        <v/>
      </c>
      <c r="V329" s="6" t="str">
        <f ca="1">IF(R329&gt;0,"SELECT "&amp;COUNTIF($Q$1:$T328,"&gt;0")+COUNTIF($Q329:Q329,"&gt;0")+1&amp;", "&amp;$A329&amp;", "&amp;R329&amp;" UNION ALL","")</f>
        <v/>
      </c>
      <c r="W329" s="6" t="str">
        <f>IF(S329&gt;0,"SELECT "&amp;COUNTIF($Q$1:$T328,"&gt;0")+COUNTIF($Q329:R329,"&gt;0")+1&amp;", "&amp;$A329&amp;", "&amp;S329&amp;" UNION ALL","")</f>
        <v/>
      </c>
      <c r="X329" s="6" t="str">
        <f>IF(T329&gt;0,"SELECT "&amp;COUNTIF($Q$1:$T328,"&gt;0")+COUNTIF($Q329:S329,"&gt;0")+1&amp;", "&amp;$A329&amp;", "&amp;T329&amp;" UNION ALL","")</f>
        <v/>
      </c>
      <c r="Y329" s="5" t="str">
        <f t="shared" ca="1" si="29"/>
        <v/>
      </c>
    </row>
    <row r="330" spans="1:25">
      <c r="A330" s="6">
        <f t="shared" si="26"/>
        <v>361</v>
      </c>
      <c r="B330" s="6" t="s">
        <v>1153</v>
      </c>
      <c r="C330" s="6">
        <v>2</v>
      </c>
      <c r="D330" s="6">
        <v>8</v>
      </c>
      <c r="L330" s="6" t="str">
        <f t="shared" si="25"/>
        <v>SELECT 361, N'parkować', 2, 8 UNION ALL</v>
      </c>
      <c r="Q330" s="6">
        <f t="shared" ca="1" si="27"/>
        <v>0</v>
      </c>
      <c r="R330" s="6">
        <f t="shared" ca="1" si="28"/>
        <v>0</v>
      </c>
      <c r="U330" s="6" t="str">
        <f ca="1">IF(Q330&gt;0,"SELECT "&amp;COUNTIF($Q$1:$T329,"&gt;0")+1&amp;", "&amp;$A330&amp;", "&amp;Q330&amp;" UNION ALL","")</f>
        <v/>
      </c>
      <c r="V330" s="6" t="str">
        <f ca="1">IF(R330&gt;0,"SELECT "&amp;COUNTIF($Q$1:$T329,"&gt;0")+COUNTIF($Q330:Q330,"&gt;0")+1&amp;", "&amp;$A330&amp;", "&amp;R330&amp;" UNION ALL","")</f>
        <v/>
      </c>
      <c r="W330" s="6" t="str">
        <f>IF(S330&gt;0,"SELECT "&amp;COUNTIF($Q$1:$T329,"&gt;0")+COUNTIF($Q330:R330,"&gt;0")+1&amp;", "&amp;$A330&amp;", "&amp;S330&amp;" UNION ALL","")</f>
        <v/>
      </c>
      <c r="X330" s="6" t="str">
        <f>IF(T330&gt;0,"SELECT "&amp;COUNTIF($Q$1:$T329,"&gt;0")+COUNTIF($Q330:S330,"&gt;0")+1&amp;", "&amp;$A330&amp;", "&amp;T330&amp;" UNION ALL","")</f>
        <v/>
      </c>
      <c r="Y330" s="5" t="str">
        <f t="shared" ca="1" si="29"/>
        <v/>
      </c>
    </row>
    <row r="331" spans="1:25">
      <c r="A331" s="6">
        <f t="shared" si="26"/>
        <v>362</v>
      </c>
      <c r="B331" s="6" t="s">
        <v>1154</v>
      </c>
      <c r="C331" s="6">
        <v>2</v>
      </c>
      <c r="D331" s="6">
        <v>10</v>
      </c>
      <c r="L331" s="6" t="str">
        <f t="shared" si="25"/>
        <v>SELECT 362, N'zarabiać', 2, 10 UNION ALL</v>
      </c>
      <c r="Q331" s="6">
        <f t="shared" ca="1" si="27"/>
        <v>0</v>
      </c>
      <c r="R331" s="6">
        <f t="shared" ca="1" si="28"/>
        <v>0</v>
      </c>
      <c r="U331" s="6" t="str">
        <f ca="1">IF(Q331&gt;0,"SELECT "&amp;COUNTIF($Q$1:$T330,"&gt;0")+1&amp;", "&amp;$A331&amp;", "&amp;Q331&amp;" UNION ALL","")</f>
        <v/>
      </c>
      <c r="V331" s="6" t="str">
        <f ca="1">IF(R331&gt;0,"SELECT "&amp;COUNTIF($Q$1:$T330,"&gt;0")+COUNTIF($Q331:Q331,"&gt;0")+1&amp;", "&amp;$A331&amp;", "&amp;R331&amp;" UNION ALL","")</f>
        <v/>
      </c>
      <c r="W331" s="6" t="str">
        <f>IF(S331&gt;0,"SELECT "&amp;COUNTIF($Q$1:$T330,"&gt;0")+COUNTIF($Q331:R331,"&gt;0")+1&amp;", "&amp;$A331&amp;", "&amp;S331&amp;" UNION ALL","")</f>
        <v/>
      </c>
      <c r="X331" s="6" t="str">
        <f>IF(T331&gt;0,"SELECT "&amp;COUNTIF($Q$1:$T330,"&gt;0")+COUNTIF($Q331:S331,"&gt;0")+1&amp;", "&amp;$A331&amp;", "&amp;T331&amp;" UNION ALL","")</f>
        <v/>
      </c>
      <c r="Y331" s="5" t="str">
        <f t="shared" ca="1" si="29"/>
        <v/>
      </c>
    </row>
    <row r="332" spans="1:25">
      <c r="A332" s="6">
        <f t="shared" si="26"/>
        <v>363</v>
      </c>
      <c r="B332" s="6" t="s">
        <v>1155</v>
      </c>
      <c r="C332" s="6">
        <v>2</v>
      </c>
      <c r="D332" s="6">
        <v>10</v>
      </c>
      <c r="L332" s="6" t="str">
        <f t="shared" si="25"/>
        <v>SELECT 363, N'biegać', 2, 10 UNION ALL</v>
      </c>
      <c r="Q332" s="6">
        <f t="shared" ca="1" si="27"/>
        <v>0</v>
      </c>
      <c r="R332" s="6">
        <f t="shared" ca="1" si="28"/>
        <v>0</v>
      </c>
      <c r="U332" s="6" t="str">
        <f ca="1">IF(Q332&gt;0,"SELECT "&amp;COUNTIF($Q$1:$T331,"&gt;0")+1&amp;", "&amp;$A332&amp;", "&amp;Q332&amp;" UNION ALL","")</f>
        <v/>
      </c>
      <c r="V332" s="6" t="str">
        <f ca="1">IF(R332&gt;0,"SELECT "&amp;COUNTIF($Q$1:$T331,"&gt;0")+COUNTIF($Q332:Q332,"&gt;0")+1&amp;", "&amp;$A332&amp;", "&amp;R332&amp;" UNION ALL","")</f>
        <v/>
      </c>
      <c r="W332" s="6" t="str">
        <f>IF(S332&gt;0,"SELECT "&amp;COUNTIF($Q$1:$T331,"&gt;0")+COUNTIF($Q332:R332,"&gt;0")+1&amp;", "&amp;$A332&amp;", "&amp;S332&amp;" UNION ALL","")</f>
        <v/>
      </c>
      <c r="X332" s="6" t="str">
        <f>IF(T332&gt;0,"SELECT "&amp;COUNTIF($Q$1:$T331,"&gt;0")+COUNTIF($Q332:S332,"&gt;0")+1&amp;", "&amp;$A332&amp;", "&amp;T332&amp;" UNION ALL","")</f>
        <v/>
      </c>
      <c r="Y332" s="5" t="str">
        <f t="shared" ca="1" si="29"/>
        <v/>
      </c>
    </row>
    <row r="333" spans="1:25">
      <c r="A333" s="6">
        <f t="shared" si="26"/>
        <v>364</v>
      </c>
      <c r="B333" s="6" t="s">
        <v>1156</v>
      </c>
      <c r="C333" s="6">
        <v>2</v>
      </c>
      <c r="D333" s="6">
        <v>10</v>
      </c>
      <c r="L333" s="6" t="str">
        <f t="shared" si="25"/>
        <v>SELECT 364, N'wychodzić', 2, 10 UNION ALL</v>
      </c>
      <c r="Q333" s="6">
        <f t="shared" ca="1" si="27"/>
        <v>0</v>
      </c>
      <c r="R333" s="6">
        <f t="shared" ca="1" si="28"/>
        <v>0</v>
      </c>
      <c r="U333" s="6" t="str">
        <f ca="1">IF(Q333&gt;0,"SELECT "&amp;COUNTIF($Q$1:$T332,"&gt;0")+1&amp;", "&amp;$A333&amp;", "&amp;Q333&amp;" UNION ALL","")</f>
        <v/>
      </c>
      <c r="V333" s="6" t="str">
        <f ca="1">IF(R333&gt;0,"SELECT "&amp;COUNTIF($Q$1:$T332,"&gt;0")+COUNTIF($Q333:Q333,"&gt;0")+1&amp;", "&amp;$A333&amp;", "&amp;R333&amp;" UNION ALL","")</f>
        <v/>
      </c>
      <c r="W333" s="6" t="str">
        <f>IF(S333&gt;0,"SELECT "&amp;COUNTIF($Q$1:$T332,"&gt;0")+COUNTIF($Q333:R333,"&gt;0")+1&amp;", "&amp;$A333&amp;", "&amp;S333&amp;" UNION ALL","")</f>
        <v/>
      </c>
      <c r="X333" s="6" t="str">
        <f>IF(T333&gt;0,"SELECT "&amp;COUNTIF($Q$1:$T332,"&gt;0")+COUNTIF($Q333:S333,"&gt;0")+1&amp;", "&amp;$A333&amp;", "&amp;T333&amp;" UNION ALL","")</f>
        <v/>
      </c>
      <c r="Y333" s="5" t="str">
        <f t="shared" ca="1" si="29"/>
        <v/>
      </c>
    </row>
    <row r="334" spans="1:25">
      <c r="A334" s="6">
        <f t="shared" si="26"/>
        <v>365</v>
      </c>
      <c r="B334" s="6" t="s">
        <v>1157</v>
      </c>
      <c r="C334" s="6">
        <v>2</v>
      </c>
      <c r="D334" s="6">
        <v>10</v>
      </c>
      <c r="L334" s="6" t="str">
        <f t="shared" si="25"/>
        <v>SELECT 365, N'dotrzeć', 2, 10 UNION ALL</v>
      </c>
      <c r="Q334" s="6">
        <f t="shared" ca="1" si="27"/>
        <v>0</v>
      </c>
      <c r="R334" s="6">
        <f t="shared" ca="1" si="28"/>
        <v>0</v>
      </c>
      <c r="U334" s="6" t="str">
        <f ca="1">IF(Q334&gt;0,"SELECT "&amp;COUNTIF($Q$1:$T333,"&gt;0")+1&amp;", "&amp;$A334&amp;", "&amp;Q334&amp;" UNION ALL","")</f>
        <v/>
      </c>
      <c r="V334" s="6" t="str">
        <f ca="1">IF(R334&gt;0,"SELECT "&amp;COUNTIF($Q$1:$T333,"&gt;0")+COUNTIF($Q334:Q334,"&gt;0")+1&amp;", "&amp;$A334&amp;", "&amp;R334&amp;" UNION ALL","")</f>
        <v/>
      </c>
      <c r="W334" s="6" t="str">
        <f>IF(S334&gt;0,"SELECT "&amp;COUNTIF($Q$1:$T333,"&gt;0")+COUNTIF($Q334:R334,"&gt;0")+1&amp;", "&amp;$A334&amp;", "&amp;S334&amp;" UNION ALL","")</f>
        <v/>
      </c>
      <c r="X334" s="6" t="str">
        <f>IF(T334&gt;0,"SELECT "&amp;COUNTIF($Q$1:$T333,"&gt;0")+COUNTIF($Q334:S334,"&gt;0")+1&amp;", "&amp;$A334&amp;", "&amp;T334&amp;" UNION ALL","")</f>
        <v/>
      </c>
      <c r="Y334" s="5" t="str">
        <f t="shared" ca="1" si="29"/>
        <v/>
      </c>
    </row>
    <row r="335" spans="1:25">
      <c r="A335" s="6">
        <f t="shared" si="26"/>
        <v>366</v>
      </c>
      <c r="B335" s="6" t="s">
        <v>1158</v>
      </c>
      <c r="C335" s="6">
        <v>2</v>
      </c>
      <c r="D335" s="6">
        <v>8</v>
      </c>
      <c r="L335" s="6" t="str">
        <f t="shared" si="25"/>
        <v>SELECT 366, N'wyławiać', 2, 8 UNION ALL</v>
      </c>
      <c r="Q335" s="6">
        <f t="shared" ca="1" si="27"/>
        <v>0</v>
      </c>
      <c r="R335" s="6">
        <f t="shared" ca="1" si="28"/>
        <v>0</v>
      </c>
      <c r="U335" s="6" t="str">
        <f ca="1">IF(Q335&gt;0,"SELECT "&amp;COUNTIF($Q$1:$T334,"&gt;0")+1&amp;", "&amp;$A335&amp;", "&amp;Q335&amp;" UNION ALL","")</f>
        <v/>
      </c>
      <c r="V335" s="6" t="str">
        <f ca="1">IF(R335&gt;0,"SELECT "&amp;COUNTIF($Q$1:$T334,"&gt;0")+COUNTIF($Q335:Q335,"&gt;0")+1&amp;", "&amp;$A335&amp;", "&amp;R335&amp;" UNION ALL","")</f>
        <v/>
      </c>
      <c r="W335" s="6" t="str">
        <f>IF(S335&gt;0,"SELECT "&amp;COUNTIF($Q$1:$T334,"&gt;0")+COUNTIF($Q335:R335,"&gt;0")+1&amp;", "&amp;$A335&amp;", "&amp;S335&amp;" UNION ALL","")</f>
        <v/>
      </c>
      <c r="X335" s="6" t="str">
        <f>IF(T335&gt;0,"SELECT "&amp;COUNTIF($Q$1:$T334,"&gt;0")+COUNTIF($Q335:S335,"&gt;0")+1&amp;", "&amp;$A335&amp;", "&amp;T335&amp;" UNION ALL","")</f>
        <v/>
      </c>
      <c r="Y335" s="5" t="str">
        <f t="shared" ca="1" si="29"/>
        <v/>
      </c>
    </row>
    <row r="336" spans="1:25">
      <c r="A336" s="6">
        <f t="shared" si="26"/>
        <v>367</v>
      </c>
      <c r="B336" s="6" t="s">
        <v>1159</v>
      </c>
      <c r="C336" s="6">
        <v>2</v>
      </c>
      <c r="D336" s="6">
        <v>10</v>
      </c>
      <c r="L336" s="6" t="str">
        <f t="shared" si="25"/>
        <v>SELECT 367, N'zajmować', 2, 10 UNION ALL</v>
      </c>
      <c r="Q336" s="6">
        <f t="shared" ca="1" si="27"/>
        <v>0</v>
      </c>
      <c r="R336" s="6">
        <f t="shared" ca="1" si="28"/>
        <v>0</v>
      </c>
      <c r="U336" s="6" t="str">
        <f ca="1">IF(Q336&gt;0,"SELECT "&amp;COUNTIF($Q$1:$T335,"&gt;0")+1&amp;", "&amp;$A336&amp;", "&amp;Q336&amp;" UNION ALL","")</f>
        <v/>
      </c>
      <c r="V336" s="6" t="str">
        <f ca="1">IF(R336&gt;0,"SELECT "&amp;COUNTIF($Q$1:$T335,"&gt;0")+COUNTIF($Q336:Q336,"&gt;0")+1&amp;", "&amp;$A336&amp;", "&amp;R336&amp;" UNION ALL","")</f>
        <v/>
      </c>
      <c r="W336" s="6" t="str">
        <f>IF(S336&gt;0,"SELECT "&amp;COUNTIF($Q$1:$T335,"&gt;0")+COUNTIF($Q336:R336,"&gt;0")+1&amp;", "&amp;$A336&amp;", "&amp;S336&amp;" UNION ALL","")</f>
        <v/>
      </c>
      <c r="X336" s="6" t="str">
        <f>IF(T336&gt;0,"SELECT "&amp;COUNTIF($Q$1:$T335,"&gt;0")+COUNTIF($Q336:S336,"&gt;0")+1&amp;", "&amp;$A336&amp;", "&amp;T336&amp;" UNION ALL","")</f>
        <v/>
      </c>
      <c r="Y336" s="5" t="str">
        <f t="shared" ca="1" si="29"/>
        <v/>
      </c>
    </row>
    <row r="337" spans="1:25">
      <c r="A337" s="6">
        <f t="shared" si="26"/>
        <v>368</v>
      </c>
      <c r="B337" s="6" t="s">
        <v>1160</v>
      </c>
      <c r="C337" s="6">
        <v>2</v>
      </c>
      <c r="D337" s="6">
        <v>10</v>
      </c>
      <c r="L337" s="6" t="str">
        <f t="shared" si="25"/>
        <v>SELECT 368, N'stawiać', 2, 10 UNION ALL</v>
      </c>
      <c r="Q337" s="6">
        <f t="shared" ca="1" si="27"/>
        <v>0</v>
      </c>
      <c r="R337" s="6">
        <f t="shared" ca="1" si="28"/>
        <v>0</v>
      </c>
      <c r="U337" s="6" t="str">
        <f ca="1">IF(Q337&gt;0,"SELECT "&amp;COUNTIF($Q$1:$T336,"&gt;0")+1&amp;", "&amp;$A337&amp;", "&amp;Q337&amp;" UNION ALL","")</f>
        <v/>
      </c>
      <c r="V337" s="6" t="str">
        <f ca="1">IF(R337&gt;0,"SELECT "&amp;COUNTIF($Q$1:$T336,"&gt;0")+COUNTIF($Q337:Q337,"&gt;0")+1&amp;", "&amp;$A337&amp;", "&amp;R337&amp;" UNION ALL","")</f>
        <v/>
      </c>
      <c r="W337" s="6" t="str">
        <f>IF(S337&gt;0,"SELECT "&amp;COUNTIF($Q$1:$T336,"&gt;0")+COUNTIF($Q337:R337,"&gt;0")+1&amp;", "&amp;$A337&amp;", "&amp;S337&amp;" UNION ALL","")</f>
        <v/>
      </c>
      <c r="X337" s="6" t="str">
        <f>IF(T337&gt;0,"SELECT "&amp;COUNTIF($Q$1:$T336,"&gt;0")+COUNTIF($Q337:S337,"&gt;0")+1&amp;", "&amp;$A337&amp;", "&amp;T337&amp;" UNION ALL","")</f>
        <v/>
      </c>
      <c r="Y337" s="5" t="str">
        <f t="shared" ca="1" si="29"/>
        <v/>
      </c>
    </row>
    <row r="338" spans="1:25">
      <c r="A338" s="6">
        <f t="shared" si="26"/>
        <v>369</v>
      </c>
      <c r="B338" s="6" t="s">
        <v>1161</v>
      </c>
      <c r="C338" s="6">
        <v>2</v>
      </c>
      <c r="D338" s="6">
        <v>10</v>
      </c>
      <c r="L338" s="6" t="str">
        <f t="shared" si="25"/>
        <v>SELECT 369, N'dawać', 2, 10 UNION ALL</v>
      </c>
      <c r="Q338" s="6">
        <f t="shared" ca="1" si="27"/>
        <v>0</v>
      </c>
      <c r="R338" s="6">
        <f t="shared" ca="1" si="28"/>
        <v>0</v>
      </c>
      <c r="U338" s="6" t="str">
        <f ca="1">IF(Q338&gt;0,"SELECT "&amp;COUNTIF($Q$1:$T337,"&gt;0")+1&amp;", "&amp;$A338&amp;", "&amp;Q338&amp;" UNION ALL","")</f>
        <v/>
      </c>
      <c r="V338" s="6" t="str">
        <f ca="1">IF(R338&gt;0,"SELECT "&amp;COUNTIF($Q$1:$T337,"&gt;0")+COUNTIF($Q338:Q338,"&gt;0")+1&amp;", "&amp;$A338&amp;", "&amp;R338&amp;" UNION ALL","")</f>
        <v/>
      </c>
      <c r="W338" s="6" t="str">
        <f>IF(S338&gt;0,"SELECT "&amp;COUNTIF($Q$1:$T337,"&gt;0")+COUNTIF($Q338:R338,"&gt;0")+1&amp;", "&amp;$A338&amp;", "&amp;S338&amp;" UNION ALL","")</f>
        <v/>
      </c>
      <c r="X338" s="6" t="str">
        <f>IF(T338&gt;0,"SELECT "&amp;COUNTIF($Q$1:$T337,"&gt;0")+COUNTIF($Q338:S338,"&gt;0")+1&amp;", "&amp;$A338&amp;", "&amp;T338&amp;" UNION ALL","")</f>
        <v/>
      </c>
      <c r="Y338" s="5" t="str">
        <f t="shared" ca="1" si="29"/>
        <v/>
      </c>
    </row>
    <row r="339" spans="1:25">
      <c r="A339" s="6">
        <f t="shared" si="26"/>
        <v>370</v>
      </c>
      <c r="B339" s="6" t="s">
        <v>1162</v>
      </c>
      <c r="C339" s="6">
        <v>2</v>
      </c>
      <c r="D339" s="6">
        <v>10</v>
      </c>
      <c r="L339" s="6" t="str">
        <f t="shared" si="25"/>
        <v>SELECT 370, N'wyglądać', 2, 10 UNION ALL</v>
      </c>
      <c r="Q339" s="6">
        <f t="shared" ca="1" si="27"/>
        <v>0</v>
      </c>
      <c r="R339" s="6">
        <f t="shared" ca="1" si="28"/>
        <v>0</v>
      </c>
      <c r="U339" s="6" t="str">
        <f ca="1">IF(Q339&gt;0,"SELECT "&amp;COUNTIF($Q$1:$T338,"&gt;0")+1&amp;", "&amp;$A339&amp;", "&amp;Q339&amp;" UNION ALL","")</f>
        <v/>
      </c>
      <c r="V339" s="6" t="str">
        <f ca="1">IF(R339&gt;0,"SELECT "&amp;COUNTIF($Q$1:$T338,"&gt;0")+COUNTIF($Q339:Q339,"&gt;0")+1&amp;", "&amp;$A339&amp;", "&amp;R339&amp;" UNION ALL","")</f>
        <v/>
      </c>
      <c r="W339" s="6" t="str">
        <f>IF(S339&gt;0,"SELECT "&amp;COUNTIF($Q$1:$T338,"&gt;0")+COUNTIF($Q339:R339,"&gt;0")+1&amp;", "&amp;$A339&amp;", "&amp;S339&amp;" UNION ALL","")</f>
        <v/>
      </c>
      <c r="X339" s="6" t="str">
        <f>IF(T339&gt;0,"SELECT "&amp;COUNTIF($Q$1:$T338,"&gt;0")+COUNTIF($Q339:S339,"&gt;0")+1&amp;", "&amp;$A339&amp;", "&amp;T339&amp;" UNION ALL","")</f>
        <v/>
      </c>
      <c r="Y339" s="5" t="str">
        <f t="shared" ca="1" si="29"/>
        <v/>
      </c>
    </row>
    <row r="340" spans="1:25">
      <c r="A340" s="6">
        <f t="shared" si="26"/>
        <v>371</v>
      </c>
      <c r="B340" s="6" t="s">
        <v>1163</v>
      </c>
      <c r="C340" s="6">
        <v>1</v>
      </c>
      <c r="D340" s="6">
        <v>10</v>
      </c>
      <c r="L340" s="6" t="str">
        <f t="shared" si="25"/>
        <v>SELECT 371, N'morze', 1, 10 UNION ALL</v>
      </c>
      <c r="M340" t="s">
        <v>1436</v>
      </c>
      <c r="Q340" s="6">
        <f t="shared" ca="1" si="27"/>
        <v>11</v>
      </c>
      <c r="R340" s="6">
        <f t="shared" ca="1" si="28"/>
        <v>0</v>
      </c>
      <c r="U340" s="6" t="str">
        <f ca="1">IF(Q340&gt;0,"SELECT "&amp;COUNTIF($Q$1:$T339,"&gt;0")+1&amp;", "&amp;$A340&amp;", "&amp;Q340&amp;" UNION ALL","")</f>
        <v>SELECT 310, 371, 11 UNION ALL</v>
      </c>
      <c r="V340" s="6" t="str">
        <f ca="1">IF(R340&gt;0,"SELECT "&amp;COUNTIF($Q$1:$T339,"&gt;0")+COUNTIF($Q340:Q340,"&gt;0")+1&amp;", "&amp;$A340&amp;", "&amp;R340&amp;" UNION ALL","")</f>
        <v/>
      </c>
      <c r="W340" s="6" t="str">
        <f>IF(S340&gt;0,"SELECT "&amp;COUNTIF($Q$1:$T339,"&gt;0")+COUNTIF($Q340:R340,"&gt;0")+1&amp;", "&amp;$A340&amp;", "&amp;S340&amp;" UNION ALL","")</f>
        <v/>
      </c>
      <c r="X340" s="6" t="str">
        <f>IF(T340&gt;0,"SELECT "&amp;COUNTIF($Q$1:$T339,"&gt;0")+COUNTIF($Q340:S340,"&gt;0")+1&amp;", "&amp;$A340&amp;", "&amp;T340&amp;" UNION ALL","")</f>
        <v/>
      </c>
      <c r="Y340" s="5" t="str">
        <f t="shared" ca="1" si="29"/>
        <v>SELECT 310, 371, 11 UNION ALL</v>
      </c>
    </row>
    <row r="341" spans="1:25">
      <c r="A341" s="6">
        <f t="shared" si="26"/>
        <v>372</v>
      </c>
      <c r="B341" s="6" t="s">
        <v>1164</v>
      </c>
      <c r="C341" s="6">
        <v>1</v>
      </c>
      <c r="D341" s="6">
        <v>10</v>
      </c>
      <c r="L341" s="6" t="str">
        <f t="shared" si="25"/>
        <v>SELECT 372, N'jezioro', 1, 10 UNION ALL</v>
      </c>
      <c r="M341" s="6" t="s">
        <v>1436</v>
      </c>
      <c r="Q341" s="6">
        <f t="shared" ca="1" si="27"/>
        <v>11</v>
      </c>
      <c r="R341" s="6">
        <f t="shared" ca="1" si="28"/>
        <v>0</v>
      </c>
      <c r="U341" s="6" t="str">
        <f ca="1">IF(Q341&gt;0,"SELECT "&amp;COUNTIF($Q$1:$T340,"&gt;0")+1&amp;", "&amp;$A341&amp;", "&amp;Q341&amp;" UNION ALL","")</f>
        <v>SELECT 311, 372, 11 UNION ALL</v>
      </c>
      <c r="V341" s="6" t="str">
        <f ca="1">IF(R341&gt;0,"SELECT "&amp;COUNTIF($Q$1:$T340,"&gt;0")+COUNTIF($Q341:Q341,"&gt;0")+1&amp;", "&amp;$A341&amp;", "&amp;R341&amp;" UNION ALL","")</f>
        <v/>
      </c>
      <c r="W341" s="6" t="str">
        <f>IF(S341&gt;0,"SELECT "&amp;COUNTIF($Q$1:$T340,"&gt;0")+COUNTIF($Q341:R341,"&gt;0")+1&amp;", "&amp;$A341&amp;", "&amp;S341&amp;" UNION ALL","")</f>
        <v/>
      </c>
      <c r="X341" s="6" t="str">
        <f>IF(T341&gt;0,"SELECT "&amp;COUNTIF($Q$1:$T340,"&gt;0")+COUNTIF($Q341:S341,"&gt;0")+1&amp;", "&amp;$A341&amp;", "&amp;T341&amp;" UNION ALL","")</f>
        <v/>
      </c>
      <c r="Y341" s="5" t="str">
        <f t="shared" ca="1" si="29"/>
        <v>SELECT 311, 372, 11 UNION ALL</v>
      </c>
    </row>
    <row r="342" spans="1:25">
      <c r="A342" s="6">
        <f t="shared" si="26"/>
        <v>373</v>
      </c>
      <c r="B342" s="6" t="s">
        <v>1165</v>
      </c>
      <c r="C342" s="6">
        <v>1</v>
      </c>
      <c r="D342" s="6">
        <v>10</v>
      </c>
      <c r="L342" s="6" t="str">
        <f t="shared" si="25"/>
        <v>SELECT 373, N'plaża', 1, 10 UNION ALL</v>
      </c>
      <c r="M342" t="s">
        <v>1423</v>
      </c>
      <c r="Q342" s="6">
        <f t="shared" ca="1" si="27"/>
        <v>63</v>
      </c>
      <c r="R342" s="6">
        <f t="shared" ca="1" si="28"/>
        <v>0</v>
      </c>
      <c r="U342" s="6" t="str">
        <f ca="1">IF(Q342&gt;0,"SELECT "&amp;COUNTIF($Q$1:$T341,"&gt;0")+1&amp;", "&amp;$A342&amp;", "&amp;Q342&amp;" UNION ALL","")</f>
        <v>SELECT 312, 373, 63 UNION ALL</v>
      </c>
      <c r="V342" s="6" t="str">
        <f ca="1">IF(R342&gt;0,"SELECT "&amp;COUNTIF($Q$1:$T341,"&gt;0")+COUNTIF($Q342:Q342,"&gt;0")+1&amp;", "&amp;$A342&amp;", "&amp;R342&amp;" UNION ALL","")</f>
        <v/>
      </c>
      <c r="W342" s="6" t="str">
        <f>IF(S342&gt;0,"SELECT "&amp;COUNTIF($Q$1:$T341,"&gt;0")+COUNTIF($Q342:R342,"&gt;0")+1&amp;", "&amp;$A342&amp;", "&amp;S342&amp;" UNION ALL","")</f>
        <v/>
      </c>
      <c r="X342" s="6" t="str">
        <f>IF(T342&gt;0,"SELECT "&amp;COUNTIF($Q$1:$T341,"&gt;0")+COUNTIF($Q342:S342,"&gt;0")+1&amp;", "&amp;$A342&amp;", "&amp;T342&amp;" UNION ALL","")</f>
        <v/>
      </c>
      <c r="Y342" s="5" t="str">
        <f t="shared" ca="1" si="29"/>
        <v>SELECT 312, 373, 63 UNION ALL</v>
      </c>
    </row>
    <row r="343" spans="1:25">
      <c r="A343" s="6">
        <f t="shared" si="26"/>
        <v>374</v>
      </c>
      <c r="B343" s="6" t="s">
        <v>1166</v>
      </c>
      <c r="C343" s="6">
        <v>3</v>
      </c>
      <c r="D343" s="6">
        <v>10</v>
      </c>
      <c r="L343" s="6" t="str">
        <f t="shared" si="25"/>
        <v>SELECT 374, N'sam', 3, 10 UNION ALL</v>
      </c>
      <c r="Q343" s="6">
        <f t="shared" ca="1" si="27"/>
        <v>0</v>
      </c>
      <c r="R343" s="6">
        <f t="shared" ca="1" si="28"/>
        <v>0</v>
      </c>
      <c r="U343" s="6" t="str">
        <f ca="1">IF(Q343&gt;0,"SELECT "&amp;COUNTIF($Q$1:$T342,"&gt;0")+1&amp;", "&amp;$A343&amp;", "&amp;Q343&amp;" UNION ALL","")</f>
        <v/>
      </c>
      <c r="V343" s="6" t="str">
        <f ca="1">IF(R343&gt;0,"SELECT "&amp;COUNTIF($Q$1:$T342,"&gt;0")+COUNTIF($Q343:Q343,"&gt;0")+1&amp;", "&amp;$A343&amp;", "&amp;R343&amp;" UNION ALL","")</f>
        <v/>
      </c>
      <c r="W343" s="6" t="str">
        <f>IF(S343&gt;0,"SELECT "&amp;COUNTIF($Q$1:$T342,"&gt;0")+COUNTIF($Q343:R343,"&gt;0")+1&amp;", "&amp;$A343&amp;", "&amp;S343&amp;" UNION ALL","")</f>
        <v/>
      </c>
      <c r="X343" s="6" t="str">
        <f>IF(T343&gt;0,"SELECT "&amp;COUNTIF($Q$1:$T342,"&gt;0")+COUNTIF($Q343:S343,"&gt;0")+1&amp;", "&amp;$A343&amp;", "&amp;T343&amp;" UNION ALL","")</f>
        <v/>
      </c>
      <c r="Y343" s="5" t="str">
        <f t="shared" ca="1" si="29"/>
        <v/>
      </c>
    </row>
    <row r="344" spans="1:25">
      <c r="A344" s="6">
        <f t="shared" si="26"/>
        <v>375</v>
      </c>
      <c r="B344" s="6" t="s">
        <v>1167</v>
      </c>
      <c r="C344" s="6">
        <v>2</v>
      </c>
      <c r="D344" s="6">
        <v>10</v>
      </c>
      <c r="L344" s="6" t="str">
        <f t="shared" si="25"/>
        <v>SELECT 375, N'zdążyć', 2, 10 UNION ALL</v>
      </c>
      <c r="Q344" s="6">
        <f t="shared" ca="1" si="27"/>
        <v>0</v>
      </c>
      <c r="R344" s="6">
        <f t="shared" ca="1" si="28"/>
        <v>0</v>
      </c>
      <c r="U344" s="6" t="str">
        <f ca="1">IF(Q344&gt;0,"SELECT "&amp;COUNTIF($Q$1:$T343,"&gt;0")+1&amp;", "&amp;$A344&amp;", "&amp;Q344&amp;" UNION ALL","")</f>
        <v/>
      </c>
      <c r="V344" s="6" t="str">
        <f ca="1">IF(R344&gt;0,"SELECT "&amp;COUNTIF($Q$1:$T343,"&gt;0")+COUNTIF($Q344:Q344,"&gt;0")+1&amp;", "&amp;$A344&amp;", "&amp;R344&amp;" UNION ALL","")</f>
        <v/>
      </c>
      <c r="W344" s="6" t="str">
        <f>IF(S344&gt;0,"SELECT "&amp;COUNTIF($Q$1:$T343,"&gt;0")+COUNTIF($Q344:R344,"&gt;0")+1&amp;", "&amp;$A344&amp;", "&amp;S344&amp;" UNION ALL","")</f>
        <v/>
      </c>
      <c r="X344" s="6" t="str">
        <f>IF(T344&gt;0,"SELECT "&amp;COUNTIF($Q$1:$T343,"&gt;0")+COUNTIF($Q344:S344,"&gt;0")+1&amp;", "&amp;$A344&amp;", "&amp;T344&amp;" UNION ALL","")</f>
        <v/>
      </c>
      <c r="Y344" s="5" t="str">
        <f t="shared" ca="1" si="29"/>
        <v/>
      </c>
    </row>
    <row r="345" spans="1:25">
      <c r="A345" s="6">
        <f t="shared" si="26"/>
        <v>376</v>
      </c>
      <c r="B345" s="6" t="s">
        <v>1168</v>
      </c>
      <c r="C345" s="6">
        <v>2</v>
      </c>
      <c r="D345" s="6">
        <v>10</v>
      </c>
      <c r="L345" s="6" t="str">
        <f t="shared" ref="L345:L408" si="30">"SELECT "&amp;A345&amp;", N'"&amp;B345&amp;"', "&amp;C345&amp;", "&amp;D345&amp;" UNION ALL"</f>
        <v>SELECT 376, N'słyszeć', 2, 10 UNION ALL</v>
      </c>
      <c r="Q345" s="6">
        <f t="shared" ca="1" si="27"/>
        <v>0</v>
      </c>
      <c r="R345" s="6">
        <f t="shared" ca="1" si="28"/>
        <v>0</v>
      </c>
      <c r="U345" s="6" t="str">
        <f ca="1">IF(Q345&gt;0,"SELECT "&amp;COUNTIF($Q$1:$T344,"&gt;0")+1&amp;", "&amp;$A345&amp;", "&amp;Q345&amp;" UNION ALL","")</f>
        <v/>
      </c>
      <c r="V345" s="6" t="str">
        <f ca="1">IF(R345&gt;0,"SELECT "&amp;COUNTIF($Q$1:$T344,"&gt;0")+COUNTIF($Q345:Q345,"&gt;0")+1&amp;", "&amp;$A345&amp;", "&amp;R345&amp;" UNION ALL","")</f>
        <v/>
      </c>
      <c r="W345" s="6" t="str">
        <f>IF(S345&gt;0,"SELECT "&amp;COUNTIF($Q$1:$T344,"&gt;0")+COUNTIF($Q345:R345,"&gt;0")+1&amp;", "&amp;$A345&amp;", "&amp;S345&amp;" UNION ALL","")</f>
        <v/>
      </c>
      <c r="X345" s="6" t="str">
        <f>IF(T345&gt;0,"SELECT "&amp;COUNTIF($Q$1:$T344,"&gt;0")+COUNTIF($Q345:S345,"&gt;0")+1&amp;", "&amp;$A345&amp;", "&amp;T345&amp;" UNION ALL","")</f>
        <v/>
      </c>
      <c r="Y345" s="5" t="str">
        <f t="shared" ca="1" si="29"/>
        <v/>
      </c>
    </row>
    <row r="346" spans="1:25">
      <c r="A346" s="6">
        <f t="shared" si="26"/>
        <v>377</v>
      </c>
      <c r="B346" s="6" t="s">
        <v>1169</v>
      </c>
      <c r="C346" s="6">
        <v>2</v>
      </c>
      <c r="D346" s="6">
        <v>10</v>
      </c>
      <c r="L346" s="6" t="str">
        <f t="shared" si="30"/>
        <v>SELECT 377, N'czuć', 2, 10 UNION ALL</v>
      </c>
      <c r="Q346" s="6">
        <f t="shared" ca="1" si="27"/>
        <v>0</v>
      </c>
      <c r="R346" s="6">
        <f t="shared" ca="1" si="28"/>
        <v>0</v>
      </c>
      <c r="U346" s="6" t="str">
        <f ca="1">IF(Q346&gt;0,"SELECT "&amp;COUNTIF($Q$1:$T345,"&gt;0")+1&amp;", "&amp;$A346&amp;", "&amp;Q346&amp;" UNION ALL","")</f>
        <v/>
      </c>
      <c r="V346" s="6" t="str">
        <f ca="1">IF(R346&gt;0,"SELECT "&amp;COUNTIF($Q$1:$T345,"&gt;0")+COUNTIF($Q346:Q346,"&gt;0")+1&amp;", "&amp;$A346&amp;", "&amp;R346&amp;" UNION ALL","")</f>
        <v/>
      </c>
      <c r="W346" s="6" t="str">
        <f>IF(S346&gt;0,"SELECT "&amp;COUNTIF($Q$1:$T345,"&gt;0")+COUNTIF($Q346:R346,"&gt;0")+1&amp;", "&amp;$A346&amp;", "&amp;S346&amp;" UNION ALL","")</f>
        <v/>
      </c>
      <c r="X346" s="6" t="str">
        <f>IF(T346&gt;0,"SELECT "&amp;COUNTIF($Q$1:$T345,"&gt;0")+COUNTIF($Q346:S346,"&gt;0")+1&amp;", "&amp;$A346&amp;", "&amp;T346&amp;" UNION ALL","")</f>
        <v/>
      </c>
      <c r="Y346" s="5" t="str">
        <f t="shared" ca="1" si="29"/>
        <v/>
      </c>
    </row>
    <row r="347" spans="1:25">
      <c r="A347" s="6">
        <f t="shared" si="26"/>
        <v>378</v>
      </c>
      <c r="B347" s="6" t="s">
        <v>1170</v>
      </c>
      <c r="C347" s="6">
        <v>2</v>
      </c>
      <c r="D347" s="6">
        <v>10</v>
      </c>
      <c r="L347" s="6" t="str">
        <f t="shared" si="30"/>
        <v>SELECT 378, N'oczekiwać', 2, 10 UNION ALL</v>
      </c>
      <c r="Q347" s="6">
        <f t="shared" ca="1" si="27"/>
        <v>0</v>
      </c>
      <c r="R347" s="6">
        <f t="shared" ca="1" si="28"/>
        <v>0</v>
      </c>
      <c r="U347" s="6" t="str">
        <f ca="1">IF(Q347&gt;0,"SELECT "&amp;COUNTIF($Q$1:$T346,"&gt;0")+1&amp;", "&amp;$A347&amp;", "&amp;Q347&amp;" UNION ALL","")</f>
        <v/>
      </c>
      <c r="V347" s="6" t="str">
        <f ca="1">IF(R347&gt;0,"SELECT "&amp;COUNTIF($Q$1:$T346,"&gt;0")+COUNTIF($Q347:Q347,"&gt;0")+1&amp;", "&amp;$A347&amp;", "&amp;R347&amp;" UNION ALL","")</f>
        <v/>
      </c>
      <c r="W347" s="6" t="str">
        <f>IF(S347&gt;0,"SELECT "&amp;COUNTIF($Q$1:$T346,"&gt;0")+COUNTIF($Q347:R347,"&gt;0")+1&amp;", "&amp;$A347&amp;", "&amp;S347&amp;" UNION ALL","")</f>
        <v/>
      </c>
      <c r="X347" s="6" t="str">
        <f>IF(T347&gt;0,"SELECT "&amp;COUNTIF($Q$1:$T346,"&gt;0")+COUNTIF($Q347:S347,"&gt;0")+1&amp;", "&amp;$A347&amp;", "&amp;T347&amp;" UNION ALL","")</f>
        <v/>
      </c>
      <c r="Y347" s="5" t="str">
        <f t="shared" ca="1" si="29"/>
        <v/>
      </c>
    </row>
    <row r="348" spans="1:25">
      <c r="A348" s="6">
        <f t="shared" si="26"/>
        <v>379</v>
      </c>
      <c r="B348" s="6" t="s">
        <v>1171</v>
      </c>
      <c r="C348" s="6">
        <v>2</v>
      </c>
      <c r="D348" s="6">
        <v>10</v>
      </c>
      <c r="L348" s="6" t="str">
        <f t="shared" si="30"/>
        <v>SELECT 379, N'informować', 2, 10 UNION ALL</v>
      </c>
      <c r="Q348" s="6">
        <f t="shared" ca="1" si="27"/>
        <v>0</v>
      </c>
      <c r="R348" s="6">
        <f t="shared" ca="1" si="28"/>
        <v>0</v>
      </c>
      <c r="U348" s="6" t="str">
        <f ca="1">IF(Q348&gt;0,"SELECT "&amp;COUNTIF($Q$1:$T347,"&gt;0")+1&amp;", "&amp;$A348&amp;", "&amp;Q348&amp;" UNION ALL","")</f>
        <v/>
      </c>
      <c r="V348" s="6" t="str">
        <f ca="1">IF(R348&gt;0,"SELECT "&amp;COUNTIF($Q$1:$T347,"&gt;0")+COUNTIF($Q348:Q348,"&gt;0")+1&amp;", "&amp;$A348&amp;", "&amp;R348&amp;" UNION ALL","")</f>
        <v/>
      </c>
      <c r="W348" s="6" t="str">
        <f>IF(S348&gt;0,"SELECT "&amp;COUNTIF($Q$1:$T347,"&gt;0")+COUNTIF($Q348:R348,"&gt;0")+1&amp;", "&amp;$A348&amp;", "&amp;S348&amp;" UNION ALL","")</f>
        <v/>
      </c>
      <c r="X348" s="6" t="str">
        <f>IF(T348&gt;0,"SELECT "&amp;COUNTIF($Q$1:$T347,"&gt;0")+COUNTIF($Q348:S348,"&gt;0")+1&amp;", "&amp;$A348&amp;", "&amp;T348&amp;" UNION ALL","")</f>
        <v/>
      </c>
      <c r="Y348" s="5" t="str">
        <f t="shared" ca="1" si="29"/>
        <v/>
      </c>
    </row>
    <row r="349" spans="1:25">
      <c r="A349" s="6">
        <f t="shared" si="26"/>
        <v>380</v>
      </c>
      <c r="B349" s="6" t="s">
        <v>1172</v>
      </c>
      <c r="C349" s="6">
        <v>2</v>
      </c>
      <c r="D349" s="6">
        <v>10</v>
      </c>
      <c r="L349" s="6" t="str">
        <f t="shared" si="30"/>
        <v>SELECT 380, N'uczyć', 2, 10 UNION ALL</v>
      </c>
      <c r="Q349" s="6">
        <f t="shared" ca="1" si="27"/>
        <v>0</v>
      </c>
      <c r="R349" s="6">
        <f t="shared" ca="1" si="28"/>
        <v>0</v>
      </c>
      <c r="U349" s="6" t="str">
        <f ca="1">IF(Q349&gt;0,"SELECT "&amp;COUNTIF($Q$1:$T348,"&gt;0")+1&amp;", "&amp;$A349&amp;", "&amp;Q349&amp;" UNION ALL","")</f>
        <v/>
      </c>
      <c r="V349" s="6" t="str">
        <f ca="1">IF(R349&gt;0,"SELECT "&amp;COUNTIF($Q$1:$T348,"&gt;0")+COUNTIF($Q349:Q349,"&gt;0")+1&amp;", "&amp;$A349&amp;", "&amp;R349&amp;" UNION ALL","")</f>
        <v/>
      </c>
      <c r="W349" s="6" t="str">
        <f>IF(S349&gt;0,"SELECT "&amp;COUNTIF($Q$1:$T348,"&gt;0")+COUNTIF($Q349:R349,"&gt;0")+1&amp;", "&amp;$A349&amp;", "&amp;S349&amp;" UNION ALL","")</f>
        <v/>
      </c>
      <c r="X349" s="6" t="str">
        <f>IF(T349&gt;0,"SELECT "&amp;COUNTIF($Q$1:$T348,"&gt;0")+COUNTIF($Q349:S349,"&gt;0")+1&amp;", "&amp;$A349&amp;", "&amp;T349&amp;" UNION ALL","")</f>
        <v/>
      </c>
      <c r="Y349" s="5" t="str">
        <f t="shared" ca="1" si="29"/>
        <v/>
      </c>
    </row>
    <row r="350" spans="1:25">
      <c r="A350" s="6">
        <f t="shared" si="26"/>
        <v>381</v>
      </c>
      <c r="B350" s="6" t="s">
        <v>1173</v>
      </c>
      <c r="C350" s="6">
        <v>3</v>
      </c>
      <c r="D350" s="6">
        <v>10</v>
      </c>
      <c r="L350" s="6" t="str">
        <f t="shared" si="30"/>
        <v>SELECT 381, N'angielski', 3, 10 UNION ALL</v>
      </c>
      <c r="M350" s="6" t="s">
        <v>555</v>
      </c>
      <c r="Q350" s="6">
        <f t="shared" ca="1" si="27"/>
        <v>4</v>
      </c>
      <c r="R350" s="6">
        <f t="shared" ca="1" si="28"/>
        <v>0</v>
      </c>
      <c r="U350" s="6" t="str">
        <f ca="1">IF(Q350&gt;0,"SELECT "&amp;COUNTIF($Q$1:$T349,"&gt;0")+1&amp;", "&amp;$A350&amp;", "&amp;Q350&amp;" UNION ALL","")</f>
        <v>SELECT 313, 381, 4 UNION ALL</v>
      </c>
      <c r="V350" s="6" t="str">
        <f ca="1">IF(R350&gt;0,"SELECT "&amp;COUNTIF($Q$1:$T349,"&gt;0")+COUNTIF($Q350:Q350,"&gt;0")+1&amp;", "&amp;$A350&amp;", "&amp;R350&amp;" UNION ALL","")</f>
        <v/>
      </c>
      <c r="W350" s="6" t="str">
        <f>IF(S350&gt;0,"SELECT "&amp;COUNTIF($Q$1:$T349,"&gt;0")+COUNTIF($Q350:R350,"&gt;0")+1&amp;", "&amp;$A350&amp;", "&amp;S350&amp;" UNION ALL","")</f>
        <v/>
      </c>
      <c r="X350" s="6" t="str">
        <f>IF(T350&gt;0,"SELECT "&amp;COUNTIF($Q$1:$T349,"&gt;0")+COUNTIF($Q350:S350,"&gt;0")+1&amp;", "&amp;$A350&amp;", "&amp;T350&amp;" UNION ALL","")</f>
        <v/>
      </c>
      <c r="Y350" s="5" t="str">
        <f t="shared" ca="1" si="29"/>
        <v>SELECT 313, 381, 4 UNION ALL</v>
      </c>
    </row>
    <row r="351" spans="1:25">
      <c r="A351" s="6">
        <f t="shared" si="26"/>
        <v>382</v>
      </c>
      <c r="B351" s="6" t="s">
        <v>1174</v>
      </c>
      <c r="C351" s="6">
        <v>3</v>
      </c>
      <c r="D351" s="6">
        <v>10</v>
      </c>
      <c r="L351" s="6" t="str">
        <f t="shared" si="30"/>
        <v>SELECT 382, N'hiszpański', 3, 10 UNION ALL</v>
      </c>
      <c r="M351" s="6" t="s">
        <v>555</v>
      </c>
      <c r="Q351" s="6">
        <f t="shared" ca="1" si="27"/>
        <v>4</v>
      </c>
      <c r="R351" s="6">
        <f t="shared" ca="1" si="28"/>
        <v>0</v>
      </c>
      <c r="U351" s="6" t="str">
        <f ca="1">IF(Q351&gt;0,"SELECT "&amp;COUNTIF($Q$1:$T350,"&gt;0")+1&amp;", "&amp;$A351&amp;", "&amp;Q351&amp;" UNION ALL","")</f>
        <v>SELECT 314, 382, 4 UNION ALL</v>
      </c>
      <c r="V351" s="6" t="str">
        <f ca="1">IF(R351&gt;0,"SELECT "&amp;COUNTIF($Q$1:$T350,"&gt;0")+COUNTIF($Q351:Q351,"&gt;0")+1&amp;", "&amp;$A351&amp;", "&amp;R351&amp;" UNION ALL","")</f>
        <v/>
      </c>
      <c r="W351" s="6" t="str">
        <f>IF(S351&gt;0,"SELECT "&amp;COUNTIF($Q$1:$T350,"&gt;0")+COUNTIF($Q351:R351,"&gt;0")+1&amp;", "&amp;$A351&amp;", "&amp;S351&amp;" UNION ALL","")</f>
        <v/>
      </c>
      <c r="X351" s="6" t="str">
        <f>IF(T351&gt;0,"SELECT "&amp;COUNTIF($Q$1:$T350,"&gt;0")+COUNTIF($Q351:S351,"&gt;0")+1&amp;", "&amp;$A351&amp;", "&amp;T351&amp;" UNION ALL","")</f>
        <v/>
      </c>
      <c r="Y351" s="5" t="str">
        <f t="shared" ca="1" si="29"/>
        <v>SELECT 314, 382, 4 UNION ALL</v>
      </c>
    </row>
    <row r="352" spans="1:25">
      <c r="A352" s="6">
        <f t="shared" si="26"/>
        <v>383</v>
      </c>
      <c r="B352" s="6" t="s">
        <v>1175</v>
      </c>
      <c r="C352" s="6">
        <v>3</v>
      </c>
      <c r="D352" s="6">
        <v>10</v>
      </c>
      <c r="L352" s="6" t="str">
        <f t="shared" si="30"/>
        <v>SELECT 383, N'francuski', 3, 10 UNION ALL</v>
      </c>
      <c r="M352" s="6" t="s">
        <v>555</v>
      </c>
      <c r="Q352" s="6">
        <f t="shared" ca="1" si="27"/>
        <v>4</v>
      </c>
      <c r="R352" s="6">
        <f t="shared" ca="1" si="28"/>
        <v>0</v>
      </c>
      <c r="U352" s="6" t="str">
        <f ca="1">IF(Q352&gt;0,"SELECT "&amp;COUNTIF($Q$1:$T351,"&gt;0")+1&amp;", "&amp;$A352&amp;", "&amp;Q352&amp;" UNION ALL","")</f>
        <v>SELECT 315, 383, 4 UNION ALL</v>
      </c>
      <c r="V352" s="6" t="str">
        <f ca="1">IF(R352&gt;0,"SELECT "&amp;COUNTIF($Q$1:$T351,"&gt;0")+COUNTIF($Q352:Q352,"&gt;0")+1&amp;", "&amp;$A352&amp;", "&amp;R352&amp;" UNION ALL","")</f>
        <v/>
      </c>
      <c r="W352" s="6" t="str">
        <f>IF(S352&gt;0,"SELECT "&amp;COUNTIF($Q$1:$T351,"&gt;0")+COUNTIF($Q352:R352,"&gt;0")+1&amp;", "&amp;$A352&amp;", "&amp;S352&amp;" UNION ALL","")</f>
        <v/>
      </c>
      <c r="X352" s="6" t="str">
        <f>IF(T352&gt;0,"SELECT "&amp;COUNTIF($Q$1:$T351,"&gt;0")+COUNTIF($Q352:S352,"&gt;0")+1&amp;", "&amp;$A352&amp;", "&amp;T352&amp;" UNION ALL","")</f>
        <v/>
      </c>
      <c r="Y352" s="5" t="str">
        <f t="shared" ca="1" si="29"/>
        <v>SELECT 315, 383, 4 UNION ALL</v>
      </c>
    </row>
    <row r="353" spans="1:25">
      <c r="A353" s="6">
        <f t="shared" si="26"/>
        <v>384</v>
      </c>
      <c r="B353" s="6" t="s">
        <v>1176</v>
      </c>
      <c r="C353" s="6">
        <v>3</v>
      </c>
      <c r="D353" s="6">
        <v>10</v>
      </c>
      <c r="L353" s="6" t="str">
        <f t="shared" si="30"/>
        <v>SELECT 384, N'rosyjski', 3, 10 UNION ALL</v>
      </c>
      <c r="M353" s="6" t="s">
        <v>555</v>
      </c>
      <c r="O353" s="6" t="s">
        <v>559</v>
      </c>
      <c r="Q353" s="6">
        <f t="shared" ca="1" si="27"/>
        <v>4</v>
      </c>
      <c r="R353" s="6">
        <f t="shared" ca="1" si="28"/>
        <v>0</v>
      </c>
      <c r="U353" s="6" t="str">
        <f ca="1">IF(Q353&gt;0,"SELECT "&amp;COUNTIF($Q$1:$T352,"&gt;0")+1&amp;", "&amp;$A353&amp;", "&amp;Q353&amp;" UNION ALL","")</f>
        <v>SELECT 316, 384, 4 UNION ALL</v>
      </c>
      <c r="V353" s="6" t="str">
        <f ca="1">IF(R353&gt;0,"SELECT "&amp;COUNTIF($Q$1:$T352,"&gt;0")+COUNTIF($Q353:Q353,"&gt;0")+1&amp;", "&amp;$A353&amp;", "&amp;R353&amp;" UNION ALL","")</f>
        <v/>
      </c>
      <c r="W353" s="6" t="str">
        <f>IF(S353&gt;0,"SELECT "&amp;COUNTIF($Q$1:$T352,"&gt;0")+COUNTIF($Q353:R353,"&gt;0")+1&amp;", "&amp;$A353&amp;", "&amp;S353&amp;" UNION ALL","")</f>
        <v/>
      </c>
      <c r="X353" s="6" t="str">
        <f>IF(T353&gt;0,"SELECT "&amp;COUNTIF($Q$1:$T352,"&gt;0")+COUNTIF($Q353:S353,"&gt;0")+1&amp;", "&amp;$A353&amp;", "&amp;T353&amp;" UNION ALL","")</f>
        <v/>
      </c>
      <c r="Y353" s="5" t="str">
        <f t="shared" ca="1" si="29"/>
        <v>SELECT 316, 384, 4 UNION ALL</v>
      </c>
    </row>
    <row r="354" spans="1:25">
      <c r="A354" s="6">
        <f t="shared" si="26"/>
        <v>385</v>
      </c>
      <c r="B354" s="6" t="s">
        <v>1177</v>
      </c>
      <c r="C354" s="6">
        <v>3</v>
      </c>
      <c r="D354" s="6">
        <v>10</v>
      </c>
      <c r="L354" s="6" t="str">
        <f t="shared" si="30"/>
        <v>SELECT 385, N'włoski', 3, 10 UNION ALL</v>
      </c>
      <c r="M354" s="6" t="s">
        <v>555</v>
      </c>
      <c r="Q354" s="6">
        <f t="shared" ca="1" si="27"/>
        <v>4</v>
      </c>
      <c r="R354" s="6">
        <f t="shared" ca="1" si="28"/>
        <v>0</v>
      </c>
      <c r="U354" s="6" t="str">
        <f ca="1">IF(Q354&gt;0,"SELECT "&amp;COUNTIF($Q$1:$T353,"&gt;0")+1&amp;", "&amp;$A354&amp;", "&amp;Q354&amp;" UNION ALL","")</f>
        <v>SELECT 317, 385, 4 UNION ALL</v>
      </c>
      <c r="V354" s="6" t="str">
        <f ca="1">IF(R354&gt;0,"SELECT "&amp;COUNTIF($Q$1:$T353,"&gt;0")+COUNTIF($Q354:Q354,"&gt;0")+1&amp;", "&amp;$A354&amp;", "&amp;R354&amp;" UNION ALL","")</f>
        <v/>
      </c>
      <c r="W354" s="6" t="str">
        <f>IF(S354&gt;0,"SELECT "&amp;COUNTIF($Q$1:$T353,"&gt;0")+COUNTIF($Q354:R354,"&gt;0")+1&amp;", "&amp;$A354&amp;", "&amp;S354&amp;" UNION ALL","")</f>
        <v/>
      </c>
      <c r="X354" s="6" t="str">
        <f>IF(T354&gt;0,"SELECT "&amp;COUNTIF($Q$1:$T353,"&gt;0")+COUNTIF($Q354:S354,"&gt;0")+1&amp;", "&amp;$A354&amp;", "&amp;T354&amp;" UNION ALL","")</f>
        <v/>
      </c>
      <c r="Y354" s="5" t="str">
        <f t="shared" ca="1" si="29"/>
        <v>SELECT 317, 385, 4 UNION ALL</v>
      </c>
    </row>
    <row r="355" spans="1:25">
      <c r="A355" s="6">
        <f t="shared" si="26"/>
        <v>386</v>
      </c>
      <c r="B355" s="6" t="s">
        <v>1178</v>
      </c>
      <c r="C355" s="6">
        <v>3</v>
      </c>
      <c r="D355" s="6">
        <v>10</v>
      </c>
      <c r="L355" s="6" t="str">
        <f t="shared" si="30"/>
        <v>SELECT 386, N'portugalski', 3, 10 UNION ALL</v>
      </c>
      <c r="M355" s="6" t="s">
        <v>555</v>
      </c>
      <c r="Q355" s="6">
        <f t="shared" ca="1" si="27"/>
        <v>4</v>
      </c>
      <c r="R355" s="6">
        <f t="shared" ca="1" si="28"/>
        <v>0</v>
      </c>
      <c r="U355" s="6" t="str">
        <f ca="1">IF(Q355&gt;0,"SELECT "&amp;COUNTIF($Q$1:$T354,"&gt;0")+1&amp;", "&amp;$A355&amp;", "&amp;Q355&amp;" UNION ALL","")</f>
        <v>SELECT 318, 386, 4 UNION ALL</v>
      </c>
      <c r="V355" s="6" t="str">
        <f ca="1">IF(R355&gt;0,"SELECT "&amp;COUNTIF($Q$1:$T354,"&gt;0")+COUNTIF($Q355:Q355,"&gt;0")+1&amp;", "&amp;$A355&amp;", "&amp;R355&amp;" UNION ALL","")</f>
        <v/>
      </c>
      <c r="W355" s="6" t="str">
        <f>IF(S355&gt;0,"SELECT "&amp;COUNTIF($Q$1:$T354,"&gt;0")+COUNTIF($Q355:R355,"&gt;0")+1&amp;", "&amp;$A355&amp;", "&amp;S355&amp;" UNION ALL","")</f>
        <v/>
      </c>
      <c r="X355" s="6" t="str">
        <f>IF(T355&gt;0,"SELECT "&amp;COUNTIF($Q$1:$T354,"&gt;0")+COUNTIF($Q355:S355,"&gt;0")+1&amp;", "&amp;$A355&amp;", "&amp;T355&amp;" UNION ALL","")</f>
        <v/>
      </c>
      <c r="Y355" s="5" t="str">
        <f t="shared" ca="1" si="29"/>
        <v>SELECT 318, 386, 4 UNION ALL</v>
      </c>
    </row>
    <row r="356" spans="1:25">
      <c r="A356" s="6">
        <f t="shared" si="26"/>
        <v>387</v>
      </c>
      <c r="B356" s="6" t="s">
        <v>1179</v>
      </c>
      <c r="C356" s="6">
        <v>3</v>
      </c>
      <c r="D356" s="6">
        <v>10</v>
      </c>
      <c r="L356" s="6" t="str">
        <f t="shared" si="30"/>
        <v>SELECT 387, N'arabski', 3, 10 UNION ALL</v>
      </c>
      <c r="M356" s="6" t="s">
        <v>555</v>
      </c>
      <c r="Q356" s="6">
        <f t="shared" ca="1" si="27"/>
        <v>4</v>
      </c>
      <c r="R356" s="6">
        <f t="shared" ca="1" si="28"/>
        <v>0</v>
      </c>
      <c r="U356" s="6" t="str">
        <f ca="1">IF(Q356&gt;0,"SELECT "&amp;COUNTIF($Q$1:$T355,"&gt;0")+1&amp;", "&amp;$A356&amp;", "&amp;Q356&amp;" UNION ALL","")</f>
        <v>SELECT 319, 387, 4 UNION ALL</v>
      </c>
      <c r="V356" s="6" t="str">
        <f ca="1">IF(R356&gt;0,"SELECT "&amp;COUNTIF($Q$1:$T355,"&gt;0")+COUNTIF($Q356:Q356,"&gt;0")+1&amp;", "&amp;$A356&amp;", "&amp;R356&amp;" UNION ALL","")</f>
        <v/>
      </c>
      <c r="W356" s="6" t="str">
        <f>IF(S356&gt;0,"SELECT "&amp;COUNTIF($Q$1:$T355,"&gt;0")+COUNTIF($Q356:R356,"&gt;0")+1&amp;", "&amp;$A356&amp;", "&amp;S356&amp;" UNION ALL","")</f>
        <v/>
      </c>
      <c r="X356" s="6" t="str">
        <f>IF(T356&gt;0,"SELECT "&amp;COUNTIF($Q$1:$T355,"&gt;0")+COUNTIF($Q356:S356,"&gt;0")+1&amp;", "&amp;$A356&amp;", "&amp;T356&amp;" UNION ALL","")</f>
        <v/>
      </c>
      <c r="Y356" s="5" t="str">
        <f t="shared" ca="1" si="29"/>
        <v>SELECT 319, 387, 4 UNION ALL</v>
      </c>
    </row>
    <row r="357" spans="1:25">
      <c r="A357" s="6">
        <f t="shared" si="26"/>
        <v>388</v>
      </c>
      <c r="B357" s="6" t="s">
        <v>1180</v>
      </c>
      <c r="C357" s="6">
        <v>3</v>
      </c>
      <c r="D357" s="6">
        <v>10</v>
      </c>
      <c r="L357" s="6" t="str">
        <f t="shared" si="30"/>
        <v>SELECT 388, N'japoński', 3, 10 UNION ALL</v>
      </c>
      <c r="M357" s="6" t="s">
        <v>555</v>
      </c>
      <c r="Q357" s="6">
        <f t="shared" ca="1" si="27"/>
        <v>4</v>
      </c>
      <c r="R357" s="6">
        <f t="shared" ca="1" si="28"/>
        <v>0</v>
      </c>
      <c r="U357" s="6" t="str">
        <f ca="1">IF(Q357&gt;0,"SELECT "&amp;COUNTIF($Q$1:$T356,"&gt;0")+1&amp;", "&amp;$A357&amp;", "&amp;Q357&amp;" UNION ALL","")</f>
        <v>SELECT 320, 388, 4 UNION ALL</v>
      </c>
      <c r="V357" s="6" t="str">
        <f ca="1">IF(R357&gt;0,"SELECT "&amp;COUNTIF($Q$1:$T356,"&gt;0")+COUNTIF($Q357:Q357,"&gt;0")+1&amp;", "&amp;$A357&amp;", "&amp;R357&amp;" UNION ALL","")</f>
        <v/>
      </c>
      <c r="W357" s="6" t="str">
        <f>IF(S357&gt;0,"SELECT "&amp;COUNTIF($Q$1:$T356,"&gt;0")+COUNTIF($Q357:R357,"&gt;0")+1&amp;", "&amp;$A357&amp;", "&amp;S357&amp;" UNION ALL","")</f>
        <v/>
      </c>
      <c r="X357" s="6" t="str">
        <f>IF(T357&gt;0,"SELECT "&amp;COUNTIF($Q$1:$T356,"&gt;0")+COUNTIF($Q357:S357,"&gt;0")+1&amp;", "&amp;$A357&amp;", "&amp;T357&amp;" UNION ALL","")</f>
        <v/>
      </c>
      <c r="Y357" s="5" t="str">
        <f t="shared" ca="1" si="29"/>
        <v>SELECT 320, 388, 4 UNION ALL</v>
      </c>
    </row>
    <row r="358" spans="1:25">
      <c r="A358" s="6">
        <f t="shared" si="26"/>
        <v>389</v>
      </c>
      <c r="B358" s="6" t="s">
        <v>1181</v>
      </c>
      <c r="C358" s="6">
        <v>3</v>
      </c>
      <c r="D358" s="6">
        <v>10</v>
      </c>
      <c r="L358" s="6" t="str">
        <f t="shared" si="30"/>
        <v>SELECT 389, N'chiński', 3, 10 UNION ALL</v>
      </c>
      <c r="M358" s="6" t="s">
        <v>555</v>
      </c>
      <c r="Q358" s="6">
        <f t="shared" ca="1" si="27"/>
        <v>4</v>
      </c>
      <c r="R358" s="6">
        <f t="shared" ca="1" si="28"/>
        <v>0</v>
      </c>
      <c r="U358" s="6" t="str">
        <f ca="1">IF(Q358&gt;0,"SELECT "&amp;COUNTIF($Q$1:$T357,"&gt;0")+1&amp;", "&amp;$A358&amp;", "&amp;Q358&amp;" UNION ALL","")</f>
        <v>SELECT 321, 389, 4 UNION ALL</v>
      </c>
      <c r="V358" s="6" t="str">
        <f ca="1">IF(R358&gt;0,"SELECT "&amp;COUNTIF($Q$1:$T357,"&gt;0")+COUNTIF($Q358:Q358,"&gt;0")+1&amp;", "&amp;$A358&amp;", "&amp;R358&amp;" UNION ALL","")</f>
        <v/>
      </c>
      <c r="W358" s="6" t="str">
        <f>IF(S358&gt;0,"SELECT "&amp;COUNTIF($Q$1:$T357,"&gt;0")+COUNTIF($Q358:R358,"&gt;0")+1&amp;", "&amp;$A358&amp;", "&amp;S358&amp;" UNION ALL","")</f>
        <v/>
      </c>
      <c r="X358" s="6" t="str">
        <f>IF(T358&gt;0,"SELECT "&amp;COUNTIF($Q$1:$T357,"&gt;0")+COUNTIF($Q358:S358,"&gt;0")+1&amp;", "&amp;$A358&amp;", "&amp;T358&amp;" UNION ALL","")</f>
        <v/>
      </c>
      <c r="Y358" s="5" t="str">
        <f t="shared" ca="1" si="29"/>
        <v>SELECT 321, 389, 4 UNION ALL</v>
      </c>
    </row>
    <row r="359" spans="1:25">
      <c r="A359" s="6">
        <f t="shared" si="26"/>
        <v>390</v>
      </c>
      <c r="B359" s="6" t="s">
        <v>1182</v>
      </c>
      <c r="C359" s="6">
        <v>3</v>
      </c>
      <c r="D359" s="6">
        <v>7</v>
      </c>
      <c r="L359" s="6" t="str">
        <f t="shared" si="30"/>
        <v>SELECT 390, N'czeski', 3, 7 UNION ALL</v>
      </c>
      <c r="M359" s="6" t="s">
        <v>555</v>
      </c>
      <c r="Q359" s="6">
        <f t="shared" ca="1" si="27"/>
        <v>4</v>
      </c>
      <c r="R359" s="6">
        <f t="shared" ca="1" si="28"/>
        <v>0</v>
      </c>
      <c r="U359" s="6" t="str">
        <f ca="1">IF(Q359&gt;0,"SELECT "&amp;COUNTIF($Q$1:$T358,"&gt;0")+1&amp;", "&amp;$A359&amp;", "&amp;Q359&amp;" UNION ALL","")</f>
        <v>SELECT 322, 390, 4 UNION ALL</v>
      </c>
      <c r="V359" s="6" t="str">
        <f ca="1">IF(R359&gt;0,"SELECT "&amp;COUNTIF($Q$1:$T358,"&gt;0")+COUNTIF($Q359:Q359,"&gt;0")+1&amp;", "&amp;$A359&amp;", "&amp;R359&amp;" UNION ALL","")</f>
        <v/>
      </c>
      <c r="W359" s="6" t="str">
        <f>IF(S359&gt;0,"SELECT "&amp;COUNTIF($Q$1:$T358,"&gt;0")+COUNTIF($Q359:R359,"&gt;0")+1&amp;", "&amp;$A359&amp;", "&amp;S359&amp;" UNION ALL","")</f>
        <v/>
      </c>
      <c r="X359" s="6" t="str">
        <f>IF(T359&gt;0,"SELECT "&amp;COUNTIF($Q$1:$T358,"&gt;0")+COUNTIF($Q359:S359,"&gt;0")+1&amp;", "&amp;$A359&amp;", "&amp;T359&amp;" UNION ALL","")</f>
        <v/>
      </c>
      <c r="Y359" s="5" t="str">
        <f t="shared" ca="1" si="29"/>
        <v>SELECT 322, 390, 4 UNION ALL</v>
      </c>
    </row>
    <row r="360" spans="1:25">
      <c r="A360" s="6">
        <f t="shared" si="26"/>
        <v>391</v>
      </c>
      <c r="B360" s="6" t="s">
        <v>1183</v>
      </c>
      <c r="C360" s="6">
        <v>2</v>
      </c>
      <c r="D360" s="6">
        <v>10</v>
      </c>
      <c r="L360" s="6" t="str">
        <f t="shared" si="30"/>
        <v>SELECT 391, N'reagować', 2, 10 UNION ALL</v>
      </c>
      <c r="Q360" s="6">
        <f t="shared" ca="1" si="27"/>
        <v>0</v>
      </c>
      <c r="R360" s="6">
        <f t="shared" ca="1" si="28"/>
        <v>0</v>
      </c>
      <c r="U360" s="6" t="str">
        <f ca="1">IF(Q360&gt;0,"SELECT "&amp;COUNTIF($Q$1:$T359,"&gt;0")+1&amp;", "&amp;$A360&amp;", "&amp;Q360&amp;" UNION ALL","")</f>
        <v/>
      </c>
      <c r="V360" s="6" t="str">
        <f ca="1">IF(R360&gt;0,"SELECT "&amp;COUNTIF($Q$1:$T359,"&gt;0")+COUNTIF($Q360:Q360,"&gt;0")+1&amp;", "&amp;$A360&amp;", "&amp;R360&amp;" UNION ALL","")</f>
        <v/>
      </c>
      <c r="W360" s="6" t="str">
        <f>IF(S360&gt;0,"SELECT "&amp;COUNTIF($Q$1:$T359,"&gt;0")+COUNTIF($Q360:R360,"&gt;0")+1&amp;", "&amp;$A360&amp;", "&amp;S360&amp;" UNION ALL","")</f>
        <v/>
      </c>
      <c r="X360" s="6" t="str">
        <f>IF(T360&gt;0,"SELECT "&amp;COUNTIF($Q$1:$T359,"&gt;0")+COUNTIF($Q360:S360,"&gt;0")+1&amp;", "&amp;$A360&amp;", "&amp;T360&amp;" UNION ALL","")</f>
        <v/>
      </c>
      <c r="Y360" s="5" t="str">
        <f t="shared" ca="1" si="29"/>
        <v/>
      </c>
    </row>
    <row r="361" spans="1:25">
      <c r="A361" s="6">
        <f t="shared" ref="A361:A424" si="31">A360+1</f>
        <v>392</v>
      </c>
      <c r="B361" s="6" t="s">
        <v>1184</v>
      </c>
      <c r="C361" s="6">
        <v>2</v>
      </c>
      <c r="D361" s="6">
        <v>10</v>
      </c>
      <c r="L361" s="6" t="str">
        <f t="shared" si="30"/>
        <v>SELECT 392, N'płakać', 2, 10 UNION ALL</v>
      </c>
      <c r="Q361" s="6">
        <f t="shared" ca="1" si="27"/>
        <v>0</v>
      </c>
      <c r="R361" s="6">
        <f t="shared" ca="1" si="28"/>
        <v>0</v>
      </c>
      <c r="U361" s="6" t="str">
        <f ca="1">IF(Q361&gt;0,"SELECT "&amp;COUNTIF($Q$1:$T360,"&gt;0")+1&amp;", "&amp;$A361&amp;", "&amp;Q361&amp;" UNION ALL","")</f>
        <v/>
      </c>
      <c r="V361" s="6" t="str">
        <f ca="1">IF(R361&gt;0,"SELECT "&amp;COUNTIF($Q$1:$T360,"&gt;0")+COUNTIF($Q361:Q361,"&gt;0")+1&amp;", "&amp;$A361&amp;", "&amp;R361&amp;" UNION ALL","")</f>
        <v/>
      </c>
      <c r="W361" s="6" t="str">
        <f>IF(S361&gt;0,"SELECT "&amp;COUNTIF($Q$1:$T360,"&gt;0")+COUNTIF($Q361:R361,"&gt;0")+1&amp;", "&amp;$A361&amp;", "&amp;S361&amp;" UNION ALL","")</f>
        <v/>
      </c>
      <c r="X361" s="6" t="str">
        <f>IF(T361&gt;0,"SELECT "&amp;COUNTIF($Q$1:$T360,"&gt;0")+COUNTIF($Q361:S361,"&gt;0")+1&amp;", "&amp;$A361&amp;", "&amp;T361&amp;" UNION ALL","")</f>
        <v/>
      </c>
      <c r="Y361" s="5" t="str">
        <f t="shared" ca="1" si="29"/>
        <v/>
      </c>
    </row>
    <row r="362" spans="1:25">
      <c r="A362" s="6">
        <f t="shared" si="31"/>
        <v>393</v>
      </c>
      <c r="B362" s="6" t="s">
        <v>1185</v>
      </c>
      <c r="C362" s="6">
        <v>2</v>
      </c>
      <c r="D362" s="6">
        <v>10</v>
      </c>
      <c r="L362" s="6" t="str">
        <f t="shared" si="30"/>
        <v>SELECT 393, N'myśleć', 2, 10 UNION ALL</v>
      </c>
      <c r="Q362" s="6">
        <f t="shared" ca="1" si="27"/>
        <v>0</v>
      </c>
      <c r="R362" s="6">
        <f t="shared" ca="1" si="28"/>
        <v>0</v>
      </c>
      <c r="U362" s="6" t="str">
        <f ca="1">IF(Q362&gt;0,"SELECT "&amp;COUNTIF($Q$1:$T361,"&gt;0")+1&amp;", "&amp;$A362&amp;", "&amp;Q362&amp;" UNION ALL","")</f>
        <v/>
      </c>
      <c r="V362" s="6" t="str">
        <f ca="1">IF(R362&gt;0,"SELECT "&amp;COUNTIF($Q$1:$T361,"&gt;0")+COUNTIF($Q362:Q362,"&gt;0")+1&amp;", "&amp;$A362&amp;", "&amp;R362&amp;" UNION ALL","")</f>
        <v/>
      </c>
      <c r="W362" s="6" t="str">
        <f>IF(S362&gt;0,"SELECT "&amp;COUNTIF($Q$1:$T361,"&gt;0")+COUNTIF($Q362:R362,"&gt;0")+1&amp;", "&amp;$A362&amp;", "&amp;S362&amp;" UNION ALL","")</f>
        <v/>
      </c>
      <c r="X362" s="6" t="str">
        <f>IF(T362&gt;0,"SELECT "&amp;COUNTIF($Q$1:$T361,"&gt;0")+COUNTIF($Q362:S362,"&gt;0")+1&amp;", "&amp;$A362&amp;", "&amp;T362&amp;" UNION ALL","")</f>
        <v/>
      </c>
      <c r="Y362" s="5" t="str">
        <f t="shared" ca="1" si="29"/>
        <v/>
      </c>
    </row>
    <row r="363" spans="1:25">
      <c r="A363" s="6">
        <f t="shared" si="31"/>
        <v>394</v>
      </c>
      <c r="B363" s="6" t="s">
        <v>1186</v>
      </c>
      <c r="C363" s="6">
        <v>2</v>
      </c>
      <c r="D363" s="6">
        <v>10</v>
      </c>
      <c r="L363" s="6" t="str">
        <f t="shared" si="30"/>
        <v>SELECT 394, N'zachowywać', 2, 10 UNION ALL</v>
      </c>
      <c r="Q363" s="6">
        <f t="shared" ca="1" si="27"/>
        <v>0</v>
      </c>
      <c r="R363" s="6">
        <f t="shared" ca="1" si="28"/>
        <v>0</v>
      </c>
      <c r="U363" s="6" t="str">
        <f ca="1">IF(Q363&gt;0,"SELECT "&amp;COUNTIF($Q$1:$T362,"&gt;0")+1&amp;", "&amp;$A363&amp;", "&amp;Q363&amp;" UNION ALL","")</f>
        <v/>
      </c>
      <c r="V363" s="6" t="str">
        <f ca="1">IF(R363&gt;0,"SELECT "&amp;COUNTIF($Q$1:$T362,"&gt;0")+COUNTIF($Q363:Q363,"&gt;0")+1&amp;", "&amp;$A363&amp;", "&amp;R363&amp;" UNION ALL","")</f>
        <v/>
      </c>
      <c r="W363" s="6" t="str">
        <f>IF(S363&gt;0,"SELECT "&amp;COUNTIF($Q$1:$T362,"&gt;0")+COUNTIF($Q363:R363,"&gt;0")+1&amp;", "&amp;$A363&amp;", "&amp;S363&amp;" UNION ALL","")</f>
        <v/>
      </c>
      <c r="X363" s="6" t="str">
        <f>IF(T363&gt;0,"SELECT "&amp;COUNTIF($Q$1:$T362,"&gt;0")+COUNTIF($Q363:S363,"&gt;0")+1&amp;", "&amp;$A363&amp;", "&amp;T363&amp;" UNION ALL","")</f>
        <v/>
      </c>
      <c r="Y363" s="5" t="str">
        <f t="shared" ca="1" si="29"/>
        <v/>
      </c>
    </row>
    <row r="364" spans="1:25">
      <c r="A364" s="6">
        <f t="shared" si="31"/>
        <v>395</v>
      </c>
      <c r="B364" s="6" t="s">
        <v>1187</v>
      </c>
      <c r="C364" s="6">
        <v>3</v>
      </c>
      <c r="D364" s="6">
        <v>10</v>
      </c>
      <c r="L364" s="6" t="str">
        <f t="shared" si="30"/>
        <v>SELECT 395, N'ładny', 3, 10 UNION ALL</v>
      </c>
      <c r="Q364" s="6">
        <f t="shared" ca="1" si="27"/>
        <v>0</v>
      </c>
      <c r="R364" s="6">
        <f t="shared" ca="1" si="28"/>
        <v>0</v>
      </c>
      <c r="U364" s="6" t="str">
        <f ca="1">IF(Q364&gt;0,"SELECT "&amp;COUNTIF($Q$1:$T363,"&gt;0")+1&amp;", "&amp;$A364&amp;", "&amp;Q364&amp;" UNION ALL","")</f>
        <v/>
      </c>
      <c r="V364" s="6" t="str">
        <f ca="1">IF(R364&gt;0,"SELECT "&amp;COUNTIF($Q$1:$T363,"&gt;0")+COUNTIF($Q364:Q364,"&gt;0")+1&amp;", "&amp;$A364&amp;", "&amp;R364&amp;" UNION ALL","")</f>
        <v/>
      </c>
      <c r="W364" s="6" t="str">
        <f>IF(S364&gt;0,"SELECT "&amp;COUNTIF($Q$1:$T363,"&gt;0")+COUNTIF($Q364:R364,"&gt;0")+1&amp;", "&amp;$A364&amp;", "&amp;S364&amp;" UNION ALL","")</f>
        <v/>
      </c>
      <c r="X364" s="6" t="str">
        <f>IF(T364&gt;0,"SELECT "&amp;COUNTIF($Q$1:$T363,"&gt;0")+COUNTIF($Q364:S364,"&gt;0")+1&amp;", "&amp;$A364&amp;", "&amp;T364&amp;" UNION ALL","")</f>
        <v/>
      </c>
      <c r="Y364" s="5" t="str">
        <f t="shared" ca="1" si="29"/>
        <v/>
      </c>
    </row>
    <row r="365" spans="1:25">
      <c r="A365" s="6">
        <f t="shared" si="31"/>
        <v>396</v>
      </c>
      <c r="B365" s="6" t="s">
        <v>1188</v>
      </c>
      <c r="C365" s="6">
        <v>3</v>
      </c>
      <c r="D365" s="6">
        <v>7</v>
      </c>
      <c r="L365" s="6" t="str">
        <f t="shared" si="30"/>
        <v>SELECT 396, N'gruziński', 3, 7 UNION ALL</v>
      </c>
      <c r="M365" s="6" t="s">
        <v>559</v>
      </c>
      <c r="Q365" s="6">
        <f t="shared" ca="1" si="27"/>
        <v>8</v>
      </c>
      <c r="R365" s="6">
        <f t="shared" ca="1" si="28"/>
        <v>0</v>
      </c>
      <c r="U365" s="6" t="str">
        <f ca="1">IF(Q365&gt;0,"SELECT "&amp;COUNTIF($Q$1:$T364,"&gt;0")+1&amp;", "&amp;$A365&amp;", "&amp;Q365&amp;" UNION ALL","")</f>
        <v>SELECT 323, 396, 8 UNION ALL</v>
      </c>
      <c r="V365" s="6" t="str">
        <f ca="1">IF(R365&gt;0,"SELECT "&amp;COUNTIF($Q$1:$T364,"&gt;0")+COUNTIF($Q365:Q365,"&gt;0")+1&amp;", "&amp;$A365&amp;", "&amp;R365&amp;" UNION ALL","")</f>
        <v/>
      </c>
      <c r="W365" s="6" t="str">
        <f>IF(S365&gt;0,"SELECT "&amp;COUNTIF($Q$1:$T364,"&gt;0")+COUNTIF($Q365:R365,"&gt;0")+1&amp;", "&amp;$A365&amp;", "&amp;S365&amp;" UNION ALL","")</f>
        <v/>
      </c>
      <c r="X365" s="6" t="str">
        <f>IF(T365&gt;0,"SELECT "&amp;COUNTIF($Q$1:$T364,"&gt;0")+COUNTIF($Q365:S365,"&gt;0")+1&amp;", "&amp;$A365&amp;", "&amp;T365&amp;" UNION ALL","")</f>
        <v/>
      </c>
      <c r="Y365" s="5" t="str">
        <f t="shared" ca="1" si="29"/>
        <v>SELECT 323, 396, 8 UNION ALL</v>
      </c>
    </row>
    <row r="366" spans="1:25">
      <c r="A366" s="6">
        <f t="shared" si="31"/>
        <v>397</v>
      </c>
      <c r="B366" s="6" t="s">
        <v>1189</v>
      </c>
      <c r="C366" s="6">
        <v>3</v>
      </c>
      <c r="D366" s="6">
        <v>8</v>
      </c>
      <c r="L366" s="6" t="str">
        <f t="shared" si="30"/>
        <v>SELECT 397, N'koreański', 3, 8 UNION ALL</v>
      </c>
      <c r="M366" s="6" t="s">
        <v>559</v>
      </c>
      <c r="Q366" s="6">
        <f t="shared" ca="1" si="27"/>
        <v>8</v>
      </c>
      <c r="R366" s="6">
        <f t="shared" ca="1" si="28"/>
        <v>0</v>
      </c>
      <c r="U366" s="6" t="str">
        <f ca="1">IF(Q366&gt;0,"SELECT "&amp;COUNTIF($Q$1:$T365,"&gt;0")+1&amp;", "&amp;$A366&amp;", "&amp;Q366&amp;" UNION ALL","")</f>
        <v>SELECT 324, 397, 8 UNION ALL</v>
      </c>
      <c r="V366" s="6" t="str">
        <f ca="1">IF(R366&gt;0,"SELECT "&amp;COUNTIF($Q$1:$T365,"&gt;0")+COUNTIF($Q366:Q366,"&gt;0")+1&amp;", "&amp;$A366&amp;", "&amp;R366&amp;" UNION ALL","")</f>
        <v/>
      </c>
      <c r="W366" s="6" t="str">
        <f>IF(S366&gt;0,"SELECT "&amp;COUNTIF($Q$1:$T365,"&gt;0")+COUNTIF($Q366:R366,"&gt;0")+1&amp;", "&amp;$A366&amp;", "&amp;S366&amp;" UNION ALL","")</f>
        <v/>
      </c>
      <c r="X366" s="6" t="str">
        <f>IF(T366&gt;0,"SELECT "&amp;COUNTIF($Q$1:$T365,"&gt;0")+COUNTIF($Q366:S366,"&gt;0")+1&amp;", "&amp;$A366&amp;", "&amp;T366&amp;" UNION ALL","")</f>
        <v/>
      </c>
      <c r="Y366" s="5" t="str">
        <f t="shared" ca="1" si="29"/>
        <v>SELECT 324, 397, 8 UNION ALL</v>
      </c>
    </row>
    <row r="367" spans="1:25">
      <c r="A367" s="6">
        <f t="shared" si="31"/>
        <v>398</v>
      </c>
      <c r="B367" s="6" t="s">
        <v>1190</v>
      </c>
      <c r="C367" s="6">
        <v>3</v>
      </c>
      <c r="D367" s="6">
        <v>7</v>
      </c>
      <c r="L367" s="6" t="str">
        <f t="shared" si="30"/>
        <v>SELECT 398, N'wietnamski', 3, 7 UNION ALL</v>
      </c>
      <c r="M367" s="6" t="s">
        <v>559</v>
      </c>
      <c r="Q367" s="6">
        <f t="shared" ca="1" si="27"/>
        <v>8</v>
      </c>
      <c r="R367" s="6">
        <f t="shared" ca="1" si="28"/>
        <v>0</v>
      </c>
      <c r="U367" s="6" t="str">
        <f ca="1">IF(Q367&gt;0,"SELECT "&amp;COUNTIF($Q$1:$T366,"&gt;0")+1&amp;", "&amp;$A367&amp;", "&amp;Q367&amp;" UNION ALL","")</f>
        <v>SELECT 325, 398, 8 UNION ALL</v>
      </c>
      <c r="V367" s="6" t="str">
        <f ca="1">IF(R367&gt;0,"SELECT "&amp;COUNTIF($Q$1:$T366,"&gt;0")+COUNTIF($Q367:Q367,"&gt;0")+1&amp;", "&amp;$A367&amp;", "&amp;R367&amp;" UNION ALL","")</f>
        <v/>
      </c>
      <c r="W367" s="6" t="str">
        <f>IF(S367&gt;0,"SELECT "&amp;COUNTIF($Q$1:$T366,"&gt;0")+COUNTIF($Q367:R367,"&gt;0")+1&amp;", "&amp;$A367&amp;", "&amp;S367&amp;" UNION ALL","")</f>
        <v/>
      </c>
      <c r="X367" s="6" t="str">
        <f>IF(T367&gt;0,"SELECT "&amp;COUNTIF($Q$1:$T366,"&gt;0")+COUNTIF($Q367:S367,"&gt;0")+1&amp;", "&amp;$A367&amp;", "&amp;T367&amp;" UNION ALL","")</f>
        <v/>
      </c>
      <c r="Y367" s="5" t="str">
        <f t="shared" ca="1" si="29"/>
        <v>SELECT 325, 398, 8 UNION ALL</v>
      </c>
    </row>
    <row r="368" spans="1:25">
      <c r="A368" s="6">
        <f t="shared" si="31"/>
        <v>399</v>
      </c>
      <c r="B368" s="6" t="s">
        <v>1191</v>
      </c>
      <c r="C368" s="6">
        <v>3</v>
      </c>
      <c r="D368" s="6">
        <v>8</v>
      </c>
      <c r="L368" s="6" t="str">
        <f t="shared" si="30"/>
        <v>SELECT 399, N'grecki', 3, 8 UNION ALL</v>
      </c>
      <c r="M368" s="6" t="s">
        <v>555</v>
      </c>
      <c r="Q368" s="6">
        <f t="shared" ca="1" si="27"/>
        <v>4</v>
      </c>
      <c r="R368" s="6">
        <f t="shared" ca="1" si="28"/>
        <v>0</v>
      </c>
      <c r="U368" s="6" t="str">
        <f ca="1">IF(Q368&gt;0,"SELECT "&amp;COUNTIF($Q$1:$T367,"&gt;0")+1&amp;", "&amp;$A368&amp;", "&amp;Q368&amp;" UNION ALL","")</f>
        <v>SELECT 326, 399, 4 UNION ALL</v>
      </c>
      <c r="V368" s="6" t="str">
        <f ca="1">IF(R368&gt;0,"SELECT "&amp;COUNTIF($Q$1:$T367,"&gt;0")+COUNTIF($Q368:Q368,"&gt;0")+1&amp;", "&amp;$A368&amp;", "&amp;R368&amp;" UNION ALL","")</f>
        <v/>
      </c>
      <c r="W368" s="6" t="str">
        <f>IF(S368&gt;0,"SELECT "&amp;COUNTIF($Q$1:$T367,"&gt;0")+COUNTIF($Q368:R368,"&gt;0")+1&amp;", "&amp;$A368&amp;", "&amp;S368&amp;" UNION ALL","")</f>
        <v/>
      </c>
      <c r="X368" s="6" t="str">
        <f>IF(T368&gt;0,"SELECT "&amp;COUNTIF($Q$1:$T367,"&gt;0")+COUNTIF($Q368:S368,"&gt;0")+1&amp;", "&amp;$A368&amp;", "&amp;T368&amp;" UNION ALL","")</f>
        <v/>
      </c>
      <c r="Y368" s="5" t="str">
        <f t="shared" ca="1" si="29"/>
        <v>SELECT 326, 399, 4 UNION ALL</v>
      </c>
    </row>
    <row r="369" spans="1:25">
      <c r="A369" s="6">
        <f t="shared" si="31"/>
        <v>400</v>
      </c>
      <c r="B369" s="6" t="s">
        <v>1192</v>
      </c>
      <c r="C369" s="6">
        <v>3</v>
      </c>
      <c r="D369" s="6">
        <v>7</v>
      </c>
      <c r="L369" s="6" t="str">
        <f t="shared" si="30"/>
        <v>SELECT 400, N'bułgarski', 3, 7 UNION ALL</v>
      </c>
      <c r="M369" s="6" t="s">
        <v>555</v>
      </c>
      <c r="Q369" s="6">
        <f t="shared" ca="1" si="27"/>
        <v>4</v>
      </c>
      <c r="R369" s="6">
        <f t="shared" ca="1" si="28"/>
        <v>0</v>
      </c>
      <c r="U369" s="6" t="str">
        <f ca="1">IF(Q369&gt;0,"SELECT "&amp;COUNTIF($Q$1:$T368,"&gt;0")+1&amp;", "&amp;$A369&amp;", "&amp;Q369&amp;" UNION ALL","")</f>
        <v>SELECT 327, 400, 4 UNION ALL</v>
      </c>
      <c r="V369" s="6" t="str">
        <f ca="1">IF(R369&gt;0,"SELECT "&amp;COUNTIF($Q$1:$T368,"&gt;0")+COUNTIF($Q369:Q369,"&gt;0")+1&amp;", "&amp;$A369&amp;", "&amp;R369&amp;" UNION ALL","")</f>
        <v/>
      </c>
      <c r="W369" s="6" t="str">
        <f>IF(S369&gt;0,"SELECT "&amp;COUNTIF($Q$1:$T368,"&gt;0")+COUNTIF($Q369:R369,"&gt;0")+1&amp;", "&amp;$A369&amp;", "&amp;S369&amp;" UNION ALL","")</f>
        <v/>
      </c>
      <c r="X369" s="6" t="str">
        <f>IF(T369&gt;0,"SELECT "&amp;COUNTIF($Q$1:$T368,"&gt;0")+COUNTIF($Q369:S369,"&gt;0")+1&amp;", "&amp;$A369&amp;", "&amp;T369&amp;" UNION ALL","")</f>
        <v/>
      </c>
      <c r="Y369" s="5" t="str">
        <f t="shared" ca="1" si="29"/>
        <v>SELECT 327, 400, 4 UNION ALL</v>
      </c>
    </row>
    <row r="370" spans="1:25">
      <c r="A370" s="6">
        <f t="shared" si="31"/>
        <v>401</v>
      </c>
      <c r="B370" s="6" t="s">
        <v>1193</v>
      </c>
      <c r="C370" s="6">
        <v>3</v>
      </c>
      <c r="D370" s="6">
        <v>6</v>
      </c>
      <c r="L370" s="6" t="str">
        <f t="shared" si="30"/>
        <v>SELECT 401, N'albański', 3, 6 UNION ALL</v>
      </c>
      <c r="M370" s="6" t="s">
        <v>555</v>
      </c>
      <c r="Q370" s="6">
        <f t="shared" ca="1" si="27"/>
        <v>4</v>
      </c>
      <c r="R370" s="6">
        <f t="shared" ca="1" si="28"/>
        <v>0</v>
      </c>
      <c r="U370" s="6" t="str">
        <f ca="1">IF(Q370&gt;0,"SELECT "&amp;COUNTIF($Q$1:$T369,"&gt;0")+1&amp;", "&amp;$A370&amp;", "&amp;Q370&amp;" UNION ALL","")</f>
        <v>SELECT 328, 401, 4 UNION ALL</v>
      </c>
      <c r="V370" s="6" t="str">
        <f ca="1">IF(R370&gt;0,"SELECT "&amp;COUNTIF($Q$1:$T369,"&gt;0")+COUNTIF($Q370:Q370,"&gt;0")+1&amp;", "&amp;$A370&amp;", "&amp;R370&amp;" UNION ALL","")</f>
        <v/>
      </c>
      <c r="W370" s="6" t="str">
        <f>IF(S370&gt;0,"SELECT "&amp;COUNTIF($Q$1:$T369,"&gt;0")+COUNTIF($Q370:R370,"&gt;0")+1&amp;", "&amp;$A370&amp;", "&amp;S370&amp;" UNION ALL","")</f>
        <v/>
      </c>
      <c r="X370" s="6" t="str">
        <f>IF(T370&gt;0,"SELECT "&amp;COUNTIF($Q$1:$T369,"&gt;0")+COUNTIF($Q370:S370,"&gt;0")+1&amp;", "&amp;$A370&amp;", "&amp;T370&amp;" UNION ALL","")</f>
        <v/>
      </c>
      <c r="Y370" s="5" t="str">
        <f t="shared" ca="1" si="29"/>
        <v>SELECT 328, 401, 4 UNION ALL</v>
      </c>
    </row>
    <row r="371" spans="1:25">
      <c r="A371" s="6">
        <f t="shared" si="31"/>
        <v>402</v>
      </c>
      <c r="B371" s="6" t="s">
        <v>1194</v>
      </c>
      <c r="C371" s="6">
        <v>3</v>
      </c>
      <c r="D371" s="6">
        <v>8</v>
      </c>
      <c r="L371" s="6" t="str">
        <f t="shared" si="30"/>
        <v>SELECT 402, N'chorwacki', 3, 8 UNION ALL</v>
      </c>
      <c r="M371" s="6" t="s">
        <v>555</v>
      </c>
      <c r="Q371" s="6">
        <f t="shared" ca="1" si="27"/>
        <v>4</v>
      </c>
      <c r="R371" s="6">
        <f t="shared" ca="1" si="28"/>
        <v>0</v>
      </c>
      <c r="U371" s="6" t="str">
        <f ca="1">IF(Q371&gt;0,"SELECT "&amp;COUNTIF($Q$1:$T370,"&gt;0")+1&amp;", "&amp;$A371&amp;", "&amp;Q371&amp;" UNION ALL","")</f>
        <v>SELECT 329, 402, 4 UNION ALL</v>
      </c>
      <c r="V371" s="6" t="str">
        <f ca="1">IF(R371&gt;0,"SELECT "&amp;COUNTIF($Q$1:$T370,"&gt;0")+COUNTIF($Q371:Q371,"&gt;0")+1&amp;", "&amp;$A371&amp;", "&amp;R371&amp;" UNION ALL","")</f>
        <v/>
      </c>
      <c r="W371" s="6" t="str">
        <f>IF(S371&gt;0,"SELECT "&amp;COUNTIF($Q$1:$T370,"&gt;0")+COUNTIF($Q371:R371,"&gt;0")+1&amp;", "&amp;$A371&amp;", "&amp;S371&amp;" UNION ALL","")</f>
        <v/>
      </c>
      <c r="X371" s="6" t="str">
        <f>IF(T371&gt;0,"SELECT "&amp;COUNTIF($Q$1:$T370,"&gt;0")+COUNTIF($Q371:S371,"&gt;0")+1&amp;", "&amp;$A371&amp;", "&amp;T371&amp;" UNION ALL","")</f>
        <v/>
      </c>
      <c r="Y371" s="5" t="str">
        <f t="shared" ca="1" si="29"/>
        <v>SELECT 329, 402, 4 UNION ALL</v>
      </c>
    </row>
    <row r="372" spans="1:25">
      <c r="A372" s="6">
        <f t="shared" si="31"/>
        <v>403</v>
      </c>
      <c r="B372" s="6" t="s">
        <v>1195</v>
      </c>
      <c r="C372" s="6">
        <v>3</v>
      </c>
      <c r="D372" s="6">
        <v>10</v>
      </c>
      <c r="L372" s="6" t="str">
        <f t="shared" si="30"/>
        <v>SELECT 403, N'szwajcarski', 3, 10 UNION ALL</v>
      </c>
      <c r="M372" s="6" t="s">
        <v>555</v>
      </c>
      <c r="Q372" s="6">
        <f t="shared" ca="1" si="27"/>
        <v>4</v>
      </c>
      <c r="R372" s="6">
        <f t="shared" ca="1" si="28"/>
        <v>0</v>
      </c>
      <c r="U372" s="6" t="str">
        <f ca="1">IF(Q372&gt;0,"SELECT "&amp;COUNTIF($Q$1:$T371,"&gt;0")+1&amp;", "&amp;$A372&amp;", "&amp;Q372&amp;" UNION ALL","")</f>
        <v>SELECT 330, 403, 4 UNION ALL</v>
      </c>
      <c r="V372" s="6" t="str">
        <f ca="1">IF(R372&gt;0,"SELECT "&amp;COUNTIF($Q$1:$T371,"&gt;0")+COUNTIF($Q372:Q372,"&gt;0")+1&amp;", "&amp;$A372&amp;", "&amp;R372&amp;" UNION ALL","")</f>
        <v/>
      </c>
      <c r="W372" s="6" t="str">
        <f>IF(S372&gt;0,"SELECT "&amp;COUNTIF($Q$1:$T371,"&gt;0")+COUNTIF($Q372:R372,"&gt;0")+1&amp;", "&amp;$A372&amp;", "&amp;S372&amp;" UNION ALL","")</f>
        <v/>
      </c>
      <c r="X372" s="6" t="str">
        <f>IF(T372&gt;0,"SELECT "&amp;COUNTIF($Q$1:$T371,"&gt;0")+COUNTIF($Q372:S372,"&gt;0")+1&amp;", "&amp;$A372&amp;", "&amp;T372&amp;" UNION ALL","")</f>
        <v/>
      </c>
      <c r="Y372" s="5" t="str">
        <f t="shared" ca="1" si="29"/>
        <v>SELECT 330, 403, 4 UNION ALL</v>
      </c>
    </row>
    <row r="373" spans="1:25">
      <c r="A373" s="6">
        <f t="shared" si="31"/>
        <v>404</v>
      </c>
      <c r="B373" s="6" t="s">
        <v>1196</v>
      </c>
      <c r="C373" s="6">
        <v>3</v>
      </c>
      <c r="D373" s="6">
        <v>8</v>
      </c>
      <c r="L373" s="6" t="str">
        <f t="shared" si="30"/>
        <v>SELECT 404, N'austriacki', 3, 8 UNION ALL</v>
      </c>
      <c r="M373" s="6" t="s">
        <v>555</v>
      </c>
      <c r="Q373" s="6">
        <f t="shared" ca="1" si="27"/>
        <v>4</v>
      </c>
      <c r="R373" s="6">
        <f t="shared" ca="1" si="28"/>
        <v>0</v>
      </c>
      <c r="U373" s="6" t="str">
        <f ca="1">IF(Q373&gt;0,"SELECT "&amp;COUNTIF($Q$1:$T372,"&gt;0")+1&amp;", "&amp;$A373&amp;", "&amp;Q373&amp;" UNION ALL","")</f>
        <v>SELECT 331, 404, 4 UNION ALL</v>
      </c>
      <c r="V373" s="6" t="str">
        <f ca="1">IF(R373&gt;0,"SELECT "&amp;COUNTIF($Q$1:$T372,"&gt;0")+COUNTIF($Q373:Q373,"&gt;0")+1&amp;", "&amp;$A373&amp;", "&amp;R373&amp;" UNION ALL","")</f>
        <v/>
      </c>
      <c r="W373" s="6" t="str">
        <f>IF(S373&gt;0,"SELECT "&amp;COUNTIF($Q$1:$T372,"&gt;0")+COUNTIF($Q373:R373,"&gt;0")+1&amp;", "&amp;$A373&amp;", "&amp;S373&amp;" UNION ALL","")</f>
        <v/>
      </c>
      <c r="X373" s="6" t="str">
        <f>IF(T373&gt;0,"SELECT "&amp;COUNTIF($Q$1:$T372,"&gt;0")+COUNTIF($Q373:S373,"&gt;0")+1&amp;", "&amp;$A373&amp;", "&amp;T373&amp;" UNION ALL","")</f>
        <v/>
      </c>
      <c r="Y373" s="5" t="str">
        <f t="shared" ca="1" si="29"/>
        <v>SELECT 331, 404, 4 UNION ALL</v>
      </c>
    </row>
    <row r="374" spans="1:25">
      <c r="A374" s="6">
        <f t="shared" si="31"/>
        <v>405</v>
      </c>
      <c r="B374" s="6" t="s">
        <v>1197</v>
      </c>
      <c r="C374" s="6">
        <v>3</v>
      </c>
      <c r="D374" s="6">
        <v>10</v>
      </c>
      <c r="L374" s="6" t="str">
        <f t="shared" si="30"/>
        <v>SELECT 405, N'australijski', 3, 10 UNION ALL</v>
      </c>
      <c r="M374" s="6" t="s">
        <v>560</v>
      </c>
      <c r="Q374" s="6">
        <f t="shared" ca="1" si="27"/>
        <v>9</v>
      </c>
      <c r="R374" s="6">
        <f t="shared" ca="1" si="28"/>
        <v>0</v>
      </c>
      <c r="U374" s="6" t="str">
        <f ca="1">IF(Q374&gt;0,"SELECT "&amp;COUNTIF($Q$1:$T373,"&gt;0")+1&amp;", "&amp;$A374&amp;", "&amp;Q374&amp;" UNION ALL","")</f>
        <v>SELECT 332, 405, 9 UNION ALL</v>
      </c>
      <c r="V374" s="6" t="str">
        <f ca="1">IF(R374&gt;0,"SELECT "&amp;COUNTIF($Q$1:$T373,"&gt;0")+COUNTIF($Q374:Q374,"&gt;0")+1&amp;", "&amp;$A374&amp;", "&amp;R374&amp;" UNION ALL","")</f>
        <v/>
      </c>
      <c r="W374" s="6" t="str">
        <f>IF(S374&gt;0,"SELECT "&amp;COUNTIF($Q$1:$T373,"&gt;0")+COUNTIF($Q374:R374,"&gt;0")+1&amp;", "&amp;$A374&amp;", "&amp;S374&amp;" UNION ALL","")</f>
        <v/>
      </c>
      <c r="X374" s="6" t="str">
        <f>IF(T374&gt;0,"SELECT "&amp;COUNTIF($Q$1:$T373,"&gt;0")+COUNTIF($Q374:S374,"&gt;0")+1&amp;", "&amp;$A374&amp;", "&amp;T374&amp;" UNION ALL","")</f>
        <v/>
      </c>
      <c r="Y374" s="5" t="str">
        <f t="shared" ca="1" si="29"/>
        <v>SELECT 332, 405, 9 UNION ALL</v>
      </c>
    </row>
    <row r="375" spans="1:25">
      <c r="A375" s="6">
        <f t="shared" si="31"/>
        <v>406</v>
      </c>
      <c r="B375" s="6" t="s">
        <v>1198</v>
      </c>
      <c r="C375" s="6">
        <v>3</v>
      </c>
      <c r="D375" s="6">
        <v>9</v>
      </c>
      <c r="L375" s="6" t="str">
        <f t="shared" si="30"/>
        <v>SELECT 406, N'meksykański', 3, 9 UNION ALL</v>
      </c>
      <c r="M375" s="6" t="s">
        <v>556</v>
      </c>
      <c r="Q375" s="6">
        <f t="shared" ca="1" si="27"/>
        <v>5</v>
      </c>
      <c r="R375" s="6">
        <f t="shared" ca="1" si="28"/>
        <v>0</v>
      </c>
      <c r="U375" s="6" t="str">
        <f ca="1">IF(Q375&gt;0,"SELECT "&amp;COUNTIF($Q$1:$T374,"&gt;0")+1&amp;", "&amp;$A375&amp;", "&amp;Q375&amp;" UNION ALL","")</f>
        <v>SELECT 333, 406, 5 UNION ALL</v>
      </c>
      <c r="V375" s="6" t="str">
        <f ca="1">IF(R375&gt;0,"SELECT "&amp;COUNTIF($Q$1:$T374,"&gt;0")+COUNTIF($Q375:Q375,"&gt;0")+1&amp;", "&amp;$A375&amp;", "&amp;R375&amp;" UNION ALL","")</f>
        <v/>
      </c>
      <c r="W375" s="6" t="str">
        <f>IF(S375&gt;0,"SELECT "&amp;COUNTIF($Q$1:$T374,"&gt;0")+COUNTIF($Q375:R375,"&gt;0")+1&amp;", "&amp;$A375&amp;", "&amp;S375&amp;" UNION ALL","")</f>
        <v/>
      </c>
      <c r="X375" s="6" t="str">
        <f>IF(T375&gt;0,"SELECT "&amp;COUNTIF($Q$1:$T374,"&gt;0")+COUNTIF($Q375:S375,"&gt;0")+1&amp;", "&amp;$A375&amp;", "&amp;T375&amp;" UNION ALL","")</f>
        <v/>
      </c>
      <c r="Y375" s="5" t="str">
        <f t="shared" ca="1" si="29"/>
        <v>SELECT 333, 406, 5 UNION ALL</v>
      </c>
    </row>
    <row r="376" spans="1:25">
      <c r="A376" s="6">
        <f t="shared" si="31"/>
        <v>407</v>
      </c>
      <c r="B376" s="6" t="s">
        <v>1199</v>
      </c>
      <c r="C376" s="6">
        <v>3</v>
      </c>
      <c r="D376" s="6">
        <v>10</v>
      </c>
      <c r="L376" s="6" t="str">
        <f t="shared" si="30"/>
        <v>SELECT 407, N'brazylijski', 3, 10 UNION ALL</v>
      </c>
      <c r="M376" s="6" t="s">
        <v>557</v>
      </c>
      <c r="Q376" s="6">
        <f t="shared" ca="1" si="27"/>
        <v>6</v>
      </c>
      <c r="R376" s="6">
        <f t="shared" ca="1" si="28"/>
        <v>0</v>
      </c>
      <c r="U376" s="6" t="str">
        <f ca="1">IF(Q376&gt;0,"SELECT "&amp;COUNTIF($Q$1:$T375,"&gt;0")+1&amp;", "&amp;$A376&amp;", "&amp;Q376&amp;" UNION ALL","")</f>
        <v>SELECT 334, 407, 6 UNION ALL</v>
      </c>
      <c r="V376" s="6" t="str">
        <f ca="1">IF(R376&gt;0,"SELECT "&amp;COUNTIF($Q$1:$T375,"&gt;0")+COUNTIF($Q376:Q376,"&gt;0")+1&amp;", "&amp;$A376&amp;", "&amp;R376&amp;" UNION ALL","")</f>
        <v/>
      </c>
      <c r="W376" s="6" t="str">
        <f>IF(S376&gt;0,"SELECT "&amp;COUNTIF($Q$1:$T375,"&gt;0")+COUNTIF($Q376:R376,"&gt;0")+1&amp;", "&amp;$A376&amp;", "&amp;S376&amp;" UNION ALL","")</f>
        <v/>
      </c>
      <c r="X376" s="6" t="str">
        <f>IF(T376&gt;0,"SELECT "&amp;COUNTIF($Q$1:$T375,"&gt;0")+COUNTIF($Q376:S376,"&gt;0")+1&amp;", "&amp;$A376&amp;", "&amp;T376&amp;" UNION ALL","")</f>
        <v/>
      </c>
      <c r="Y376" s="5" t="str">
        <f t="shared" ca="1" si="29"/>
        <v>SELECT 334, 407, 6 UNION ALL</v>
      </c>
    </row>
    <row r="377" spans="1:25">
      <c r="A377" s="6">
        <f t="shared" si="31"/>
        <v>408</v>
      </c>
      <c r="B377" s="6" t="s">
        <v>1200</v>
      </c>
      <c r="C377" s="6">
        <v>3</v>
      </c>
      <c r="D377" s="6">
        <v>8</v>
      </c>
      <c r="L377" s="6" t="str">
        <f t="shared" si="30"/>
        <v>SELECT 408, N'argentyński', 3, 8 UNION ALL</v>
      </c>
      <c r="M377" s="6" t="s">
        <v>557</v>
      </c>
      <c r="Q377" s="6">
        <f t="shared" ca="1" si="27"/>
        <v>6</v>
      </c>
      <c r="R377" s="6">
        <f t="shared" ca="1" si="28"/>
        <v>0</v>
      </c>
      <c r="U377" s="6" t="str">
        <f ca="1">IF(Q377&gt;0,"SELECT "&amp;COUNTIF($Q$1:$T376,"&gt;0")+1&amp;", "&amp;$A377&amp;", "&amp;Q377&amp;" UNION ALL","")</f>
        <v>SELECT 335, 408, 6 UNION ALL</v>
      </c>
      <c r="V377" s="6" t="str">
        <f ca="1">IF(R377&gt;0,"SELECT "&amp;COUNTIF($Q$1:$T376,"&gt;0")+COUNTIF($Q377:Q377,"&gt;0")+1&amp;", "&amp;$A377&amp;", "&amp;R377&amp;" UNION ALL","")</f>
        <v/>
      </c>
      <c r="W377" s="6" t="str">
        <f>IF(S377&gt;0,"SELECT "&amp;COUNTIF($Q$1:$T376,"&gt;0")+COUNTIF($Q377:R377,"&gt;0")+1&amp;", "&amp;$A377&amp;", "&amp;S377&amp;" UNION ALL","")</f>
        <v/>
      </c>
      <c r="X377" s="6" t="str">
        <f>IF(T377&gt;0,"SELECT "&amp;COUNTIF($Q$1:$T376,"&gt;0")+COUNTIF($Q377:S377,"&gt;0")+1&amp;", "&amp;$A377&amp;", "&amp;T377&amp;" UNION ALL","")</f>
        <v/>
      </c>
      <c r="Y377" s="5" t="str">
        <f t="shared" ca="1" si="29"/>
        <v>SELECT 335, 408, 6 UNION ALL</v>
      </c>
    </row>
    <row r="378" spans="1:25">
      <c r="A378" s="6">
        <f t="shared" si="31"/>
        <v>409</v>
      </c>
      <c r="B378" s="6" t="s">
        <v>1201</v>
      </c>
      <c r="C378" s="6">
        <v>3</v>
      </c>
      <c r="D378" s="6">
        <v>6</v>
      </c>
      <c r="L378" s="6" t="str">
        <f t="shared" si="30"/>
        <v>SELECT 409, N'kolumbijski', 3, 6 UNION ALL</v>
      </c>
      <c r="M378" s="6" t="s">
        <v>557</v>
      </c>
      <c r="Q378" s="6">
        <f t="shared" ca="1" si="27"/>
        <v>6</v>
      </c>
      <c r="R378" s="6">
        <f t="shared" ca="1" si="28"/>
        <v>0</v>
      </c>
      <c r="U378" s="6" t="str">
        <f ca="1">IF(Q378&gt;0,"SELECT "&amp;COUNTIF($Q$1:$T377,"&gt;0")+1&amp;", "&amp;$A378&amp;", "&amp;Q378&amp;" UNION ALL","")</f>
        <v>SELECT 336, 409, 6 UNION ALL</v>
      </c>
      <c r="V378" s="6" t="str">
        <f ca="1">IF(R378&gt;0,"SELECT "&amp;COUNTIF($Q$1:$T377,"&gt;0")+COUNTIF($Q378:Q378,"&gt;0")+1&amp;", "&amp;$A378&amp;", "&amp;R378&amp;" UNION ALL","")</f>
        <v/>
      </c>
      <c r="W378" s="6" t="str">
        <f>IF(S378&gt;0,"SELECT "&amp;COUNTIF($Q$1:$T377,"&gt;0")+COUNTIF($Q378:R378,"&gt;0")+1&amp;", "&amp;$A378&amp;", "&amp;S378&amp;" UNION ALL","")</f>
        <v/>
      </c>
      <c r="X378" s="6" t="str">
        <f>IF(T378&gt;0,"SELECT "&amp;COUNTIF($Q$1:$T377,"&gt;0")+COUNTIF($Q378:S378,"&gt;0")+1&amp;", "&amp;$A378&amp;", "&amp;T378&amp;" UNION ALL","")</f>
        <v/>
      </c>
      <c r="Y378" s="5" t="str">
        <f t="shared" ca="1" si="29"/>
        <v>SELECT 336, 409, 6 UNION ALL</v>
      </c>
    </row>
    <row r="379" spans="1:25">
      <c r="A379" s="6">
        <f t="shared" si="31"/>
        <v>410</v>
      </c>
      <c r="B379" s="6" t="s">
        <v>1202</v>
      </c>
      <c r="C379" s="6">
        <v>3</v>
      </c>
      <c r="D379" s="6">
        <v>10</v>
      </c>
      <c r="L379" s="6" t="str">
        <f t="shared" si="30"/>
        <v>SELECT 410, N'kanadyjski', 3, 10 UNION ALL</v>
      </c>
      <c r="M379" s="6" t="s">
        <v>556</v>
      </c>
      <c r="Q379" s="6">
        <f t="shared" ca="1" si="27"/>
        <v>5</v>
      </c>
      <c r="R379" s="6">
        <f t="shared" ca="1" si="28"/>
        <v>0</v>
      </c>
      <c r="U379" s="6" t="str">
        <f ca="1">IF(Q379&gt;0,"SELECT "&amp;COUNTIF($Q$1:$T378,"&gt;0")+1&amp;", "&amp;$A379&amp;", "&amp;Q379&amp;" UNION ALL","")</f>
        <v>SELECT 337, 410, 5 UNION ALL</v>
      </c>
      <c r="V379" s="6" t="str">
        <f ca="1">IF(R379&gt;0,"SELECT "&amp;COUNTIF($Q$1:$T378,"&gt;0")+COUNTIF($Q379:Q379,"&gt;0")+1&amp;", "&amp;$A379&amp;", "&amp;R379&amp;" UNION ALL","")</f>
        <v/>
      </c>
      <c r="W379" s="6" t="str">
        <f>IF(S379&gt;0,"SELECT "&amp;COUNTIF($Q$1:$T378,"&gt;0")+COUNTIF($Q379:R379,"&gt;0")+1&amp;", "&amp;$A379&amp;", "&amp;S379&amp;" UNION ALL","")</f>
        <v/>
      </c>
      <c r="X379" s="6" t="str">
        <f>IF(T379&gt;0,"SELECT "&amp;COUNTIF($Q$1:$T378,"&gt;0")+COUNTIF($Q379:S379,"&gt;0")+1&amp;", "&amp;$A379&amp;", "&amp;T379&amp;" UNION ALL","")</f>
        <v/>
      </c>
      <c r="Y379" s="5" t="str">
        <f t="shared" ca="1" si="29"/>
        <v>SELECT 337, 410, 5 UNION ALL</v>
      </c>
    </row>
    <row r="380" spans="1:25">
      <c r="A380" s="6">
        <f t="shared" si="31"/>
        <v>411</v>
      </c>
      <c r="B380" s="6" t="s">
        <v>1203</v>
      </c>
      <c r="C380" s="6">
        <v>3</v>
      </c>
      <c r="D380" s="6">
        <v>10</v>
      </c>
      <c r="L380" s="6" t="str">
        <f t="shared" si="30"/>
        <v>SELECT 411, N'amerykański', 3, 10 UNION ALL</v>
      </c>
      <c r="M380" s="6" t="s">
        <v>556</v>
      </c>
      <c r="Q380" s="6">
        <f t="shared" ca="1" si="27"/>
        <v>5</v>
      </c>
      <c r="R380" s="6">
        <f t="shared" ca="1" si="28"/>
        <v>0</v>
      </c>
      <c r="U380" s="6" t="str">
        <f ca="1">IF(Q380&gt;0,"SELECT "&amp;COUNTIF($Q$1:$T379,"&gt;0")+1&amp;", "&amp;$A380&amp;", "&amp;Q380&amp;" UNION ALL","")</f>
        <v>SELECT 338, 411, 5 UNION ALL</v>
      </c>
      <c r="V380" s="6" t="str">
        <f ca="1">IF(R380&gt;0,"SELECT "&amp;COUNTIF($Q$1:$T379,"&gt;0")+COUNTIF($Q380:Q380,"&gt;0")+1&amp;", "&amp;$A380&amp;", "&amp;R380&amp;" UNION ALL","")</f>
        <v/>
      </c>
      <c r="W380" s="6" t="str">
        <f>IF(S380&gt;0,"SELECT "&amp;COUNTIF($Q$1:$T379,"&gt;0")+COUNTIF($Q380:R380,"&gt;0")+1&amp;", "&amp;$A380&amp;", "&amp;S380&amp;" UNION ALL","")</f>
        <v/>
      </c>
      <c r="X380" s="6" t="str">
        <f>IF(T380&gt;0,"SELECT "&amp;COUNTIF($Q$1:$T379,"&gt;0")+COUNTIF($Q380:S380,"&gt;0")+1&amp;", "&amp;$A380&amp;", "&amp;T380&amp;" UNION ALL","")</f>
        <v/>
      </c>
      <c r="Y380" s="5" t="str">
        <f t="shared" ca="1" si="29"/>
        <v>SELECT 338, 411, 5 UNION ALL</v>
      </c>
    </row>
    <row r="381" spans="1:25">
      <c r="A381" s="6">
        <f t="shared" si="31"/>
        <v>412</v>
      </c>
      <c r="B381" s="6" t="s">
        <v>1204</v>
      </c>
      <c r="C381" s="6">
        <v>3</v>
      </c>
      <c r="D381" s="6">
        <v>6</v>
      </c>
      <c r="L381" s="6" t="str">
        <f t="shared" si="30"/>
        <v>SELECT 412, N'irlandzki', 3, 6 UNION ALL</v>
      </c>
      <c r="M381" s="6" t="s">
        <v>555</v>
      </c>
      <c r="Q381" s="6">
        <f t="shared" ca="1" si="27"/>
        <v>4</v>
      </c>
      <c r="R381" s="6">
        <f t="shared" ca="1" si="28"/>
        <v>0</v>
      </c>
      <c r="U381" s="6" t="str">
        <f ca="1">IF(Q381&gt;0,"SELECT "&amp;COUNTIF($Q$1:$T380,"&gt;0")+1&amp;", "&amp;$A381&amp;", "&amp;Q381&amp;" UNION ALL","")</f>
        <v>SELECT 339, 412, 4 UNION ALL</v>
      </c>
      <c r="V381" s="6" t="str">
        <f ca="1">IF(R381&gt;0,"SELECT "&amp;COUNTIF($Q$1:$T380,"&gt;0")+COUNTIF($Q381:Q381,"&gt;0")+1&amp;", "&amp;$A381&amp;", "&amp;R381&amp;" UNION ALL","")</f>
        <v/>
      </c>
      <c r="W381" s="6" t="str">
        <f>IF(S381&gt;0,"SELECT "&amp;COUNTIF($Q$1:$T380,"&gt;0")+COUNTIF($Q381:R381,"&gt;0")+1&amp;", "&amp;$A381&amp;", "&amp;S381&amp;" UNION ALL","")</f>
        <v/>
      </c>
      <c r="X381" s="6" t="str">
        <f>IF(T381&gt;0,"SELECT "&amp;COUNTIF($Q$1:$T380,"&gt;0")+COUNTIF($Q381:S381,"&gt;0")+1&amp;", "&amp;$A381&amp;", "&amp;T381&amp;" UNION ALL","")</f>
        <v/>
      </c>
      <c r="Y381" s="5" t="str">
        <f t="shared" ca="1" si="29"/>
        <v>SELECT 339, 412, 4 UNION ALL</v>
      </c>
    </row>
    <row r="382" spans="1:25">
      <c r="A382" s="6">
        <f t="shared" si="31"/>
        <v>413</v>
      </c>
      <c r="B382" s="6" t="s">
        <v>1205</v>
      </c>
      <c r="C382" s="6">
        <v>3</v>
      </c>
      <c r="D382" s="6">
        <v>4</v>
      </c>
      <c r="L382" s="6" t="str">
        <f t="shared" si="30"/>
        <v>SELECT 413, N'szkocki', 3, 4 UNION ALL</v>
      </c>
      <c r="M382" s="6" t="s">
        <v>555</v>
      </c>
      <c r="Q382" s="6">
        <f t="shared" ca="1" si="27"/>
        <v>4</v>
      </c>
      <c r="R382" s="6">
        <f t="shared" ca="1" si="28"/>
        <v>0</v>
      </c>
      <c r="U382" s="6" t="str">
        <f ca="1">IF(Q382&gt;0,"SELECT "&amp;COUNTIF($Q$1:$T381,"&gt;0")+1&amp;", "&amp;$A382&amp;", "&amp;Q382&amp;" UNION ALL","")</f>
        <v>SELECT 340, 413, 4 UNION ALL</v>
      </c>
      <c r="V382" s="6" t="str">
        <f ca="1">IF(R382&gt;0,"SELECT "&amp;COUNTIF($Q$1:$T381,"&gt;0")+COUNTIF($Q382:Q382,"&gt;0")+1&amp;", "&amp;$A382&amp;", "&amp;R382&amp;" UNION ALL","")</f>
        <v/>
      </c>
      <c r="W382" s="6" t="str">
        <f>IF(S382&gt;0,"SELECT "&amp;COUNTIF($Q$1:$T381,"&gt;0")+COUNTIF($Q382:R382,"&gt;0")+1&amp;", "&amp;$A382&amp;", "&amp;S382&amp;" UNION ALL","")</f>
        <v/>
      </c>
      <c r="X382" s="6" t="str">
        <f>IF(T382&gt;0,"SELECT "&amp;COUNTIF($Q$1:$T381,"&gt;0")+COUNTIF($Q382:S382,"&gt;0")+1&amp;", "&amp;$A382&amp;", "&amp;T382&amp;" UNION ALL","")</f>
        <v/>
      </c>
      <c r="Y382" s="5" t="str">
        <f t="shared" ca="1" si="29"/>
        <v>SELECT 340, 413, 4 UNION ALL</v>
      </c>
    </row>
    <row r="383" spans="1:25">
      <c r="A383" s="6">
        <f t="shared" si="31"/>
        <v>414</v>
      </c>
      <c r="B383" s="6" t="s">
        <v>1206</v>
      </c>
      <c r="C383" s="6">
        <v>3</v>
      </c>
      <c r="D383" s="6">
        <v>4</v>
      </c>
      <c r="L383" s="6" t="str">
        <f t="shared" si="30"/>
        <v>SELECT 414, N'walijski', 3, 4 UNION ALL</v>
      </c>
      <c r="M383" s="6" t="s">
        <v>555</v>
      </c>
      <c r="Q383" s="6">
        <f t="shared" ca="1" si="27"/>
        <v>4</v>
      </c>
      <c r="R383" s="6">
        <f t="shared" ca="1" si="28"/>
        <v>0</v>
      </c>
      <c r="U383" s="6" t="str">
        <f ca="1">IF(Q383&gt;0,"SELECT "&amp;COUNTIF($Q$1:$T382,"&gt;0")+1&amp;", "&amp;$A383&amp;", "&amp;Q383&amp;" UNION ALL","")</f>
        <v>SELECT 341, 414, 4 UNION ALL</v>
      </c>
      <c r="V383" s="6" t="str">
        <f ca="1">IF(R383&gt;0,"SELECT "&amp;COUNTIF($Q$1:$T382,"&gt;0")+COUNTIF($Q383:Q383,"&gt;0")+1&amp;", "&amp;$A383&amp;", "&amp;R383&amp;" UNION ALL","")</f>
        <v/>
      </c>
      <c r="W383" s="6" t="str">
        <f>IF(S383&gt;0,"SELECT "&amp;COUNTIF($Q$1:$T382,"&gt;0")+COUNTIF($Q383:R383,"&gt;0")+1&amp;", "&amp;$A383&amp;", "&amp;S383&amp;" UNION ALL","")</f>
        <v/>
      </c>
      <c r="X383" s="6" t="str">
        <f>IF(T383&gt;0,"SELECT "&amp;COUNTIF($Q$1:$T382,"&gt;0")+COUNTIF($Q383:S383,"&gt;0")+1&amp;", "&amp;$A383&amp;", "&amp;T383&amp;" UNION ALL","")</f>
        <v/>
      </c>
      <c r="Y383" s="5" t="str">
        <f t="shared" ca="1" si="29"/>
        <v>SELECT 341, 414, 4 UNION ALL</v>
      </c>
    </row>
    <row r="384" spans="1:25">
      <c r="A384" s="6">
        <f t="shared" si="31"/>
        <v>415</v>
      </c>
      <c r="B384" s="6" t="s">
        <v>1207</v>
      </c>
      <c r="C384" s="6">
        <v>3</v>
      </c>
      <c r="D384" s="6">
        <v>5</v>
      </c>
      <c r="L384" s="6" t="str">
        <f t="shared" si="30"/>
        <v>SELECT 415, N'islandzki', 3, 5 UNION ALL</v>
      </c>
      <c r="M384" s="6" t="s">
        <v>555</v>
      </c>
      <c r="Q384" s="6">
        <f t="shared" ca="1" si="27"/>
        <v>4</v>
      </c>
      <c r="R384" s="6">
        <f t="shared" ca="1" si="28"/>
        <v>0</v>
      </c>
      <c r="U384" s="6" t="str">
        <f ca="1">IF(Q384&gt;0,"SELECT "&amp;COUNTIF($Q$1:$T383,"&gt;0")+1&amp;", "&amp;$A384&amp;", "&amp;Q384&amp;" UNION ALL","")</f>
        <v>SELECT 342, 415, 4 UNION ALL</v>
      </c>
      <c r="V384" s="6" t="str">
        <f ca="1">IF(R384&gt;0,"SELECT "&amp;COUNTIF($Q$1:$T383,"&gt;0")+COUNTIF($Q384:Q384,"&gt;0")+1&amp;", "&amp;$A384&amp;", "&amp;R384&amp;" UNION ALL","")</f>
        <v/>
      </c>
      <c r="W384" s="6" t="str">
        <f>IF(S384&gt;0,"SELECT "&amp;COUNTIF($Q$1:$T383,"&gt;0")+COUNTIF($Q384:R384,"&gt;0")+1&amp;", "&amp;$A384&amp;", "&amp;S384&amp;" UNION ALL","")</f>
        <v/>
      </c>
      <c r="X384" s="6" t="str">
        <f>IF(T384&gt;0,"SELECT "&amp;COUNTIF($Q$1:$T383,"&gt;0")+COUNTIF($Q384:S384,"&gt;0")+1&amp;", "&amp;$A384&amp;", "&amp;T384&amp;" UNION ALL","")</f>
        <v/>
      </c>
      <c r="Y384" s="5" t="str">
        <f t="shared" ca="1" si="29"/>
        <v>SELECT 342, 415, 4 UNION ALL</v>
      </c>
    </row>
    <row r="385" spans="1:25">
      <c r="A385" s="6">
        <f t="shared" si="31"/>
        <v>416</v>
      </c>
      <c r="B385" s="6" t="s">
        <v>1208</v>
      </c>
      <c r="C385" s="6">
        <v>3</v>
      </c>
      <c r="D385" s="6">
        <v>8</v>
      </c>
      <c r="L385" s="6" t="str">
        <f t="shared" si="30"/>
        <v>SELECT 416, N'duński', 3, 8 UNION ALL</v>
      </c>
      <c r="M385" s="6" t="s">
        <v>555</v>
      </c>
      <c r="Q385" s="6">
        <f t="shared" ca="1" si="27"/>
        <v>4</v>
      </c>
      <c r="R385" s="6">
        <f t="shared" ca="1" si="28"/>
        <v>0</v>
      </c>
      <c r="U385" s="6" t="str">
        <f ca="1">IF(Q385&gt;0,"SELECT "&amp;COUNTIF($Q$1:$T384,"&gt;0")+1&amp;", "&amp;$A385&amp;", "&amp;Q385&amp;" UNION ALL","")</f>
        <v>SELECT 343, 416, 4 UNION ALL</v>
      </c>
      <c r="V385" s="6" t="str">
        <f ca="1">IF(R385&gt;0,"SELECT "&amp;COUNTIF($Q$1:$T384,"&gt;0")+COUNTIF($Q385:Q385,"&gt;0")+1&amp;", "&amp;$A385&amp;", "&amp;R385&amp;" UNION ALL","")</f>
        <v/>
      </c>
      <c r="W385" s="6" t="str">
        <f>IF(S385&gt;0,"SELECT "&amp;COUNTIF($Q$1:$T384,"&gt;0")+COUNTIF($Q385:R385,"&gt;0")+1&amp;", "&amp;$A385&amp;", "&amp;S385&amp;" UNION ALL","")</f>
        <v/>
      </c>
      <c r="X385" s="6" t="str">
        <f>IF(T385&gt;0,"SELECT "&amp;COUNTIF($Q$1:$T384,"&gt;0")+COUNTIF($Q385:S385,"&gt;0")+1&amp;", "&amp;$A385&amp;", "&amp;T385&amp;" UNION ALL","")</f>
        <v/>
      </c>
      <c r="Y385" s="5" t="str">
        <f t="shared" ca="1" si="29"/>
        <v>SELECT 343, 416, 4 UNION ALL</v>
      </c>
    </row>
    <row r="386" spans="1:25">
      <c r="A386" s="6">
        <f t="shared" si="31"/>
        <v>417</v>
      </c>
      <c r="B386" s="6" t="s">
        <v>1209</v>
      </c>
      <c r="C386" s="6">
        <v>3</v>
      </c>
      <c r="D386" s="6">
        <v>7</v>
      </c>
      <c r="L386" s="6" t="str">
        <f t="shared" si="30"/>
        <v>SELECT 417, N'norweski', 3, 7 UNION ALL</v>
      </c>
      <c r="M386" s="6" t="s">
        <v>555</v>
      </c>
      <c r="Q386" s="6">
        <f t="shared" ca="1" si="27"/>
        <v>4</v>
      </c>
      <c r="R386" s="6">
        <f t="shared" ca="1" si="28"/>
        <v>0</v>
      </c>
      <c r="U386" s="6" t="str">
        <f ca="1">IF(Q386&gt;0,"SELECT "&amp;COUNTIF($Q$1:$T385,"&gt;0")+1&amp;", "&amp;$A386&amp;", "&amp;Q386&amp;" UNION ALL","")</f>
        <v>SELECT 344, 417, 4 UNION ALL</v>
      </c>
      <c r="V386" s="6" t="str">
        <f ca="1">IF(R386&gt;0,"SELECT "&amp;COUNTIF($Q$1:$T385,"&gt;0")+COUNTIF($Q386:Q386,"&gt;0")+1&amp;", "&amp;$A386&amp;", "&amp;R386&amp;" UNION ALL","")</f>
        <v/>
      </c>
      <c r="W386" s="6" t="str">
        <f>IF(S386&gt;0,"SELECT "&amp;COUNTIF($Q$1:$T385,"&gt;0")+COUNTIF($Q386:R386,"&gt;0")+1&amp;", "&amp;$A386&amp;", "&amp;S386&amp;" UNION ALL","")</f>
        <v/>
      </c>
      <c r="X386" s="6" t="str">
        <f>IF(T386&gt;0,"SELECT "&amp;COUNTIF($Q$1:$T385,"&gt;0")+COUNTIF($Q386:S386,"&gt;0")+1&amp;", "&amp;$A386&amp;", "&amp;T386&amp;" UNION ALL","")</f>
        <v/>
      </c>
      <c r="Y386" s="5" t="str">
        <f t="shared" ca="1" si="29"/>
        <v>SELECT 344, 417, 4 UNION ALL</v>
      </c>
    </row>
    <row r="387" spans="1:25">
      <c r="A387" s="6">
        <f t="shared" si="31"/>
        <v>418</v>
      </c>
      <c r="B387" s="6" t="s">
        <v>1210</v>
      </c>
      <c r="C387" s="6">
        <v>3</v>
      </c>
      <c r="D387" s="6">
        <v>9</v>
      </c>
      <c r="L387" s="6" t="str">
        <f t="shared" si="30"/>
        <v>SELECT 418, N'szwedzki', 3, 9 UNION ALL</v>
      </c>
      <c r="M387" s="6" t="s">
        <v>555</v>
      </c>
      <c r="Q387" s="6">
        <f t="shared" ref="Q387:Q450" ca="1" si="32">IFERROR(VLOOKUP(M387,Kategorie,9,0),0)</f>
        <v>4</v>
      </c>
      <c r="R387" s="6">
        <f t="shared" ref="R387:R450" ca="1" si="33">IFERROR(VLOOKUP(N387,Kategorie,9,0),0)</f>
        <v>0</v>
      </c>
      <c r="U387" s="6" t="str">
        <f ca="1">IF(Q387&gt;0,"SELECT "&amp;COUNTIF($Q$1:$T386,"&gt;0")+1&amp;", "&amp;$A387&amp;", "&amp;Q387&amp;" UNION ALL","")</f>
        <v>SELECT 345, 418, 4 UNION ALL</v>
      </c>
      <c r="V387" s="6" t="str">
        <f ca="1">IF(R387&gt;0,"SELECT "&amp;COUNTIF($Q$1:$T386,"&gt;0")+COUNTIF($Q387:Q387,"&gt;0")+1&amp;", "&amp;$A387&amp;", "&amp;R387&amp;" UNION ALL","")</f>
        <v/>
      </c>
      <c r="W387" s="6" t="str">
        <f>IF(S387&gt;0,"SELECT "&amp;COUNTIF($Q$1:$T386,"&gt;0")+COUNTIF($Q387:R387,"&gt;0")+1&amp;", "&amp;$A387&amp;", "&amp;S387&amp;" UNION ALL","")</f>
        <v/>
      </c>
      <c r="X387" s="6" t="str">
        <f>IF(T387&gt;0,"SELECT "&amp;COUNTIF($Q$1:$T386,"&gt;0")+COUNTIF($Q387:S387,"&gt;0")+1&amp;", "&amp;$A387&amp;", "&amp;T387&amp;" UNION ALL","")</f>
        <v/>
      </c>
      <c r="Y387" s="5" t="str">
        <f t="shared" ca="1" si="29"/>
        <v>SELECT 345, 418, 4 UNION ALL</v>
      </c>
    </row>
    <row r="388" spans="1:25">
      <c r="A388" s="6">
        <f t="shared" si="31"/>
        <v>419</v>
      </c>
      <c r="B388" s="6" t="s">
        <v>1211</v>
      </c>
      <c r="C388" s="6">
        <v>3</v>
      </c>
      <c r="D388" s="6">
        <v>8</v>
      </c>
      <c r="L388" s="6" t="str">
        <f t="shared" si="30"/>
        <v>SELECT 419, N'fiński', 3, 8 UNION ALL</v>
      </c>
      <c r="M388" s="6" t="s">
        <v>555</v>
      </c>
      <c r="Q388" s="6">
        <f t="shared" ca="1" si="32"/>
        <v>4</v>
      </c>
      <c r="R388" s="6">
        <f t="shared" ca="1" si="33"/>
        <v>0</v>
      </c>
      <c r="U388" s="6" t="str">
        <f ca="1">IF(Q388&gt;0,"SELECT "&amp;COUNTIF($Q$1:$T387,"&gt;0")+1&amp;", "&amp;$A388&amp;", "&amp;Q388&amp;" UNION ALL","")</f>
        <v>SELECT 346, 419, 4 UNION ALL</v>
      </c>
      <c r="V388" s="6" t="str">
        <f ca="1">IF(R388&gt;0,"SELECT "&amp;COUNTIF($Q$1:$T387,"&gt;0")+COUNTIF($Q388:Q388,"&gt;0")+1&amp;", "&amp;$A388&amp;", "&amp;R388&amp;" UNION ALL","")</f>
        <v/>
      </c>
      <c r="W388" s="6" t="str">
        <f>IF(S388&gt;0,"SELECT "&amp;COUNTIF($Q$1:$T387,"&gt;0")+COUNTIF($Q388:R388,"&gt;0")+1&amp;", "&amp;$A388&amp;", "&amp;S388&amp;" UNION ALL","")</f>
        <v/>
      </c>
      <c r="X388" s="6" t="str">
        <f>IF(T388&gt;0,"SELECT "&amp;COUNTIF($Q$1:$T387,"&gt;0")+COUNTIF($Q388:S388,"&gt;0")+1&amp;", "&amp;$A388&amp;", "&amp;T388&amp;" UNION ALL","")</f>
        <v/>
      </c>
      <c r="Y388" s="5" t="str">
        <f t="shared" ref="Y388:Y451" ca="1" si="34">SUBSTITUTE(IF(LEN(U388)&gt;0,U388,"")&amp;IF(LEN(V388)&gt;0,CHAR(10)&amp;V388,"")&amp;IF(LEN(W388)&gt;0,CHAR(10)&amp;W388,"")&amp;IF(LEN(X388)&gt;0,CHAR(10)&amp;X388,""),CHAR(34),"")</f>
        <v>SELECT 346, 419, 4 UNION ALL</v>
      </c>
    </row>
    <row r="389" spans="1:25">
      <c r="A389" s="6">
        <f t="shared" si="31"/>
        <v>420</v>
      </c>
      <c r="B389" s="6" t="s">
        <v>1212</v>
      </c>
      <c r="C389" s="6">
        <v>3</v>
      </c>
      <c r="D389" s="6">
        <v>4</v>
      </c>
      <c r="L389" s="6" t="str">
        <f t="shared" si="30"/>
        <v>SELECT 420, N'estoński', 3, 4 UNION ALL</v>
      </c>
      <c r="M389" s="6" t="s">
        <v>555</v>
      </c>
      <c r="Q389" s="6">
        <f t="shared" ca="1" si="32"/>
        <v>4</v>
      </c>
      <c r="R389" s="6">
        <f t="shared" ca="1" si="33"/>
        <v>0</v>
      </c>
      <c r="U389" s="6" t="str">
        <f ca="1">IF(Q389&gt;0,"SELECT "&amp;COUNTIF($Q$1:$T388,"&gt;0")+1&amp;", "&amp;$A389&amp;", "&amp;Q389&amp;" UNION ALL","")</f>
        <v>SELECT 347, 420, 4 UNION ALL</v>
      </c>
      <c r="V389" s="6" t="str">
        <f ca="1">IF(R389&gt;0,"SELECT "&amp;COUNTIF($Q$1:$T388,"&gt;0")+COUNTIF($Q389:Q389,"&gt;0")+1&amp;", "&amp;$A389&amp;", "&amp;R389&amp;" UNION ALL","")</f>
        <v/>
      </c>
      <c r="W389" s="6" t="str">
        <f>IF(S389&gt;0,"SELECT "&amp;COUNTIF($Q$1:$T388,"&gt;0")+COUNTIF($Q389:R389,"&gt;0")+1&amp;", "&amp;$A389&amp;", "&amp;S389&amp;" UNION ALL","")</f>
        <v/>
      </c>
      <c r="X389" s="6" t="str">
        <f>IF(T389&gt;0,"SELECT "&amp;COUNTIF($Q$1:$T388,"&gt;0")+COUNTIF($Q389:S389,"&gt;0")+1&amp;", "&amp;$A389&amp;", "&amp;T389&amp;" UNION ALL","")</f>
        <v/>
      </c>
      <c r="Y389" s="5" t="str">
        <f t="shared" ca="1" si="34"/>
        <v>SELECT 347, 420, 4 UNION ALL</v>
      </c>
    </row>
    <row r="390" spans="1:25">
      <c r="A390" s="6">
        <f t="shared" si="31"/>
        <v>421</v>
      </c>
      <c r="B390" s="6" t="s">
        <v>1213</v>
      </c>
      <c r="C390" s="6">
        <v>3</v>
      </c>
      <c r="D390" s="6">
        <v>4</v>
      </c>
      <c r="L390" s="6" t="str">
        <f t="shared" si="30"/>
        <v>SELECT 421, N'łotewski', 3, 4 UNION ALL</v>
      </c>
      <c r="M390" s="6" t="s">
        <v>555</v>
      </c>
      <c r="Q390" s="6">
        <f t="shared" ca="1" si="32"/>
        <v>4</v>
      </c>
      <c r="R390" s="6">
        <f t="shared" ca="1" si="33"/>
        <v>0</v>
      </c>
      <c r="U390" s="6" t="str">
        <f ca="1">IF(Q390&gt;0,"SELECT "&amp;COUNTIF($Q$1:$T389,"&gt;0")+1&amp;", "&amp;$A390&amp;", "&amp;Q390&amp;" UNION ALL","")</f>
        <v>SELECT 348, 421, 4 UNION ALL</v>
      </c>
      <c r="V390" s="6" t="str">
        <f ca="1">IF(R390&gt;0,"SELECT "&amp;COUNTIF($Q$1:$T389,"&gt;0")+COUNTIF($Q390:Q390,"&gt;0")+1&amp;", "&amp;$A390&amp;", "&amp;R390&amp;" UNION ALL","")</f>
        <v/>
      </c>
      <c r="W390" s="6" t="str">
        <f>IF(S390&gt;0,"SELECT "&amp;COUNTIF($Q$1:$T389,"&gt;0")+COUNTIF($Q390:R390,"&gt;0")+1&amp;", "&amp;$A390&amp;", "&amp;S390&amp;" UNION ALL","")</f>
        <v/>
      </c>
      <c r="X390" s="6" t="str">
        <f>IF(T390&gt;0,"SELECT "&amp;COUNTIF($Q$1:$T389,"&gt;0")+COUNTIF($Q390:S390,"&gt;0")+1&amp;", "&amp;$A390&amp;", "&amp;T390&amp;" UNION ALL","")</f>
        <v/>
      </c>
      <c r="Y390" s="5" t="str">
        <f t="shared" ca="1" si="34"/>
        <v>SELECT 348, 421, 4 UNION ALL</v>
      </c>
    </row>
    <row r="391" spans="1:25">
      <c r="A391" s="6">
        <f t="shared" si="31"/>
        <v>422</v>
      </c>
      <c r="B391" s="6" t="s">
        <v>1214</v>
      </c>
      <c r="C391" s="6">
        <v>3</v>
      </c>
      <c r="D391" s="6">
        <v>5</v>
      </c>
      <c r="L391" s="6" t="str">
        <f t="shared" si="30"/>
        <v>SELECT 422, N'litewski', 3, 5 UNION ALL</v>
      </c>
      <c r="M391" s="6" t="s">
        <v>555</v>
      </c>
      <c r="Q391" s="6">
        <f t="shared" ca="1" si="32"/>
        <v>4</v>
      </c>
      <c r="R391" s="6">
        <f t="shared" ca="1" si="33"/>
        <v>0</v>
      </c>
      <c r="U391" s="6" t="str">
        <f ca="1">IF(Q391&gt;0,"SELECT "&amp;COUNTIF($Q$1:$T390,"&gt;0")+1&amp;", "&amp;$A391&amp;", "&amp;Q391&amp;" UNION ALL","")</f>
        <v>SELECT 349, 422, 4 UNION ALL</v>
      </c>
      <c r="V391" s="6" t="str">
        <f ca="1">IF(R391&gt;0,"SELECT "&amp;COUNTIF($Q$1:$T390,"&gt;0")+COUNTIF($Q391:Q391,"&gt;0")+1&amp;", "&amp;$A391&amp;", "&amp;R391&amp;" UNION ALL","")</f>
        <v/>
      </c>
      <c r="W391" s="6" t="str">
        <f>IF(S391&gt;0,"SELECT "&amp;COUNTIF($Q$1:$T390,"&gt;0")+COUNTIF($Q391:R391,"&gt;0")+1&amp;", "&amp;$A391&amp;", "&amp;S391&amp;" UNION ALL","")</f>
        <v/>
      </c>
      <c r="X391" s="6" t="str">
        <f>IF(T391&gt;0,"SELECT "&amp;COUNTIF($Q$1:$T390,"&gt;0")+COUNTIF($Q391:S391,"&gt;0")+1&amp;", "&amp;$A391&amp;", "&amp;T391&amp;" UNION ALL","")</f>
        <v/>
      </c>
      <c r="Y391" s="5" t="str">
        <f t="shared" ca="1" si="34"/>
        <v>SELECT 349, 422, 4 UNION ALL</v>
      </c>
    </row>
    <row r="392" spans="1:25">
      <c r="A392" s="6">
        <f t="shared" si="31"/>
        <v>423</v>
      </c>
      <c r="B392" s="6" t="s">
        <v>1215</v>
      </c>
      <c r="C392" s="6">
        <v>3</v>
      </c>
      <c r="D392" s="6">
        <v>10</v>
      </c>
      <c r="L392" s="6" t="str">
        <f t="shared" si="30"/>
        <v>SELECT 423, N'holenderski', 3, 10 UNION ALL</v>
      </c>
      <c r="M392" s="6" t="s">
        <v>555</v>
      </c>
      <c r="Q392" s="6">
        <f t="shared" ca="1" si="32"/>
        <v>4</v>
      </c>
      <c r="R392" s="6">
        <f t="shared" ca="1" si="33"/>
        <v>0</v>
      </c>
      <c r="U392" s="6" t="str">
        <f ca="1">IF(Q392&gt;0,"SELECT "&amp;COUNTIF($Q$1:$T391,"&gt;0")+1&amp;", "&amp;$A392&amp;", "&amp;Q392&amp;" UNION ALL","")</f>
        <v>SELECT 350, 423, 4 UNION ALL</v>
      </c>
      <c r="V392" s="6" t="str">
        <f ca="1">IF(R392&gt;0,"SELECT "&amp;COUNTIF($Q$1:$T391,"&gt;0")+COUNTIF($Q392:Q392,"&gt;0")+1&amp;", "&amp;$A392&amp;", "&amp;R392&amp;" UNION ALL","")</f>
        <v/>
      </c>
      <c r="W392" s="6" t="str">
        <f>IF(S392&gt;0,"SELECT "&amp;COUNTIF($Q$1:$T391,"&gt;0")+COUNTIF($Q392:R392,"&gt;0")+1&amp;", "&amp;$A392&amp;", "&amp;S392&amp;" UNION ALL","")</f>
        <v/>
      </c>
      <c r="X392" s="6" t="str">
        <f>IF(T392&gt;0,"SELECT "&amp;COUNTIF($Q$1:$T391,"&gt;0")+COUNTIF($Q392:S392,"&gt;0")+1&amp;", "&amp;$A392&amp;", "&amp;T392&amp;" UNION ALL","")</f>
        <v/>
      </c>
      <c r="Y392" s="5" t="str">
        <f t="shared" ca="1" si="34"/>
        <v>SELECT 350, 423, 4 UNION ALL</v>
      </c>
    </row>
    <row r="393" spans="1:25">
      <c r="A393" s="6">
        <f t="shared" si="31"/>
        <v>424</v>
      </c>
      <c r="B393" s="6" t="s">
        <v>1216</v>
      </c>
      <c r="C393" s="6">
        <v>3</v>
      </c>
      <c r="D393" s="6">
        <v>8</v>
      </c>
      <c r="L393" s="6" t="str">
        <f t="shared" si="30"/>
        <v>SELECT 424, N'belgijski', 3, 8 UNION ALL</v>
      </c>
      <c r="M393" s="6" t="s">
        <v>555</v>
      </c>
      <c r="Q393" s="6">
        <f t="shared" ca="1" si="32"/>
        <v>4</v>
      </c>
      <c r="R393" s="6">
        <f t="shared" ca="1" si="33"/>
        <v>0</v>
      </c>
      <c r="U393" s="6" t="str">
        <f ca="1">IF(Q393&gt;0,"SELECT "&amp;COUNTIF($Q$1:$T392,"&gt;0")+1&amp;", "&amp;$A393&amp;", "&amp;Q393&amp;" UNION ALL","")</f>
        <v>SELECT 351, 424, 4 UNION ALL</v>
      </c>
      <c r="V393" s="6" t="str">
        <f ca="1">IF(R393&gt;0,"SELECT "&amp;COUNTIF($Q$1:$T392,"&gt;0")+COUNTIF($Q393:Q393,"&gt;0")+1&amp;", "&amp;$A393&amp;", "&amp;R393&amp;" UNION ALL","")</f>
        <v/>
      </c>
      <c r="W393" s="6" t="str">
        <f>IF(S393&gt;0,"SELECT "&amp;COUNTIF($Q$1:$T392,"&gt;0")+COUNTIF($Q393:R393,"&gt;0")+1&amp;", "&amp;$A393&amp;", "&amp;S393&amp;" UNION ALL","")</f>
        <v/>
      </c>
      <c r="X393" s="6" t="str">
        <f>IF(T393&gt;0,"SELECT "&amp;COUNTIF($Q$1:$T392,"&gt;0")+COUNTIF($Q393:S393,"&gt;0")+1&amp;", "&amp;$A393&amp;", "&amp;T393&amp;" UNION ALL","")</f>
        <v/>
      </c>
      <c r="Y393" s="5" t="str">
        <f t="shared" ca="1" si="34"/>
        <v>SELECT 351, 424, 4 UNION ALL</v>
      </c>
    </row>
    <row r="394" spans="1:25">
      <c r="A394" s="6">
        <f t="shared" si="31"/>
        <v>425</v>
      </c>
      <c r="B394" s="6" t="s">
        <v>1217</v>
      </c>
      <c r="C394" s="6">
        <v>3</v>
      </c>
      <c r="D394" s="6">
        <v>6</v>
      </c>
      <c r="L394" s="6" t="str">
        <f t="shared" si="30"/>
        <v>SELECT 425, N'słowacki', 3, 6 UNION ALL</v>
      </c>
      <c r="M394" s="6" t="s">
        <v>555</v>
      </c>
      <c r="Q394" s="6">
        <f t="shared" ca="1" si="32"/>
        <v>4</v>
      </c>
      <c r="R394" s="6">
        <f t="shared" ca="1" si="33"/>
        <v>0</v>
      </c>
      <c r="U394" s="6" t="str">
        <f ca="1">IF(Q394&gt;0,"SELECT "&amp;COUNTIF($Q$1:$T393,"&gt;0")+1&amp;", "&amp;$A394&amp;", "&amp;Q394&amp;" UNION ALL","")</f>
        <v>SELECT 352, 425, 4 UNION ALL</v>
      </c>
      <c r="V394" s="6" t="str">
        <f ca="1">IF(R394&gt;0,"SELECT "&amp;COUNTIF($Q$1:$T393,"&gt;0")+COUNTIF($Q394:Q394,"&gt;0")+1&amp;", "&amp;$A394&amp;", "&amp;R394&amp;" UNION ALL","")</f>
        <v/>
      </c>
      <c r="W394" s="6" t="str">
        <f>IF(S394&gt;0,"SELECT "&amp;COUNTIF($Q$1:$T393,"&gt;0")+COUNTIF($Q394:R394,"&gt;0")+1&amp;", "&amp;$A394&amp;", "&amp;S394&amp;" UNION ALL","")</f>
        <v/>
      </c>
      <c r="X394" s="6" t="str">
        <f>IF(T394&gt;0,"SELECT "&amp;COUNTIF($Q$1:$T393,"&gt;0")+COUNTIF($Q394:S394,"&gt;0")+1&amp;", "&amp;$A394&amp;", "&amp;T394&amp;" UNION ALL","")</f>
        <v/>
      </c>
      <c r="Y394" s="5" t="str">
        <f t="shared" ca="1" si="34"/>
        <v>SELECT 352, 425, 4 UNION ALL</v>
      </c>
    </row>
    <row r="395" spans="1:25">
      <c r="A395" s="6">
        <f t="shared" si="31"/>
        <v>426</v>
      </c>
      <c r="B395" s="6" t="s">
        <v>1218</v>
      </c>
      <c r="C395" s="6">
        <v>3</v>
      </c>
      <c r="D395" s="6">
        <v>7</v>
      </c>
      <c r="L395" s="6" t="str">
        <f t="shared" si="30"/>
        <v>SELECT 426, N'węgierski', 3, 7 UNION ALL</v>
      </c>
      <c r="M395" s="6" t="s">
        <v>555</v>
      </c>
      <c r="Q395" s="6">
        <f t="shared" ca="1" si="32"/>
        <v>4</v>
      </c>
      <c r="R395" s="6">
        <f t="shared" ca="1" si="33"/>
        <v>0</v>
      </c>
      <c r="U395" s="6" t="str">
        <f ca="1">IF(Q395&gt;0,"SELECT "&amp;COUNTIF($Q$1:$T394,"&gt;0")+1&amp;", "&amp;$A395&amp;", "&amp;Q395&amp;" UNION ALL","")</f>
        <v>SELECT 353, 426, 4 UNION ALL</v>
      </c>
      <c r="V395" s="6" t="str">
        <f ca="1">IF(R395&gt;0,"SELECT "&amp;COUNTIF($Q$1:$T394,"&gt;0")+COUNTIF($Q395:Q395,"&gt;0")+1&amp;", "&amp;$A395&amp;", "&amp;R395&amp;" UNION ALL","")</f>
        <v/>
      </c>
      <c r="W395" s="6" t="str">
        <f>IF(S395&gt;0,"SELECT "&amp;COUNTIF($Q$1:$T394,"&gt;0")+COUNTIF($Q395:R395,"&gt;0")+1&amp;", "&amp;$A395&amp;", "&amp;S395&amp;" UNION ALL","")</f>
        <v/>
      </c>
      <c r="X395" s="6" t="str">
        <f>IF(T395&gt;0,"SELECT "&amp;COUNTIF($Q$1:$T394,"&gt;0")+COUNTIF($Q395:S395,"&gt;0")+1&amp;", "&amp;$A395&amp;", "&amp;T395&amp;" UNION ALL","")</f>
        <v/>
      </c>
      <c r="Y395" s="5" t="str">
        <f t="shared" ca="1" si="34"/>
        <v>SELECT 353, 426, 4 UNION ALL</v>
      </c>
    </row>
    <row r="396" spans="1:25">
      <c r="A396" s="6">
        <f t="shared" si="31"/>
        <v>427</v>
      </c>
      <c r="B396" s="6" t="s">
        <v>1219</v>
      </c>
      <c r="C396" s="6">
        <v>3</v>
      </c>
      <c r="D396" s="6">
        <v>7</v>
      </c>
      <c r="L396" s="6" t="str">
        <f t="shared" si="30"/>
        <v>SELECT 427, N'rumuński', 3, 7 UNION ALL</v>
      </c>
      <c r="M396" s="6" t="s">
        <v>555</v>
      </c>
      <c r="Q396" s="6">
        <f t="shared" ca="1" si="32"/>
        <v>4</v>
      </c>
      <c r="R396" s="6">
        <f t="shared" ca="1" si="33"/>
        <v>0</v>
      </c>
      <c r="U396" s="6" t="str">
        <f ca="1">IF(Q396&gt;0,"SELECT "&amp;COUNTIF($Q$1:$T395,"&gt;0")+1&amp;", "&amp;$A396&amp;", "&amp;Q396&amp;" UNION ALL","")</f>
        <v>SELECT 354, 427, 4 UNION ALL</v>
      </c>
      <c r="V396" s="6" t="str">
        <f ca="1">IF(R396&gt;0,"SELECT "&amp;COUNTIF($Q$1:$T395,"&gt;0")+COUNTIF($Q396:Q396,"&gt;0")+1&amp;", "&amp;$A396&amp;", "&amp;R396&amp;" UNION ALL","")</f>
        <v/>
      </c>
      <c r="W396" s="6" t="str">
        <f>IF(S396&gt;0,"SELECT "&amp;COUNTIF($Q$1:$T395,"&gt;0")+COUNTIF($Q396:R396,"&gt;0")+1&amp;", "&amp;$A396&amp;", "&amp;S396&amp;" UNION ALL","")</f>
        <v/>
      </c>
      <c r="X396" s="6" t="str">
        <f>IF(T396&gt;0,"SELECT "&amp;COUNTIF($Q$1:$T395,"&gt;0")+COUNTIF($Q396:S396,"&gt;0")+1&amp;", "&amp;$A396&amp;", "&amp;T396&amp;" UNION ALL","")</f>
        <v/>
      </c>
      <c r="Y396" s="5" t="str">
        <f t="shared" ca="1" si="34"/>
        <v>SELECT 354, 427, 4 UNION ALL</v>
      </c>
    </row>
    <row r="397" spans="1:25">
      <c r="A397" s="6">
        <f t="shared" si="31"/>
        <v>428</v>
      </c>
      <c r="B397" s="6" t="s">
        <v>1220</v>
      </c>
      <c r="C397" s="6">
        <v>3</v>
      </c>
      <c r="D397" s="6">
        <v>7</v>
      </c>
      <c r="L397" s="6" t="str">
        <f t="shared" si="30"/>
        <v>SELECT 428, N'serbski', 3, 7 UNION ALL</v>
      </c>
      <c r="M397" s="6" t="s">
        <v>555</v>
      </c>
      <c r="Q397" s="6">
        <f t="shared" ca="1" si="32"/>
        <v>4</v>
      </c>
      <c r="R397" s="6">
        <f t="shared" ca="1" si="33"/>
        <v>0</v>
      </c>
      <c r="U397" s="6" t="str">
        <f ca="1">IF(Q397&gt;0,"SELECT "&amp;COUNTIF($Q$1:$T396,"&gt;0")+1&amp;", "&amp;$A397&amp;", "&amp;Q397&amp;" UNION ALL","")</f>
        <v>SELECT 355, 428, 4 UNION ALL</v>
      </c>
      <c r="V397" s="6" t="str">
        <f ca="1">IF(R397&gt;0,"SELECT "&amp;COUNTIF($Q$1:$T396,"&gt;0")+COUNTIF($Q397:Q397,"&gt;0")+1&amp;", "&amp;$A397&amp;", "&amp;R397&amp;" UNION ALL","")</f>
        <v/>
      </c>
      <c r="W397" s="6" t="str">
        <f>IF(S397&gt;0,"SELECT "&amp;COUNTIF($Q$1:$T396,"&gt;0")+COUNTIF($Q397:R397,"&gt;0")+1&amp;", "&amp;$A397&amp;", "&amp;S397&amp;" UNION ALL","")</f>
        <v/>
      </c>
      <c r="X397" s="6" t="str">
        <f>IF(T397&gt;0,"SELECT "&amp;COUNTIF($Q$1:$T396,"&gt;0")+COUNTIF($Q397:S397,"&gt;0")+1&amp;", "&amp;$A397&amp;", "&amp;T397&amp;" UNION ALL","")</f>
        <v/>
      </c>
      <c r="Y397" s="5" t="str">
        <f t="shared" ca="1" si="34"/>
        <v>SELECT 355, 428, 4 UNION ALL</v>
      </c>
    </row>
    <row r="398" spans="1:25">
      <c r="A398" s="6">
        <f t="shared" si="31"/>
        <v>429</v>
      </c>
      <c r="B398" s="6" t="s">
        <v>1221</v>
      </c>
      <c r="C398" s="6">
        <v>3</v>
      </c>
      <c r="D398" s="6">
        <v>4</v>
      </c>
      <c r="L398" s="6" t="str">
        <f t="shared" si="30"/>
        <v>SELECT 429, N'macedoński', 3, 4 UNION ALL</v>
      </c>
      <c r="M398" s="6" t="s">
        <v>555</v>
      </c>
      <c r="Q398" s="6">
        <f t="shared" ca="1" si="32"/>
        <v>4</v>
      </c>
      <c r="R398" s="6">
        <f t="shared" ca="1" si="33"/>
        <v>0</v>
      </c>
      <c r="U398" s="6" t="str">
        <f ca="1">IF(Q398&gt;0,"SELECT "&amp;COUNTIF($Q$1:$T397,"&gt;0")+1&amp;", "&amp;$A398&amp;", "&amp;Q398&amp;" UNION ALL","")</f>
        <v>SELECT 356, 429, 4 UNION ALL</v>
      </c>
      <c r="V398" s="6" t="str">
        <f ca="1">IF(R398&gt;0,"SELECT "&amp;COUNTIF($Q$1:$T397,"&gt;0")+COUNTIF($Q398:Q398,"&gt;0")+1&amp;", "&amp;$A398&amp;", "&amp;R398&amp;" UNION ALL","")</f>
        <v/>
      </c>
      <c r="W398" s="6" t="str">
        <f>IF(S398&gt;0,"SELECT "&amp;COUNTIF($Q$1:$T397,"&gt;0")+COUNTIF($Q398:R398,"&gt;0")+1&amp;", "&amp;$A398&amp;", "&amp;S398&amp;" UNION ALL","")</f>
        <v/>
      </c>
      <c r="X398" s="6" t="str">
        <f>IF(T398&gt;0,"SELECT "&amp;COUNTIF($Q$1:$T397,"&gt;0")+COUNTIF($Q398:S398,"&gt;0")+1&amp;", "&amp;$A398&amp;", "&amp;T398&amp;" UNION ALL","")</f>
        <v/>
      </c>
      <c r="Y398" s="5" t="str">
        <f t="shared" ca="1" si="34"/>
        <v>SELECT 356, 429, 4 UNION ALL</v>
      </c>
    </row>
    <row r="399" spans="1:25">
      <c r="A399" s="6">
        <f t="shared" si="31"/>
        <v>430</v>
      </c>
      <c r="B399" s="6" t="s">
        <v>1222</v>
      </c>
      <c r="C399" s="6">
        <v>3</v>
      </c>
      <c r="D399" s="6">
        <v>4</v>
      </c>
      <c r="L399" s="6" t="str">
        <f t="shared" si="30"/>
        <v>SELECT 430, N'bośniacki', 3, 4 UNION ALL</v>
      </c>
      <c r="M399" s="6" t="s">
        <v>555</v>
      </c>
      <c r="Q399" s="6">
        <f t="shared" ca="1" si="32"/>
        <v>4</v>
      </c>
      <c r="R399" s="6">
        <f t="shared" ca="1" si="33"/>
        <v>0</v>
      </c>
      <c r="U399" s="6" t="str">
        <f ca="1">IF(Q399&gt;0,"SELECT "&amp;COUNTIF($Q$1:$T398,"&gt;0")+1&amp;", "&amp;$A399&amp;", "&amp;Q399&amp;" UNION ALL","")</f>
        <v>SELECT 357, 430, 4 UNION ALL</v>
      </c>
      <c r="V399" s="6" t="str">
        <f ca="1">IF(R399&gt;0,"SELECT "&amp;COUNTIF($Q$1:$T398,"&gt;0")+COUNTIF($Q399:Q399,"&gt;0")+1&amp;", "&amp;$A399&amp;", "&amp;R399&amp;" UNION ALL","")</f>
        <v/>
      </c>
      <c r="W399" s="6" t="str">
        <f>IF(S399&gt;0,"SELECT "&amp;COUNTIF($Q$1:$T398,"&gt;0")+COUNTIF($Q399:R399,"&gt;0")+1&amp;", "&amp;$A399&amp;", "&amp;S399&amp;" UNION ALL","")</f>
        <v/>
      </c>
      <c r="X399" s="6" t="str">
        <f>IF(T399&gt;0,"SELECT "&amp;COUNTIF($Q$1:$T398,"&gt;0")+COUNTIF($Q399:S399,"&gt;0")+1&amp;", "&amp;$A399&amp;", "&amp;T399&amp;" UNION ALL","")</f>
        <v/>
      </c>
      <c r="Y399" s="5" t="str">
        <f t="shared" ca="1" si="34"/>
        <v>SELECT 357, 430, 4 UNION ALL</v>
      </c>
    </row>
    <row r="400" spans="1:25">
      <c r="A400" s="6">
        <f t="shared" si="31"/>
        <v>431</v>
      </c>
      <c r="B400" s="6" t="s">
        <v>1223</v>
      </c>
      <c r="C400" s="6">
        <v>3</v>
      </c>
      <c r="D400" s="6">
        <v>4</v>
      </c>
      <c r="L400" s="6" t="str">
        <f t="shared" si="30"/>
        <v>SELECT 431, N'słoweński', 3, 4 UNION ALL</v>
      </c>
      <c r="M400" s="6" t="s">
        <v>555</v>
      </c>
      <c r="Q400" s="6">
        <f t="shared" ca="1" si="32"/>
        <v>4</v>
      </c>
      <c r="R400" s="6">
        <f t="shared" ca="1" si="33"/>
        <v>0</v>
      </c>
      <c r="U400" s="6" t="str">
        <f ca="1">IF(Q400&gt;0,"SELECT "&amp;COUNTIF($Q$1:$T399,"&gt;0")+1&amp;", "&amp;$A400&amp;", "&amp;Q400&amp;" UNION ALL","")</f>
        <v>SELECT 358, 431, 4 UNION ALL</v>
      </c>
      <c r="V400" s="6" t="str">
        <f ca="1">IF(R400&gt;0,"SELECT "&amp;COUNTIF($Q$1:$T399,"&gt;0")+COUNTIF($Q400:Q400,"&gt;0")+1&amp;", "&amp;$A400&amp;", "&amp;R400&amp;" UNION ALL","")</f>
        <v/>
      </c>
      <c r="W400" s="6" t="str">
        <f>IF(S400&gt;0,"SELECT "&amp;COUNTIF($Q$1:$T399,"&gt;0")+COUNTIF($Q400:R400,"&gt;0")+1&amp;", "&amp;$A400&amp;", "&amp;S400&amp;" UNION ALL","")</f>
        <v/>
      </c>
      <c r="X400" s="6" t="str">
        <f>IF(T400&gt;0,"SELECT "&amp;COUNTIF($Q$1:$T399,"&gt;0")+COUNTIF($Q400:S400,"&gt;0")+1&amp;", "&amp;$A400&amp;", "&amp;T400&amp;" UNION ALL","")</f>
        <v/>
      </c>
      <c r="Y400" s="5" t="str">
        <f t="shared" ca="1" si="34"/>
        <v>SELECT 358, 431, 4 UNION ALL</v>
      </c>
    </row>
    <row r="401" spans="1:25">
      <c r="A401" s="6">
        <f t="shared" si="31"/>
        <v>432</v>
      </c>
      <c r="B401" s="6" t="s">
        <v>1224</v>
      </c>
      <c r="C401" s="6">
        <v>3</v>
      </c>
      <c r="D401" s="6">
        <v>5</v>
      </c>
      <c r="L401" s="6" t="str">
        <f t="shared" si="30"/>
        <v>SELECT 432, N'czarnogórski', 3, 5 UNION ALL</v>
      </c>
      <c r="M401" s="6" t="s">
        <v>555</v>
      </c>
      <c r="Q401" s="6">
        <f t="shared" ca="1" si="32"/>
        <v>4</v>
      </c>
      <c r="R401" s="6">
        <f t="shared" ca="1" si="33"/>
        <v>0</v>
      </c>
      <c r="U401" s="6" t="str">
        <f ca="1">IF(Q401&gt;0,"SELECT "&amp;COUNTIF($Q$1:$T400,"&gt;0")+1&amp;", "&amp;$A401&amp;", "&amp;Q401&amp;" UNION ALL","")</f>
        <v>SELECT 359, 432, 4 UNION ALL</v>
      </c>
      <c r="V401" s="6" t="str">
        <f ca="1">IF(R401&gt;0,"SELECT "&amp;COUNTIF($Q$1:$T400,"&gt;0")+COUNTIF($Q401:Q401,"&gt;0")+1&amp;", "&amp;$A401&amp;", "&amp;R401&amp;" UNION ALL","")</f>
        <v/>
      </c>
      <c r="W401" s="6" t="str">
        <f>IF(S401&gt;0,"SELECT "&amp;COUNTIF($Q$1:$T400,"&gt;0")+COUNTIF($Q401:R401,"&gt;0")+1&amp;", "&amp;$A401&amp;", "&amp;S401&amp;" UNION ALL","")</f>
        <v/>
      </c>
      <c r="X401" s="6" t="str">
        <f>IF(T401&gt;0,"SELECT "&amp;COUNTIF($Q$1:$T400,"&gt;0")+COUNTIF($Q401:S401,"&gt;0")+1&amp;", "&amp;$A401&amp;", "&amp;T401&amp;" UNION ALL","")</f>
        <v/>
      </c>
      <c r="Y401" s="5" t="str">
        <f t="shared" ca="1" si="34"/>
        <v>SELECT 359, 432, 4 UNION ALL</v>
      </c>
    </row>
    <row r="402" spans="1:25">
      <c r="A402" s="6">
        <f t="shared" si="31"/>
        <v>433</v>
      </c>
      <c r="B402" s="6" t="s">
        <v>1225</v>
      </c>
      <c r="C402" s="6">
        <v>3</v>
      </c>
      <c r="D402" s="6">
        <v>5</v>
      </c>
      <c r="L402" s="6" t="str">
        <f t="shared" si="30"/>
        <v>SELECT 433, N'białoruski', 3, 5 UNION ALL</v>
      </c>
      <c r="M402" s="6" t="s">
        <v>555</v>
      </c>
      <c r="Q402" s="6">
        <f t="shared" ca="1" si="32"/>
        <v>4</v>
      </c>
      <c r="R402" s="6">
        <f t="shared" ca="1" si="33"/>
        <v>0</v>
      </c>
      <c r="U402" s="6" t="str">
        <f ca="1">IF(Q402&gt;0,"SELECT "&amp;COUNTIF($Q$1:$T401,"&gt;0")+1&amp;", "&amp;$A402&amp;", "&amp;Q402&amp;" UNION ALL","")</f>
        <v>SELECT 360, 433, 4 UNION ALL</v>
      </c>
      <c r="V402" s="6" t="str">
        <f ca="1">IF(R402&gt;0,"SELECT "&amp;COUNTIF($Q$1:$T401,"&gt;0")+COUNTIF($Q402:Q402,"&gt;0")+1&amp;", "&amp;$A402&amp;", "&amp;R402&amp;" UNION ALL","")</f>
        <v/>
      </c>
      <c r="W402" s="6" t="str">
        <f>IF(S402&gt;0,"SELECT "&amp;COUNTIF($Q$1:$T401,"&gt;0")+COUNTIF($Q402:R402,"&gt;0")+1&amp;", "&amp;$A402&amp;", "&amp;S402&amp;" UNION ALL","")</f>
        <v/>
      </c>
      <c r="X402" s="6" t="str">
        <f>IF(T402&gt;0,"SELECT "&amp;COUNTIF($Q$1:$T401,"&gt;0")+COUNTIF($Q402:S402,"&gt;0")+1&amp;", "&amp;$A402&amp;", "&amp;T402&amp;" UNION ALL","")</f>
        <v/>
      </c>
      <c r="Y402" s="5" t="str">
        <f t="shared" ca="1" si="34"/>
        <v>SELECT 360, 433, 4 UNION ALL</v>
      </c>
    </row>
    <row r="403" spans="1:25">
      <c r="A403" s="6">
        <f t="shared" si="31"/>
        <v>434</v>
      </c>
      <c r="B403" s="6" t="s">
        <v>1226</v>
      </c>
      <c r="C403" s="6">
        <v>3</v>
      </c>
      <c r="D403" s="6">
        <v>8</v>
      </c>
      <c r="L403" s="6" t="str">
        <f t="shared" si="30"/>
        <v>SELECT 434, N'ukraiński', 3, 8 UNION ALL</v>
      </c>
      <c r="M403" s="6" t="s">
        <v>555</v>
      </c>
      <c r="Q403" s="6">
        <f t="shared" ca="1" si="32"/>
        <v>4</v>
      </c>
      <c r="R403" s="6">
        <f t="shared" ca="1" si="33"/>
        <v>0</v>
      </c>
      <c r="U403" s="6" t="str">
        <f ca="1">IF(Q403&gt;0,"SELECT "&amp;COUNTIF($Q$1:$T402,"&gt;0")+1&amp;", "&amp;$A403&amp;", "&amp;Q403&amp;" UNION ALL","")</f>
        <v>SELECT 361, 434, 4 UNION ALL</v>
      </c>
      <c r="V403" s="6" t="str">
        <f ca="1">IF(R403&gt;0,"SELECT "&amp;COUNTIF($Q$1:$T402,"&gt;0")+COUNTIF($Q403:Q403,"&gt;0")+1&amp;", "&amp;$A403&amp;", "&amp;R403&amp;" UNION ALL","")</f>
        <v/>
      </c>
      <c r="W403" s="6" t="str">
        <f>IF(S403&gt;0,"SELECT "&amp;COUNTIF($Q$1:$T402,"&gt;0")+COUNTIF($Q403:R403,"&gt;0")+1&amp;", "&amp;$A403&amp;", "&amp;S403&amp;" UNION ALL","")</f>
        <v/>
      </c>
      <c r="X403" s="6" t="str">
        <f>IF(T403&gt;0,"SELECT "&amp;COUNTIF($Q$1:$T402,"&gt;0")+COUNTIF($Q403:S403,"&gt;0")+1&amp;", "&amp;$A403&amp;", "&amp;T403&amp;" UNION ALL","")</f>
        <v/>
      </c>
      <c r="Y403" s="5" t="str">
        <f t="shared" ca="1" si="34"/>
        <v>SELECT 361, 434, 4 UNION ALL</v>
      </c>
    </row>
    <row r="404" spans="1:25">
      <c r="A404" s="6">
        <f t="shared" si="31"/>
        <v>435</v>
      </c>
      <c r="B404" s="6" t="s">
        <v>1227</v>
      </c>
      <c r="C404" s="6">
        <v>3</v>
      </c>
      <c r="D404" s="6">
        <v>4</v>
      </c>
      <c r="L404" s="6" t="str">
        <f t="shared" si="30"/>
        <v>SELECT 435, N'mołdawski', 3, 4 UNION ALL</v>
      </c>
      <c r="M404" s="6" t="s">
        <v>555</v>
      </c>
      <c r="Q404" s="6">
        <f t="shared" ca="1" si="32"/>
        <v>4</v>
      </c>
      <c r="R404" s="6">
        <f t="shared" ca="1" si="33"/>
        <v>0</v>
      </c>
      <c r="U404" s="6" t="str">
        <f ca="1">IF(Q404&gt;0,"SELECT "&amp;COUNTIF($Q$1:$T403,"&gt;0")+1&amp;", "&amp;$A404&amp;", "&amp;Q404&amp;" UNION ALL","")</f>
        <v>SELECT 362, 435, 4 UNION ALL</v>
      </c>
      <c r="V404" s="6" t="str">
        <f ca="1">IF(R404&gt;0,"SELECT "&amp;COUNTIF($Q$1:$T403,"&gt;0")+COUNTIF($Q404:Q404,"&gt;0")+1&amp;", "&amp;$A404&amp;", "&amp;R404&amp;" UNION ALL","")</f>
        <v/>
      </c>
      <c r="W404" s="6" t="str">
        <f>IF(S404&gt;0,"SELECT "&amp;COUNTIF($Q$1:$T403,"&gt;0")+COUNTIF($Q404:R404,"&gt;0")+1&amp;", "&amp;$A404&amp;", "&amp;S404&amp;" UNION ALL","")</f>
        <v/>
      </c>
      <c r="X404" s="6" t="str">
        <f>IF(T404&gt;0,"SELECT "&amp;COUNTIF($Q$1:$T403,"&gt;0")+COUNTIF($Q404:S404,"&gt;0")+1&amp;", "&amp;$A404&amp;", "&amp;T404&amp;" UNION ALL","")</f>
        <v/>
      </c>
      <c r="Y404" s="5" t="str">
        <f t="shared" ca="1" si="34"/>
        <v>SELECT 362, 435, 4 UNION ALL</v>
      </c>
    </row>
    <row r="405" spans="1:25">
      <c r="A405" s="6">
        <f t="shared" si="31"/>
        <v>436</v>
      </c>
      <c r="B405" s="6" t="s">
        <v>1228</v>
      </c>
      <c r="C405" s="6">
        <v>3</v>
      </c>
      <c r="D405" s="6">
        <v>7</v>
      </c>
      <c r="L405" s="6" t="str">
        <f t="shared" si="30"/>
        <v>SELECT 436, N'peruwiański', 3, 7 UNION ALL</v>
      </c>
      <c r="M405" s="6" t="s">
        <v>557</v>
      </c>
      <c r="Q405" s="6">
        <f t="shared" ca="1" si="32"/>
        <v>6</v>
      </c>
      <c r="R405" s="6">
        <f t="shared" ca="1" si="33"/>
        <v>0</v>
      </c>
      <c r="U405" s="6" t="str">
        <f ca="1">IF(Q405&gt;0,"SELECT "&amp;COUNTIF($Q$1:$T404,"&gt;0")+1&amp;", "&amp;$A405&amp;", "&amp;Q405&amp;" UNION ALL","")</f>
        <v>SELECT 363, 436, 6 UNION ALL</v>
      </c>
      <c r="V405" s="6" t="str">
        <f ca="1">IF(R405&gt;0,"SELECT "&amp;COUNTIF($Q$1:$T404,"&gt;0")+COUNTIF($Q405:Q405,"&gt;0")+1&amp;", "&amp;$A405&amp;", "&amp;R405&amp;" UNION ALL","")</f>
        <v/>
      </c>
      <c r="W405" s="6" t="str">
        <f>IF(S405&gt;0,"SELECT "&amp;COUNTIF($Q$1:$T404,"&gt;0")+COUNTIF($Q405:R405,"&gt;0")+1&amp;", "&amp;$A405&amp;", "&amp;S405&amp;" UNION ALL","")</f>
        <v/>
      </c>
      <c r="X405" s="6" t="str">
        <f>IF(T405&gt;0,"SELECT "&amp;COUNTIF($Q$1:$T404,"&gt;0")+COUNTIF($Q405:S405,"&gt;0")+1&amp;", "&amp;$A405&amp;", "&amp;T405&amp;" UNION ALL","")</f>
        <v/>
      </c>
      <c r="Y405" s="5" t="str">
        <f t="shared" ca="1" si="34"/>
        <v>SELECT 363, 436, 6 UNION ALL</v>
      </c>
    </row>
    <row r="406" spans="1:25">
      <c r="A406" s="6">
        <f t="shared" si="31"/>
        <v>437</v>
      </c>
      <c r="B406" s="6" t="s">
        <v>1229</v>
      </c>
      <c r="C406" s="6">
        <v>3</v>
      </c>
      <c r="D406" s="6">
        <v>7</v>
      </c>
      <c r="L406" s="6" t="str">
        <f t="shared" si="30"/>
        <v>SELECT 437, N'chilijski', 3, 7 UNION ALL</v>
      </c>
      <c r="M406" s="6" t="s">
        <v>557</v>
      </c>
      <c r="Q406" s="6">
        <f t="shared" ca="1" si="32"/>
        <v>6</v>
      </c>
      <c r="R406" s="6">
        <f t="shared" ca="1" si="33"/>
        <v>0</v>
      </c>
      <c r="U406" s="6" t="str">
        <f ca="1">IF(Q406&gt;0,"SELECT "&amp;COUNTIF($Q$1:$T405,"&gt;0")+1&amp;", "&amp;$A406&amp;", "&amp;Q406&amp;" UNION ALL","")</f>
        <v>SELECT 364, 437, 6 UNION ALL</v>
      </c>
      <c r="V406" s="6" t="str">
        <f ca="1">IF(R406&gt;0,"SELECT "&amp;COUNTIF($Q$1:$T405,"&gt;0")+COUNTIF($Q406:Q406,"&gt;0")+1&amp;", "&amp;$A406&amp;", "&amp;R406&amp;" UNION ALL","")</f>
        <v/>
      </c>
      <c r="W406" s="6" t="str">
        <f>IF(S406&gt;0,"SELECT "&amp;COUNTIF($Q$1:$T405,"&gt;0")+COUNTIF($Q406:R406,"&gt;0")+1&amp;", "&amp;$A406&amp;", "&amp;S406&amp;" UNION ALL","")</f>
        <v/>
      </c>
      <c r="X406" s="6" t="str">
        <f>IF(T406&gt;0,"SELECT "&amp;COUNTIF($Q$1:$T405,"&gt;0")+COUNTIF($Q406:S406,"&gt;0")+1&amp;", "&amp;$A406&amp;", "&amp;T406&amp;" UNION ALL","")</f>
        <v/>
      </c>
      <c r="Y406" s="5" t="str">
        <f t="shared" ca="1" si="34"/>
        <v>SELECT 364, 437, 6 UNION ALL</v>
      </c>
    </row>
    <row r="407" spans="1:25">
      <c r="A407" s="6">
        <f t="shared" si="31"/>
        <v>438</v>
      </c>
      <c r="B407" s="6" t="s">
        <v>1230</v>
      </c>
      <c r="C407" s="6">
        <v>3</v>
      </c>
      <c r="D407" s="6">
        <v>7</v>
      </c>
      <c r="L407" s="6" t="str">
        <f t="shared" si="30"/>
        <v>SELECT 438, N'wenezuelski', 3, 7 UNION ALL</v>
      </c>
      <c r="M407" s="6" t="s">
        <v>557</v>
      </c>
      <c r="Q407" s="6">
        <f t="shared" ca="1" si="32"/>
        <v>6</v>
      </c>
      <c r="R407" s="6">
        <f t="shared" ca="1" si="33"/>
        <v>0</v>
      </c>
      <c r="U407" s="6" t="str">
        <f ca="1">IF(Q407&gt;0,"SELECT "&amp;COUNTIF($Q$1:$T406,"&gt;0")+1&amp;", "&amp;$A407&amp;", "&amp;Q407&amp;" UNION ALL","")</f>
        <v>SELECT 365, 438, 6 UNION ALL</v>
      </c>
      <c r="V407" s="6" t="str">
        <f ca="1">IF(R407&gt;0,"SELECT "&amp;COUNTIF($Q$1:$T406,"&gt;0")+COUNTIF($Q407:Q407,"&gt;0")+1&amp;", "&amp;$A407&amp;", "&amp;R407&amp;" UNION ALL","")</f>
        <v/>
      </c>
      <c r="W407" s="6" t="str">
        <f>IF(S407&gt;0,"SELECT "&amp;COUNTIF($Q$1:$T406,"&gt;0")+COUNTIF($Q407:R407,"&gt;0")+1&amp;", "&amp;$A407&amp;", "&amp;S407&amp;" UNION ALL","")</f>
        <v/>
      </c>
      <c r="X407" s="6" t="str">
        <f>IF(T407&gt;0,"SELECT "&amp;COUNTIF($Q$1:$T406,"&gt;0")+COUNTIF($Q407:S407,"&gt;0")+1&amp;", "&amp;$A407&amp;", "&amp;T407&amp;" UNION ALL","")</f>
        <v/>
      </c>
      <c r="Y407" s="5" t="str">
        <f t="shared" ca="1" si="34"/>
        <v>SELECT 365, 438, 6 UNION ALL</v>
      </c>
    </row>
    <row r="408" spans="1:25">
      <c r="A408" s="6">
        <f t="shared" si="31"/>
        <v>439</v>
      </c>
      <c r="B408" s="6" t="s">
        <v>1231</v>
      </c>
      <c r="C408" s="6">
        <v>3</v>
      </c>
      <c r="D408" s="6">
        <v>6</v>
      </c>
      <c r="L408" s="6" t="str">
        <f t="shared" si="30"/>
        <v>SELECT 439, N'urugwajski', 3, 6 UNION ALL</v>
      </c>
      <c r="M408" s="6" t="s">
        <v>557</v>
      </c>
      <c r="Q408" s="6">
        <f t="shared" ca="1" si="32"/>
        <v>6</v>
      </c>
      <c r="R408" s="6">
        <f t="shared" ca="1" si="33"/>
        <v>0</v>
      </c>
      <c r="U408" s="6" t="str">
        <f ca="1">IF(Q408&gt;0,"SELECT "&amp;COUNTIF($Q$1:$T407,"&gt;0")+1&amp;", "&amp;$A408&amp;", "&amp;Q408&amp;" UNION ALL","")</f>
        <v>SELECT 366, 439, 6 UNION ALL</v>
      </c>
      <c r="V408" s="6" t="str">
        <f ca="1">IF(R408&gt;0,"SELECT "&amp;COUNTIF($Q$1:$T407,"&gt;0")+COUNTIF($Q408:Q408,"&gt;0")+1&amp;", "&amp;$A408&amp;", "&amp;R408&amp;" UNION ALL","")</f>
        <v/>
      </c>
      <c r="W408" s="6" t="str">
        <f>IF(S408&gt;0,"SELECT "&amp;COUNTIF($Q$1:$T407,"&gt;0")+COUNTIF($Q408:R408,"&gt;0")+1&amp;", "&amp;$A408&amp;", "&amp;S408&amp;" UNION ALL","")</f>
        <v/>
      </c>
      <c r="X408" s="6" t="str">
        <f>IF(T408&gt;0,"SELECT "&amp;COUNTIF($Q$1:$T407,"&gt;0")+COUNTIF($Q408:S408,"&gt;0")+1&amp;", "&amp;$A408&amp;", "&amp;T408&amp;" UNION ALL","")</f>
        <v/>
      </c>
      <c r="Y408" s="5" t="str">
        <f t="shared" ca="1" si="34"/>
        <v>SELECT 366, 439, 6 UNION ALL</v>
      </c>
    </row>
    <row r="409" spans="1:25">
      <c r="A409" s="6">
        <f t="shared" si="31"/>
        <v>440</v>
      </c>
      <c r="B409" s="6" t="s">
        <v>1232</v>
      </c>
      <c r="C409" s="6">
        <v>3</v>
      </c>
      <c r="D409" s="6">
        <v>7</v>
      </c>
      <c r="L409" s="6" t="str">
        <f t="shared" ref="L409:L472" si="35">"SELECT "&amp;A409&amp;", N'"&amp;B409&amp;"', "&amp;C409&amp;", "&amp;D409&amp;" UNION ALL"</f>
        <v>SELECT 440, N'paragwajski', 3, 7 UNION ALL</v>
      </c>
      <c r="M409" s="6" t="s">
        <v>557</v>
      </c>
      <c r="Q409" s="6">
        <f t="shared" ca="1" si="32"/>
        <v>6</v>
      </c>
      <c r="R409" s="6">
        <f t="shared" ca="1" si="33"/>
        <v>0</v>
      </c>
      <c r="U409" s="6" t="str">
        <f ca="1">IF(Q409&gt;0,"SELECT "&amp;COUNTIF($Q$1:$T408,"&gt;0")+1&amp;", "&amp;$A409&amp;", "&amp;Q409&amp;" UNION ALL","")</f>
        <v>SELECT 367, 440, 6 UNION ALL</v>
      </c>
      <c r="V409" s="6" t="str">
        <f ca="1">IF(R409&gt;0,"SELECT "&amp;COUNTIF($Q$1:$T408,"&gt;0")+COUNTIF($Q409:Q409,"&gt;0")+1&amp;", "&amp;$A409&amp;", "&amp;R409&amp;" UNION ALL","")</f>
        <v/>
      </c>
      <c r="W409" s="6" t="str">
        <f>IF(S409&gt;0,"SELECT "&amp;COUNTIF($Q$1:$T408,"&gt;0")+COUNTIF($Q409:R409,"&gt;0")+1&amp;", "&amp;$A409&amp;", "&amp;S409&amp;" UNION ALL","")</f>
        <v/>
      </c>
      <c r="X409" s="6" t="str">
        <f>IF(T409&gt;0,"SELECT "&amp;COUNTIF($Q$1:$T408,"&gt;0")+COUNTIF($Q409:S409,"&gt;0")+1&amp;", "&amp;$A409&amp;", "&amp;T409&amp;" UNION ALL","")</f>
        <v/>
      </c>
      <c r="Y409" s="5" t="str">
        <f t="shared" ca="1" si="34"/>
        <v>SELECT 367, 440, 6 UNION ALL</v>
      </c>
    </row>
    <row r="410" spans="1:25">
      <c r="A410" s="6">
        <f t="shared" si="31"/>
        <v>441</v>
      </c>
      <c r="B410" s="6" t="s">
        <v>1233</v>
      </c>
      <c r="C410" s="6">
        <v>3</v>
      </c>
      <c r="D410" s="6">
        <v>5</v>
      </c>
      <c r="L410" s="6" t="str">
        <f t="shared" si="35"/>
        <v>SELECT 441, N'ekwadorski', 3, 5 UNION ALL</v>
      </c>
      <c r="M410" s="6" t="s">
        <v>557</v>
      </c>
      <c r="Q410" s="6">
        <f t="shared" ca="1" si="32"/>
        <v>6</v>
      </c>
      <c r="R410" s="6">
        <f t="shared" ca="1" si="33"/>
        <v>0</v>
      </c>
      <c r="U410" s="6" t="str">
        <f ca="1">IF(Q410&gt;0,"SELECT "&amp;COUNTIF($Q$1:$T409,"&gt;0")+1&amp;", "&amp;$A410&amp;", "&amp;Q410&amp;" UNION ALL","")</f>
        <v>SELECT 368, 441, 6 UNION ALL</v>
      </c>
      <c r="V410" s="6" t="str">
        <f ca="1">IF(R410&gt;0,"SELECT "&amp;COUNTIF($Q$1:$T409,"&gt;0")+COUNTIF($Q410:Q410,"&gt;0")+1&amp;", "&amp;$A410&amp;", "&amp;R410&amp;" UNION ALL","")</f>
        <v/>
      </c>
      <c r="W410" s="6" t="str">
        <f>IF(S410&gt;0,"SELECT "&amp;COUNTIF($Q$1:$T409,"&gt;0")+COUNTIF($Q410:R410,"&gt;0")+1&amp;", "&amp;$A410&amp;", "&amp;S410&amp;" UNION ALL","")</f>
        <v/>
      </c>
      <c r="X410" s="6" t="str">
        <f>IF(T410&gt;0,"SELECT "&amp;COUNTIF($Q$1:$T409,"&gt;0")+COUNTIF($Q410:S410,"&gt;0")+1&amp;", "&amp;$A410&amp;", "&amp;T410&amp;" UNION ALL","")</f>
        <v/>
      </c>
      <c r="Y410" s="5" t="str">
        <f t="shared" ca="1" si="34"/>
        <v>SELECT 368, 441, 6 UNION ALL</v>
      </c>
    </row>
    <row r="411" spans="1:25">
      <c r="A411" s="6">
        <f t="shared" si="31"/>
        <v>442</v>
      </c>
      <c r="B411" s="6" t="s">
        <v>1234</v>
      </c>
      <c r="C411" s="6">
        <v>3</v>
      </c>
      <c r="D411" s="6">
        <v>5</v>
      </c>
      <c r="L411" s="6" t="str">
        <f t="shared" si="35"/>
        <v>SELECT 442, N'boliwijski', 3, 5 UNION ALL</v>
      </c>
      <c r="M411" s="6" t="s">
        <v>557</v>
      </c>
      <c r="Q411" s="6">
        <f t="shared" ca="1" si="32"/>
        <v>6</v>
      </c>
      <c r="R411" s="6">
        <f t="shared" ca="1" si="33"/>
        <v>0</v>
      </c>
      <c r="U411" s="6" t="str">
        <f ca="1">IF(Q411&gt;0,"SELECT "&amp;COUNTIF($Q$1:$T410,"&gt;0")+1&amp;", "&amp;$A411&amp;", "&amp;Q411&amp;" UNION ALL","")</f>
        <v>SELECT 369, 442, 6 UNION ALL</v>
      </c>
      <c r="V411" s="6" t="str">
        <f ca="1">IF(R411&gt;0,"SELECT "&amp;COUNTIF($Q$1:$T410,"&gt;0")+COUNTIF($Q411:Q411,"&gt;0")+1&amp;", "&amp;$A411&amp;", "&amp;R411&amp;" UNION ALL","")</f>
        <v/>
      </c>
      <c r="W411" s="6" t="str">
        <f>IF(S411&gt;0,"SELECT "&amp;COUNTIF($Q$1:$T410,"&gt;0")+COUNTIF($Q411:R411,"&gt;0")+1&amp;", "&amp;$A411&amp;", "&amp;S411&amp;" UNION ALL","")</f>
        <v/>
      </c>
      <c r="X411" s="6" t="str">
        <f>IF(T411&gt;0,"SELECT "&amp;COUNTIF($Q$1:$T410,"&gt;0")+COUNTIF($Q411:S411,"&gt;0")+1&amp;", "&amp;$A411&amp;", "&amp;T411&amp;" UNION ALL","")</f>
        <v/>
      </c>
      <c r="Y411" s="5" t="str">
        <f t="shared" ca="1" si="34"/>
        <v>SELECT 369, 442, 6 UNION ALL</v>
      </c>
    </row>
    <row r="412" spans="1:25">
      <c r="A412" s="6">
        <f t="shared" si="31"/>
        <v>443</v>
      </c>
      <c r="B412" s="6" t="s">
        <v>1235</v>
      </c>
      <c r="C412" s="6">
        <v>3</v>
      </c>
      <c r="D412" s="6">
        <v>2</v>
      </c>
      <c r="L412" s="6" t="str">
        <f t="shared" si="35"/>
        <v>SELECT 443, N'surinamski', 3, 2 UNION ALL</v>
      </c>
      <c r="M412" s="6" t="s">
        <v>557</v>
      </c>
      <c r="Q412" s="6">
        <f t="shared" ca="1" si="32"/>
        <v>6</v>
      </c>
      <c r="R412" s="6">
        <f t="shared" ca="1" si="33"/>
        <v>0</v>
      </c>
      <c r="U412" s="6" t="str">
        <f ca="1">IF(Q412&gt;0,"SELECT "&amp;COUNTIF($Q$1:$T411,"&gt;0")+1&amp;", "&amp;$A412&amp;", "&amp;Q412&amp;" UNION ALL","")</f>
        <v>SELECT 370, 443, 6 UNION ALL</v>
      </c>
      <c r="V412" s="6" t="str">
        <f ca="1">IF(R412&gt;0,"SELECT "&amp;COUNTIF($Q$1:$T411,"&gt;0")+COUNTIF($Q412:Q412,"&gt;0")+1&amp;", "&amp;$A412&amp;", "&amp;R412&amp;" UNION ALL","")</f>
        <v/>
      </c>
      <c r="W412" s="6" t="str">
        <f>IF(S412&gt;0,"SELECT "&amp;COUNTIF($Q$1:$T411,"&gt;0")+COUNTIF($Q412:R412,"&gt;0")+1&amp;", "&amp;$A412&amp;", "&amp;S412&amp;" UNION ALL","")</f>
        <v/>
      </c>
      <c r="X412" s="6" t="str">
        <f>IF(T412&gt;0,"SELECT "&amp;COUNTIF($Q$1:$T411,"&gt;0")+COUNTIF($Q412:S412,"&gt;0")+1&amp;", "&amp;$A412&amp;", "&amp;T412&amp;" UNION ALL","")</f>
        <v/>
      </c>
      <c r="Y412" s="5" t="str">
        <f t="shared" ca="1" si="34"/>
        <v>SELECT 370, 443, 6 UNION ALL</v>
      </c>
    </row>
    <row r="413" spans="1:25">
      <c r="A413" s="6">
        <f t="shared" si="31"/>
        <v>444</v>
      </c>
      <c r="B413" s="6" t="s">
        <v>1236</v>
      </c>
      <c r="C413" s="6">
        <v>3</v>
      </c>
      <c r="D413" s="6">
        <v>2</v>
      </c>
      <c r="L413" s="6" t="str">
        <f t="shared" si="35"/>
        <v>SELECT 444, N'gujański', 3, 2 UNION ALL</v>
      </c>
      <c r="M413" s="6" t="s">
        <v>557</v>
      </c>
      <c r="Q413" s="6">
        <f t="shared" ca="1" si="32"/>
        <v>6</v>
      </c>
      <c r="R413" s="6">
        <f t="shared" ca="1" si="33"/>
        <v>0</v>
      </c>
      <c r="U413" s="6" t="str">
        <f ca="1">IF(Q413&gt;0,"SELECT "&amp;COUNTIF($Q$1:$T412,"&gt;0")+1&amp;", "&amp;$A413&amp;", "&amp;Q413&amp;" UNION ALL","")</f>
        <v>SELECT 371, 444, 6 UNION ALL</v>
      </c>
      <c r="V413" s="6" t="str">
        <f ca="1">IF(R413&gt;0,"SELECT "&amp;COUNTIF($Q$1:$T412,"&gt;0")+COUNTIF($Q413:Q413,"&gt;0")+1&amp;", "&amp;$A413&amp;", "&amp;R413&amp;" UNION ALL","")</f>
        <v/>
      </c>
      <c r="W413" s="6" t="str">
        <f>IF(S413&gt;0,"SELECT "&amp;COUNTIF($Q$1:$T412,"&gt;0")+COUNTIF($Q413:R413,"&gt;0")+1&amp;", "&amp;$A413&amp;", "&amp;S413&amp;" UNION ALL","")</f>
        <v/>
      </c>
      <c r="X413" s="6" t="str">
        <f>IF(T413&gt;0,"SELECT "&amp;COUNTIF($Q$1:$T412,"&gt;0")+COUNTIF($Q413:S413,"&gt;0")+1&amp;", "&amp;$A413&amp;", "&amp;T413&amp;" UNION ALL","")</f>
        <v/>
      </c>
      <c r="Y413" s="5" t="str">
        <f t="shared" ca="1" si="34"/>
        <v>SELECT 371, 444, 6 UNION ALL</v>
      </c>
    </row>
    <row r="414" spans="1:25">
      <c r="A414" s="6">
        <f t="shared" si="31"/>
        <v>445</v>
      </c>
      <c r="B414" s="6" t="s">
        <v>1237</v>
      </c>
      <c r="C414" s="6">
        <v>3</v>
      </c>
      <c r="D414" s="6">
        <v>6</v>
      </c>
      <c r="L414" s="6" t="str">
        <f t="shared" si="35"/>
        <v>SELECT 445, N'ormiański', 3, 6 UNION ALL</v>
      </c>
      <c r="M414" s="6" t="s">
        <v>559</v>
      </c>
      <c r="Q414" s="6">
        <f t="shared" ca="1" si="32"/>
        <v>8</v>
      </c>
      <c r="R414" s="6">
        <f t="shared" ca="1" si="33"/>
        <v>0</v>
      </c>
      <c r="U414" s="6" t="str">
        <f ca="1">IF(Q414&gt;0,"SELECT "&amp;COUNTIF($Q$1:$T413,"&gt;0")+1&amp;", "&amp;$A414&amp;", "&amp;Q414&amp;" UNION ALL","")</f>
        <v>SELECT 372, 445, 8 UNION ALL</v>
      </c>
      <c r="V414" s="6" t="str">
        <f ca="1">IF(R414&gt;0,"SELECT "&amp;COUNTIF($Q$1:$T413,"&gt;0")+COUNTIF($Q414:Q414,"&gt;0")+1&amp;", "&amp;$A414&amp;", "&amp;R414&amp;" UNION ALL","")</f>
        <v/>
      </c>
      <c r="W414" s="6" t="str">
        <f>IF(S414&gt;0,"SELECT "&amp;COUNTIF($Q$1:$T413,"&gt;0")+COUNTIF($Q414:R414,"&gt;0")+1&amp;", "&amp;$A414&amp;", "&amp;S414&amp;" UNION ALL","")</f>
        <v/>
      </c>
      <c r="X414" s="6" t="str">
        <f>IF(T414&gt;0,"SELECT "&amp;COUNTIF($Q$1:$T413,"&gt;0")+COUNTIF($Q414:S414,"&gt;0")+1&amp;", "&amp;$A414&amp;", "&amp;T414&amp;" UNION ALL","")</f>
        <v/>
      </c>
      <c r="Y414" s="5" t="str">
        <f t="shared" ca="1" si="34"/>
        <v>SELECT 372, 445, 8 UNION ALL</v>
      </c>
    </row>
    <row r="415" spans="1:25">
      <c r="A415" s="6">
        <f t="shared" si="31"/>
        <v>446</v>
      </c>
      <c r="B415" s="6" t="s">
        <v>1238</v>
      </c>
      <c r="C415" s="6">
        <v>3</v>
      </c>
      <c r="D415" s="6">
        <v>5</v>
      </c>
      <c r="L415" s="6" t="str">
        <f t="shared" si="35"/>
        <v>SELECT 446, N'azerbejdżański', 3, 5 UNION ALL</v>
      </c>
      <c r="M415" s="6" t="s">
        <v>559</v>
      </c>
      <c r="Q415" s="6">
        <f t="shared" ca="1" si="32"/>
        <v>8</v>
      </c>
      <c r="R415" s="6">
        <f t="shared" ca="1" si="33"/>
        <v>0</v>
      </c>
      <c r="U415" s="6" t="str">
        <f ca="1">IF(Q415&gt;0,"SELECT "&amp;COUNTIF($Q$1:$T414,"&gt;0")+1&amp;", "&amp;$A415&amp;", "&amp;Q415&amp;" UNION ALL","")</f>
        <v>SELECT 373, 446, 8 UNION ALL</v>
      </c>
      <c r="V415" s="6" t="str">
        <f ca="1">IF(R415&gt;0,"SELECT "&amp;COUNTIF($Q$1:$T414,"&gt;0")+COUNTIF($Q415:Q415,"&gt;0")+1&amp;", "&amp;$A415&amp;", "&amp;R415&amp;" UNION ALL","")</f>
        <v/>
      </c>
      <c r="W415" s="6" t="str">
        <f>IF(S415&gt;0,"SELECT "&amp;COUNTIF($Q$1:$T414,"&gt;0")+COUNTIF($Q415:R415,"&gt;0")+1&amp;", "&amp;$A415&amp;", "&amp;S415&amp;" UNION ALL","")</f>
        <v/>
      </c>
      <c r="X415" s="6" t="str">
        <f>IF(T415&gt;0,"SELECT "&amp;COUNTIF($Q$1:$T414,"&gt;0")+COUNTIF($Q415:S415,"&gt;0")+1&amp;", "&amp;$A415&amp;", "&amp;T415&amp;" UNION ALL","")</f>
        <v/>
      </c>
      <c r="Y415" s="5" t="str">
        <f t="shared" ca="1" si="34"/>
        <v>SELECT 373, 446, 8 UNION ALL</v>
      </c>
    </row>
    <row r="416" spans="1:25">
      <c r="A416" s="6">
        <f t="shared" si="31"/>
        <v>447</v>
      </c>
      <c r="B416" s="6" t="s">
        <v>1239</v>
      </c>
      <c r="C416" s="6">
        <v>3</v>
      </c>
      <c r="D416" s="6">
        <v>8</v>
      </c>
      <c r="L416" s="6" t="str">
        <f t="shared" si="35"/>
        <v>SELECT 447, N'turecki', 3, 8 UNION ALL</v>
      </c>
      <c r="M416" s="6" t="s">
        <v>555</v>
      </c>
      <c r="O416" t="s">
        <v>559</v>
      </c>
      <c r="Q416" s="6">
        <f t="shared" ca="1" si="32"/>
        <v>4</v>
      </c>
      <c r="R416" s="6">
        <f t="shared" ca="1" si="33"/>
        <v>0</v>
      </c>
      <c r="U416" s="6" t="str">
        <f ca="1">IF(Q416&gt;0,"SELECT "&amp;COUNTIF($Q$1:$T415,"&gt;0")+1&amp;", "&amp;$A416&amp;", "&amp;Q416&amp;" UNION ALL","")</f>
        <v>SELECT 374, 447, 4 UNION ALL</v>
      </c>
      <c r="V416" s="6" t="str">
        <f ca="1">IF(R416&gt;0,"SELECT "&amp;COUNTIF($Q$1:$T415,"&gt;0")+COUNTIF($Q416:Q416,"&gt;0")+1&amp;", "&amp;$A416&amp;", "&amp;R416&amp;" UNION ALL","")</f>
        <v/>
      </c>
      <c r="W416" s="6" t="str">
        <f>IF(S416&gt;0,"SELECT "&amp;COUNTIF($Q$1:$T415,"&gt;0")+COUNTIF($Q416:R416,"&gt;0")+1&amp;", "&amp;$A416&amp;", "&amp;S416&amp;" UNION ALL","")</f>
        <v/>
      </c>
      <c r="X416" s="6" t="str">
        <f>IF(T416&gt;0,"SELECT "&amp;COUNTIF($Q$1:$T415,"&gt;0")+COUNTIF($Q416:S416,"&gt;0")+1&amp;", "&amp;$A416&amp;", "&amp;T416&amp;" UNION ALL","")</f>
        <v/>
      </c>
      <c r="Y416" s="5" t="str">
        <f t="shared" ca="1" si="34"/>
        <v>SELECT 374, 447, 4 UNION ALL</v>
      </c>
    </row>
    <row r="417" spans="1:25">
      <c r="A417" s="6">
        <f t="shared" si="31"/>
        <v>448</v>
      </c>
      <c r="B417" s="6" t="s">
        <v>1240</v>
      </c>
      <c r="C417" s="6">
        <v>3</v>
      </c>
      <c r="D417" s="6">
        <v>5</v>
      </c>
      <c r="L417" s="6" t="str">
        <f t="shared" si="35"/>
        <v>SELECT 448, N'jamajski', 3, 5 UNION ALL</v>
      </c>
      <c r="M417" s="6" t="s">
        <v>556</v>
      </c>
      <c r="Q417" s="6">
        <f t="shared" ca="1" si="32"/>
        <v>5</v>
      </c>
      <c r="R417" s="6">
        <f t="shared" ca="1" si="33"/>
        <v>0</v>
      </c>
      <c r="U417" s="6" t="str">
        <f ca="1">IF(Q417&gt;0,"SELECT "&amp;COUNTIF($Q$1:$T416,"&gt;0")+1&amp;", "&amp;$A417&amp;", "&amp;Q417&amp;" UNION ALL","")</f>
        <v>SELECT 375, 448, 5 UNION ALL</v>
      </c>
      <c r="V417" s="6" t="str">
        <f ca="1">IF(R417&gt;0,"SELECT "&amp;COUNTIF($Q$1:$T416,"&gt;0")+COUNTIF($Q417:Q417,"&gt;0")+1&amp;", "&amp;$A417&amp;", "&amp;R417&amp;" UNION ALL","")</f>
        <v/>
      </c>
      <c r="W417" s="6" t="str">
        <f>IF(S417&gt;0,"SELECT "&amp;COUNTIF($Q$1:$T416,"&gt;0")+COUNTIF($Q417:R417,"&gt;0")+1&amp;", "&amp;$A417&amp;", "&amp;S417&amp;" UNION ALL","")</f>
        <v/>
      </c>
      <c r="X417" s="6" t="str">
        <f>IF(T417&gt;0,"SELECT "&amp;COUNTIF($Q$1:$T416,"&gt;0")+COUNTIF($Q417:S417,"&gt;0")+1&amp;", "&amp;$A417&amp;", "&amp;T417&amp;" UNION ALL","")</f>
        <v/>
      </c>
      <c r="Y417" s="5" t="str">
        <f t="shared" ca="1" si="34"/>
        <v>SELECT 375, 448, 5 UNION ALL</v>
      </c>
    </row>
    <row r="418" spans="1:25">
      <c r="A418" s="6">
        <f t="shared" si="31"/>
        <v>449</v>
      </c>
      <c r="B418" s="6" t="s">
        <v>1241</v>
      </c>
      <c r="C418" s="6">
        <v>3</v>
      </c>
      <c r="D418" s="6">
        <v>5</v>
      </c>
      <c r="L418" s="6" t="str">
        <f t="shared" si="35"/>
        <v>SELECT 449, N'grenlandzki', 3, 5 UNION ALL</v>
      </c>
      <c r="M418" s="6" t="s">
        <v>556</v>
      </c>
      <c r="Q418" s="6">
        <f t="shared" ca="1" si="32"/>
        <v>5</v>
      </c>
      <c r="R418" s="6">
        <f t="shared" ca="1" si="33"/>
        <v>0</v>
      </c>
      <c r="U418" s="6" t="str">
        <f ca="1">IF(Q418&gt;0,"SELECT "&amp;COUNTIF($Q$1:$T417,"&gt;0")+1&amp;", "&amp;$A418&amp;", "&amp;Q418&amp;" UNION ALL","")</f>
        <v>SELECT 376, 449, 5 UNION ALL</v>
      </c>
      <c r="V418" s="6" t="str">
        <f ca="1">IF(R418&gt;0,"SELECT "&amp;COUNTIF($Q$1:$T417,"&gt;0")+COUNTIF($Q418:Q418,"&gt;0")+1&amp;", "&amp;$A418&amp;", "&amp;R418&amp;" UNION ALL","")</f>
        <v/>
      </c>
      <c r="W418" s="6" t="str">
        <f>IF(S418&gt;0,"SELECT "&amp;COUNTIF($Q$1:$T417,"&gt;0")+COUNTIF($Q418:R418,"&gt;0")+1&amp;", "&amp;$A418&amp;", "&amp;S418&amp;" UNION ALL","")</f>
        <v/>
      </c>
      <c r="X418" s="6" t="str">
        <f>IF(T418&gt;0,"SELECT "&amp;COUNTIF($Q$1:$T417,"&gt;0")+COUNTIF($Q418:S418,"&gt;0")+1&amp;", "&amp;$A418&amp;", "&amp;T418&amp;" UNION ALL","")</f>
        <v/>
      </c>
      <c r="Y418" s="5" t="str">
        <f t="shared" ca="1" si="34"/>
        <v>SELECT 376, 449, 5 UNION ALL</v>
      </c>
    </row>
    <row r="419" spans="1:25">
      <c r="A419" s="6">
        <f t="shared" si="31"/>
        <v>450</v>
      </c>
      <c r="B419" s="6" t="s">
        <v>1242</v>
      </c>
      <c r="C419" s="6">
        <v>3</v>
      </c>
      <c r="D419" s="6">
        <v>5</v>
      </c>
      <c r="L419" s="6" t="str">
        <f t="shared" si="35"/>
        <v>SELECT 450, N'algierski', 3, 5 UNION ALL</v>
      </c>
      <c r="M419" s="6" t="s">
        <v>558</v>
      </c>
      <c r="Q419" s="6">
        <f t="shared" ca="1" si="32"/>
        <v>7</v>
      </c>
      <c r="R419" s="6">
        <f t="shared" ca="1" si="33"/>
        <v>0</v>
      </c>
      <c r="U419" s="6" t="str">
        <f ca="1">IF(Q419&gt;0,"SELECT "&amp;COUNTIF($Q$1:$T418,"&gt;0")+1&amp;", "&amp;$A419&amp;", "&amp;Q419&amp;" UNION ALL","")</f>
        <v>SELECT 377, 450, 7 UNION ALL</v>
      </c>
      <c r="V419" s="6" t="str">
        <f ca="1">IF(R419&gt;0,"SELECT "&amp;COUNTIF($Q$1:$T418,"&gt;0")+COUNTIF($Q419:Q419,"&gt;0")+1&amp;", "&amp;$A419&amp;", "&amp;R419&amp;" UNION ALL","")</f>
        <v/>
      </c>
      <c r="W419" s="6" t="str">
        <f>IF(S419&gt;0,"SELECT "&amp;COUNTIF($Q$1:$T418,"&gt;0")+COUNTIF($Q419:R419,"&gt;0")+1&amp;", "&amp;$A419&amp;", "&amp;S419&amp;" UNION ALL","")</f>
        <v/>
      </c>
      <c r="X419" s="6" t="str">
        <f>IF(T419&gt;0,"SELECT "&amp;COUNTIF($Q$1:$T418,"&gt;0")+COUNTIF($Q419:S419,"&gt;0")+1&amp;", "&amp;$A419&amp;", "&amp;T419&amp;" UNION ALL","")</f>
        <v/>
      </c>
      <c r="Y419" s="5" t="str">
        <f t="shared" ca="1" si="34"/>
        <v>SELECT 377, 450, 7 UNION ALL</v>
      </c>
    </row>
    <row r="420" spans="1:25">
      <c r="A420" s="6">
        <f t="shared" si="31"/>
        <v>451</v>
      </c>
      <c r="B420" s="6" t="s">
        <v>1243</v>
      </c>
      <c r="C420" s="6">
        <v>3</v>
      </c>
      <c r="D420" s="6">
        <v>6</v>
      </c>
      <c r="L420" s="6" t="str">
        <f t="shared" si="35"/>
        <v>SELECT 451, N'marokański', 3, 6 UNION ALL</v>
      </c>
      <c r="M420" s="6" t="s">
        <v>558</v>
      </c>
      <c r="Q420" s="6">
        <f t="shared" ca="1" si="32"/>
        <v>7</v>
      </c>
      <c r="R420" s="6">
        <f t="shared" ca="1" si="33"/>
        <v>0</v>
      </c>
      <c r="U420" s="6" t="str">
        <f ca="1">IF(Q420&gt;0,"SELECT "&amp;COUNTIF($Q$1:$T419,"&gt;0")+1&amp;", "&amp;$A420&amp;", "&amp;Q420&amp;" UNION ALL","")</f>
        <v>SELECT 378, 451, 7 UNION ALL</v>
      </c>
      <c r="V420" s="6" t="str">
        <f ca="1">IF(R420&gt;0,"SELECT "&amp;COUNTIF($Q$1:$T419,"&gt;0")+COUNTIF($Q420:Q420,"&gt;0")+1&amp;", "&amp;$A420&amp;", "&amp;R420&amp;" UNION ALL","")</f>
        <v/>
      </c>
      <c r="W420" s="6" t="str">
        <f>IF(S420&gt;0,"SELECT "&amp;COUNTIF($Q$1:$T419,"&gt;0")+COUNTIF($Q420:R420,"&gt;0")+1&amp;", "&amp;$A420&amp;", "&amp;S420&amp;" UNION ALL","")</f>
        <v/>
      </c>
      <c r="X420" s="6" t="str">
        <f>IF(T420&gt;0,"SELECT "&amp;COUNTIF($Q$1:$T419,"&gt;0")+COUNTIF($Q420:S420,"&gt;0")+1&amp;", "&amp;$A420&amp;", "&amp;T420&amp;" UNION ALL","")</f>
        <v/>
      </c>
      <c r="Y420" s="5" t="str">
        <f t="shared" ca="1" si="34"/>
        <v>SELECT 378, 451, 7 UNION ALL</v>
      </c>
    </row>
    <row r="421" spans="1:25">
      <c r="A421" s="6">
        <f t="shared" si="31"/>
        <v>452</v>
      </c>
      <c r="B421" s="6" t="s">
        <v>1244</v>
      </c>
      <c r="C421" s="6">
        <v>3</v>
      </c>
      <c r="D421" s="6">
        <v>5</v>
      </c>
      <c r="L421" s="6" t="str">
        <f t="shared" si="35"/>
        <v>SELECT 452, N'etiopski', 3, 5 UNION ALL</v>
      </c>
      <c r="M421" s="6" t="s">
        <v>558</v>
      </c>
      <c r="Q421" s="6">
        <f t="shared" ca="1" si="32"/>
        <v>7</v>
      </c>
      <c r="R421" s="6">
        <f t="shared" ca="1" si="33"/>
        <v>0</v>
      </c>
      <c r="U421" s="6" t="str">
        <f ca="1">IF(Q421&gt;0,"SELECT "&amp;COUNTIF($Q$1:$T420,"&gt;0")+1&amp;", "&amp;$A421&amp;", "&amp;Q421&amp;" UNION ALL","")</f>
        <v>SELECT 379, 452, 7 UNION ALL</v>
      </c>
      <c r="V421" s="6" t="str">
        <f ca="1">IF(R421&gt;0,"SELECT "&amp;COUNTIF($Q$1:$T420,"&gt;0")+COUNTIF($Q421:Q421,"&gt;0")+1&amp;", "&amp;$A421&amp;", "&amp;R421&amp;" UNION ALL","")</f>
        <v/>
      </c>
      <c r="W421" s="6" t="str">
        <f>IF(S421&gt;0,"SELECT "&amp;COUNTIF($Q$1:$T420,"&gt;0")+COUNTIF($Q421:R421,"&gt;0")+1&amp;", "&amp;$A421&amp;", "&amp;S421&amp;" UNION ALL","")</f>
        <v/>
      </c>
      <c r="X421" s="6" t="str">
        <f>IF(T421&gt;0,"SELECT "&amp;COUNTIF($Q$1:$T420,"&gt;0")+COUNTIF($Q421:S421,"&gt;0")+1&amp;", "&amp;$A421&amp;", "&amp;T421&amp;" UNION ALL","")</f>
        <v/>
      </c>
      <c r="Y421" s="5" t="str">
        <f t="shared" ca="1" si="34"/>
        <v>SELECT 379, 452, 7 UNION ALL</v>
      </c>
    </row>
    <row r="422" spans="1:25">
      <c r="A422" s="6">
        <f t="shared" si="31"/>
        <v>453</v>
      </c>
      <c r="B422" s="6" t="s">
        <v>1245</v>
      </c>
      <c r="C422" s="6">
        <v>3</v>
      </c>
      <c r="D422" s="6">
        <v>5</v>
      </c>
      <c r="L422" s="6" t="str">
        <f t="shared" si="35"/>
        <v>SELECT 453, N'kenijski', 3, 5 UNION ALL</v>
      </c>
      <c r="M422" s="6" t="s">
        <v>558</v>
      </c>
      <c r="Q422" s="6">
        <f t="shared" ca="1" si="32"/>
        <v>7</v>
      </c>
      <c r="R422" s="6">
        <f t="shared" ca="1" si="33"/>
        <v>0</v>
      </c>
      <c r="U422" s="6" t="str">
        <f ca="1">IF(Q422&gt;0,"SELECT "&amp;COUNTIF($Q$1:$T421,"&gt;0")+1&amp;", "&amp;$A422&amp;", "&amp;Q422&amp;" UNION ALL","")</f>
        <v>SELECT 380, 453, 7 UNION ALL</v>
      </c>
      <c r="V422" s="6" t="str">
        <f ca="1">IF(R422&gt;0,"SELECT "&amp;COUNTIF($Q$1:$T421,"&gt;0")+COUNTIF($Q422:Q422,"&gt;0")+1&amp;", "&amp;$A422&amp;", "&amp;R422&amp;" UNION ALL","")</f>
        <v/>
      </c>
      <c r="W422" s="6" t="str">
        <f>IF(S422&gt;0,"SELECT "&amp;COUNTIF($Q$1:$T421,"&gt;0")+COUNTIF($Q422:R422,"&gt;0")+1&amp;", "&amp;$A422&amp;", "&amp;S422&amp;" UNION ALL","")</f>
        <v/>
      </c>
      <c r="X422" s="6" t="str">
        <f>IF(T422&gt;0,"SELECT "&amp;COUNTIF($Q$1:$T421,"&gt;0")+COUNTIF($Q422:S422,"&gt;0")+1&amp;", "&amp;$A422&amp;", "&amp;T422&amp;" UNION ALL","")</f>
        <v/>
      </c>
      <c r="Y422" s="5" t="str">
        <f t="shared" ca="1" si="34"/>
        <v>SELECT 380, 453, 7 UNION ALL</v>
      </c>
    </row>
    <row r="423" spans="1:25">
      <c r="A423" s="6">
        <f t="shared" si="31"/>
        <v>454</v>
      </c>
      <c r="B423" s="6" t="s">
        <v>1246</v>
      </c>
      <c r="C423" s="6">
        <v>3</v>
      </c>
      <c r="D423" s="6">
        <v>4</v>
      </c>
      <c r="L423" s="6" t="str">
        <f t="shared" si="35"/>
        <v>SELECT 454, N'malgaski', 3, 4 UNION ALL</v>
      </c>
      <c r="M423" s="6" t="s">
        <v>558</v>
      </c>
      <c r="Q423" s="6">
        <f t="shared" ca="1" si="32"/>
        <v>7</v>
      </c>
      <c r="R423" s="6">
        <f t="shared" ca="1" si="33"/>
        <v>0</v>
      </c>
      <c r="U423" s="6" t="str">
        <f ca="1">IF(Q423&gt;0,"SELECT "&amp;COUNTIF($Q$1:$T422,"&gt;0")+1&amp;", "&amp;$A423&amp;", "&amp;Q423&amp;" UNION ALL","")</f>
        <v>SELECT 381, 454, 7 UNION ALL</v>
      </c>
      <c r="V423" s="6" t="str">
        <f ca="1">IF(R423&gt;0,"SELECT "&amp;COUNTIF($Q$1:$T422,"&gt;0")+COUNTIF($Q423:Q423,"&gt;0")+1&amp;", "&amp;$A423&amp;", "&amp;R423&amp;" UNION ALL","")</f>
        <v/>
      </c>
      <c r="W423" s="6" t="str">
        <f>IF(S423&gt;0,"SELECT "&amp;COUNTIF($Q$1:$T422,"&gt;0")+COUNTIF($Q423:R423,"&gt;0")+1&amp;", "&amp;$A423&amp;", "&amp;S423&amp;" UNION ALL","")</f>
        <v/>
      </c>
      <c r="X423" s="6" t="str">
        <f>IF(T423&gt;0,"SELECT "&amp;COUNTIF($Q$1:$T422,"&gt;0")+COUNTIF($Q423:S423,"&gt;0")+1&amp;", "&amp;$A423&amp;", "&amp;T423&amp;" UNION ALL","")</f>
        <v/>
      </c>
      <c r="Y423" s="5" t="str">
        <f t="shared" ca="1" si="34"/>
        <v>SELECT 381, 454, 7 UNION ALL</v>
      </c>
    </row>
    <row r="424" spans="1:25">
      <c r="A424" s="6">
        <f t="shared" si="31"/>
        <v>455</v>
      </c>
      <c r="B424" s="6" t="s">
        <v>1247</v>
      </c>
      <c r="C424" s="6">
        <v>3</v>
      </c>
      <c r="D424" s="6">
        <v>4</v>
      </c>
      <c r="L424" s="6" t="str">
        <f t="shared" si="35"/>
        <v>SELECT 455, N'somalijski', 3, 4 UNION ALL</v>
      </c>
      <c r="M424" s="6" t="s">
        <v>558</v>
      </c>
      <c r="Q424" s="6">
        <f t="shared" ca="1" si="32"/>
        <v>7</v>
      </c>
      <c r="R424" s="6">
        <f t="shared" ca="1" si="33"/>
        <v>0</v>
      </c>
      <c r="U424" s="6" t="str">
        <f ca="1">IF(Q424&gt;0,"SELECT "&amp;COUNTIF($Q$1:$T423,"&gt;0")+1&amp;", "&amp;$A424&amp;", "&amp;Q424&amp;" UNION ALL","")</f>
        <v>SELECT 382, 455, 7 UNION ALL</v>
      </c>
      <c r="V424" s="6" t="str">
        <f ca="1">IF(R424&gt;0,"SELECT "&amp;COUNTIF($Q$1:$T423,"&gt;0")+COUNTIF($Q424:Q424,"&gt;0")+1&amp;", "&amp;$A424&amp;", "&amp;R424&amp;" UNION ALL","")</f>
        <v/>
      </c>
      <c r="W424" s="6" t="str">
        <f>IF(S424&gt;0,"SELECT "&amp;COUNTIF($Q$1:$T423,"&gt;0")+COUNTIF($Q424:R424,"&gt;0")+1&amp;", "&amp;$A424&amp;", "&amp;S424&amp;" UNION ALL","")</f>
        <v/>
      </c>
      <c r="X424" s="6" t="str">
        <f>IF(T424&gt;0,"SELECT "&amp;COUNTIF($Q$1:$T423,"&gt;0")+COUNTIF($Q424:S424,"&gt;0")+1&amp;", "&amp;$A424&amp;", "&amp;T424&amp;" UNION ALL","")</f>
        <v/>
      </c>
      <c r="Y424" s="5" t="str">
        <f t="shared" ca="1" si="34"/>
        <v>SELECT 382, 455, 7 UNION ALL</v>
      </c>
    </row>
    <row r="425" spans="1:25">
      <c r="A425" s="6">
        <f t="shared" ref="A425:A488" si="36">A424+1</f>
        <v>456</v>
      </c>
      <c r="B425" s="6" t="s">
        <v>1248</v>
      </c>
      <c r="C425" s="6">
        <v>3</v>
      </c>
      <c r="D425" s="6">
        <v>3</v>
      </c>
      <c r="L425" s="6" t="str">
        <f t="shared" si="35"/>
        <v>SELECT 456, N'angolski', 3, 3 UNION ALL</v>
      </c>
      <c r="M425" s="6" t="s">
        <v>558</v>
      </c>
      <c r="Q425" s="6">
        <f t="shared" ca="1" si="32"/>
        <v>7</v>
      </c>
      <c r="R425" s="6">
        <f t="shared" ca="1" si="33"/>
        <v>0</v>
      </c>
      <c r="U425" s="6" t="str">
        <f ca="1">IF(Q425&gt;0,"SELECT "&amp;COUNTIF($Q$1:$T424,"&gt;0")+1&amp;", "&amp;$A425&amp;", "&amp;Q425&amp;" UNION ALL","")</f>
        <v>SELECT 383, 456, 7 UNION ALL</v>
      </c>
      <c r="V425" s="6" t="str">
        <f ca="1">IF(R425&gt;0,"SELECT "&amp;COUNTIF($Q$1:$T424,"&gt;0")+COUNTIF($Q425:Q425,"&gt;0")+1&amp;", "&amp;$A425&amp;", "&amp;R425&amp;" UNION ALL","")</f>
        <v/>
      </c>
      <c r="W425" s="6" t="str">
        <f>IF(S425&gt;0,"SELECT "&amp;COUNTIF($Q$1:$T424,"&gt;0")+COUNTIF($Q425:R425,"&gt;0")+1&amp;", "&amp;$A425&amp;", "&amp;S425&amp;" UNION ALL","")</f>
        <v/>
      </c>
      <c r="X425" s="6" t="str">
        <f>IF(T425&gt;0,"SELECT "&amp;COUNTIF($Q$1:$T424,"&gt;0")+COUNTIF($Q425:S425,"&gt;0")+1&amp;", "&amp;$A425&amp;", "&amp;T425&amp;" UNION ALL","")</f>
        <v/>
      </c>
      <c r="Y425" s="5" t="str">
        <f t="shared" ca="1" si="34"/>
        <v>SELECT 383, 456, 7 UNION ALL</v>
      </c>
    </row>
    <row r="426" spans="1:25">
      <c r="A426" s="6">
        <f t="shared" si="36"/>
        <v>457</v>
      </c>
      <c r="B426" s="6" t="s">
        <v>1249</v>
      </c>
      <c r="C426" s="6">
        <v>3</v>
      </c>
      <c r="D426" s="6">
        <v>3</v>
      </c>
      <c r="L426" s="6" t="str">
        <f t="shared" si="35"/>
        <v>SELECT 457, N'kameruński', 3, 3 UNION ALL</v>
      </c>
      <c r="M426" s="6" t="s">
        <v>558</v>
      </c>
      <c r="Q426" s="6">
        <f t="shared" ca="1" si="32"/>
        <v>7</v>
      </c>
      <c r="R426" s="6">
        <f t="shared" ca="1" si="33"/>
        <v>0</v>
      </c>
      <c r="U426" s="6" t="str">
        <f ca="1">IF(Q426&gt;0,"SELECT "&amp;COUNTIF($Q$1:$T425,"&gt;0")+1&amp;", "&amp;$A426&amp;", "&amp;Q426&amp;" UNION ALL","")</f>
        <v>SELECT 384, 457, 7 UNION ALL</v>
      </c>
      <c r="V426" s="6" t="str">
        <f ca="1">IF(R426&gt;0,"SELECT "&amp;COUNTIF($Q$1:$T425,"&gt;0")+COUNTIF($Q426:Q426,"&gt;0")+1&amp;", "&amp;$A426&amp;", "&amp;R426&amp;" UNION ALL","")</f>
        <v/>
      </c>
      <c r="W426" s="6" t="str">
        <f>IF(S426&gt;0,"SELECT "&amp;COUNTIF($Q$1:$T425,"&gt;0")+COUNTIF($Q426:R426,"&gt;0")+1&amp;", "&amp;$A426&amp;", "&amp;S426&amp;" UNION ALL","")</f>
        <v/>
      </c>
      <c r="X426" s="6" t="str">
        <f>IF(T426&gt;0,"SELECT "&amp;COUNTIF($Q$1:$T425,"&gt;0")+COUNTIF($Q426:S426,"&gt;0")+1&amp;", "&amp;$A426&amp;", "&amp;T426&amp;" UNION ALL","")</f>
        <v/>
      </c>
      <c r="Y426" s="5" t="str">
        <f t="shared" ca="1" si="34"/>
        <v>SELECT 384, 457, 7 UNION ALL</v>
      </c>
    </row>
    <row r="427" spans="1:25">
      <c r="A427" s="6">
        <f t="shared" si="36"/>
        <v>458</v>
      </c>
      <c r="B427" s="6" t="s">
        <v>1250</v>
      </c>
      <c r="C427" s="6">
        <v>3</v>
      </c>
      <c r="D427" s="6">
        <v>2</v>
      </c>
      <c r="L427" s="6" t="str">
        <f t="shared" si="35"/>
        <v>SELECT 458, N'gaboński', 3, 2 UNION ALL</v>
      </c>
      <c r="M427" s="6" t="s">
        <v>558</v>
      </c>
      <c r="Q427" s="6">
        <f t="shared" ca="1" si="32"/>
        <v>7</v>
      </c>
      <c r="R427" s="6">
        <f t="shared" ca="1" si="33"/>
        <v>0</v>
      </c>
      <c r="U427" s="6" t="str">
        <f ca="1">IF(Q427&gt;0,"SELECT "&amp;COUNTIF($Q$1:$T426,"&gt;0")+1&amp;", "&amp;$A427&amp;", "&amp;Q427&amp;" UNION ALL","")</f>
        <v>SELECT 385, 458, 7 UNION ALL</v>
      </c>
      <c r="V427" s="6" t="str">
        <f ca="1">IF(R427&gt;0,"SELECT "&amp;COUNTIF($Q$1:$T426,"&gt;0")+COUNTIF($Q427:Q427,"&gt;0")+1&amp;", "&amp;$A427&amp;", "&amp;R427&amp;" UNION ALL","")</f>
        <v/>
      </c>
      <c r="W427" s="6" t="str">
        <f>IF(S427&gt;0,"SELECT "&amp;COUNTIF($Q$1:$T426,"&gt;0")+COUNTIF($Q427:R427,"&gt;0")+1&amp;", "&amp;$A427&amp;", "&amp;S427&amp;" UNION ALL","")</f>
        <v/>
      </c>
      <c r="X427" s="6" t="str">
        <f>IF(T427&gt;0,"SELECT "&amp;COUNTIF($Q$1:$T426,"&gt;0")+COUNTIF($Q427:S427,"&gt;0")+1&amp;", "&amp;$A427&amp;", "&amp;T427&amp;" UNION ALL","")</f>
        <v/>
      </c>
      <c r="Y427" s="5" t="str">
        <f t="shared" ca="1" si="34"/>
        <v>SELECT 385, 458, 7 UNION ALL</v>
      </c>
    </row>
    <row r="428" spans="1:25">
      <c r="A428" s="6">
        <f t="shared" si="36"/>
        <v>459</v>
      </c>
      <c r="B428" s="6" t="s">
        <v>1251</v>
      </c>
      <c r="C428" s="6">
        <v>3</v>
      </c>
      <c r="D428" s="6">
        <v>6</v>
      </c>
      <c r="L428" s="6" t="str">
        <f t="shared" si="35"/>
        <v>SELECT 459, N'egipski', 3, 6 UNION ALL</v>
      </c>
      <c r="M428" s="6" t="s">
        <v>558</v>
      </c>
      <c r="Q428" s="6">
        <f t="shared" ca="1" si="32"/>
        <v>7</v>
      </c>
      <c r="R428" s="6">
        <f t="shared" ca="1" si="33"/>
        <v>0</v>
      </c>
      <c r="U428" s="6" t="str">
        <f ca="1">IF(Q428&gt;0,"SELECT "&amp;COUNTIF($Q$1:$T427,"&gt;0")+1&amp;", "&amp;$A428&amp;", "&amp;Q428&amp;" UNION ALL","")</f>
        <v>SELECT 386, 459, 7 UNION ALL</v>
      </c>
      <c r="V428" s="6" t="str">
        <f ca="1">IF(R428&gt;0,"SELECT "&amp;COUNTIF($Q$1:$T427,"&gt;0")+COUNTIF($Q428:Q428,"&gt;0")+1&amp;", "&amp;$A428&amp;", "&amp;R428&amp;" UNION ALL","")</f>
        <v/>
      </c>
      <c r="W428" s="6" t="str">
        <f>IF(S428&gt;0,"SELECT "&amp;COUNTIF($Q$1:$T427,"&gt;0")+COUNTIF($Q428:R428,"&gt;0")+1&amp;", "&amp;$A428&amp;", "&amp;S428&amp;" UNION ALL","")</f>
        <v/>
      </c>
      <c r="X428" s="6" t="str">
        <f>IF(T428&gt;0,"SELECT "&amp;COUNTIF($Q$1:$T427,"&gt;0")+COUNTIF($Q428:S428,"&gt;0")+1&amp;", "&amp;$A428&amp;", "&amp;T428&amp;" UNION ALL","")</f>
        <v/>
      </c>
      <c r="Y428" s="5" t="str">
        <f t="shared" ca="1" si="34"/>
        <v>SELECT 386, 459, 7 UNION ALL</v>
      </c>
    </row>
    <row r="429" spans="1:25">
      <c r="A429" s="6">
        <f t="shared" si="36"/>
        <v>460</v>
      </c>
      <c r="B429" s="6" t="s">
        <v>1252</v>
      </c>
      <c r="C429" s="6">
        <v>3</v>
      </c>
      <c r="D429" s="6">
        <v>5</v>
      </c>
      <c r="L429" s="6" t="str">
        <f t="shared" si="35"/>
        <v>SELECT 460, N'libijski', 3, 5 UNION ALL</v>
      </c>
      <c r="M429" s="6" t="s">
        <v>558</v>
      </c>
      <c r="Q429" s="6">
        <f t="shared" ca="1" si="32"/>
        <v>7</v>
      </c>
      <c r="R429" s="6">
        <f t="shared" ca="1" si="33"/>
        <v>0</v>
      </c>
      <c r="U429" s="6" t="str">
        <f ca="1">IF(Q429&gt;0,"SELECT "&amp;COUNTIF($Q$1:$T428,"&gt;0")+1&amp;", "&amp;$A429&amp;", "&amp;Q429&amp;" UNION ALL","")</f>
        <v>SELECT 387, 460, 7 UNION ALL</v>
      </c>
      <c r="V429" s="6" t="str">
        <f ca="1">IF(R429&gt;0,"SELECT "&amp;COUNTIF($Q$1:$T428,"&gt;0")+COUNTIF($Q429:Q429,"&gt;0")+1&amp;", "&amp;$A429&amp;", "&amp;R429&amp;" UNION ALL","")</f>
        <v/>
      </c>
      <c r="W429" s="6" t="str">
        <f>IF(S429&gt;0,"SELECT "&amp;COUNTIF($Q$1:$T428,"&gt;0")+COUNTIF($Q429:R429,"&gt;0")+1&amp;", "&amp;$A429&amp;", "&amp;S429&amp;" UNION ALL","")</f>
        <v/>
      </c>
      <c r="X429" s="6" t="str">
        <f>IF(T429&gt;0,"SELECT "&amp;COUNTIF($Q$1:$T428,"&gt;0")+COUNTIF($Q429:S429,"&gt;0")+1&amp;", "&amp;$A429&amp;", "&amp;T429&amp;" UNION ALL","")</f>
        <v/>
      </c>
      <c r="Y429" s="5" t="str">
        <f t="shared" ca="1" si="34"/>
        <v>SELECT 387, 460, 7 UNION ALL</v>
      </c>
    </row>
    <row r="430" spans="1:25">
      <c r="A430" s="6">
        <f t="shared" si="36"/>
        <v>461</v>
      </c>
      <c r="B430" s="6" t="s">
        <v>1253</v>
      </c>
      <c r="C430" s="6">
        <v>3</v>
      </c>
      <c r="D430" s="6">
        <v>3</v>
      </c>
      <c r="L430" s="6" t="str">
        <f t="shared" si="35"/>
        <v>SELECT 461, N'sudański', 3, 3 UNION ALL</v>
      </c>
      <c r="M430" s="6" t="s">
        <v>558</v>
      </c>
      <c r="Q430" s="6">
        <f t="shared" ca="1" si="32"/>
        <v>7</v>
      </c>
      <c r="R430" s="6">
        <f t="shared" ca="1" si="33"/>
        <v>0</v>
      </c>
      <c r="U430" s="6" t="str">
        <f ca="1">IF(Q430&gt;0,"SELECT "&amp;COUNTIF($Q$1:$T429,"&gt;0")+1&amp;", "&amp;$A430&amp;", "&amp;Q430&amp;" UNION ALL","")</f>
        <v>SELECT 388, 461, 7 UNION ALL</v>
      </c>
      <c r="V430" s="6" t="str">
        <f ca="1">IF(R430&gt;0,"SELECT "&amp;COUNTIF($Q$1:$T429,"&gt;0")+COUNTIF($Q430:Q430,"&gt;0")+1&amp;", "&amp;$A430&amp;", "&amp;R430&amp;" UNION ALL","")</f>
        <v/>
      </c>
      <c r="W430" s="6" t="str">
        <f>IF(S430&gt;0,"SELECT "&amp;COUNTIF($Q$1:$T429,"&gt;0")+COUNTIF($Q430:R430,"&gt;0")+1&amp;", "&amp;$A430&amp;", "&amp;S430&amp;" UNION ALL","")</f>
        <v/>
      </c>
      <c r="X430" s="6" t="str">
        <f>IF(T430&gt;0,"SELECT "&amp;COUNTIF($Q$1:$T429,"&gt;0")+COUNTIF($Q430:S430,"&gt;0")+1&amp;", "&amp;$A430&amp;", "&amp;T430&amp;" UNION ALL","")</f>
        <v/>
      </c>
      <c r="Y430" s="5" t="str">
        <f t="shared" ca="1" si="34"/>
        <v>SELECT 388, 461, 7 UNION ALL</v>
      </c>
    </row>
    <row r="431" spans="1:25">
      <c r="A431" s="6">
        <f t="shared" si="36"/>
        <v>462</v>
      </c>
      <c r="B431" s="6" t="s">
        <v>1254</v>
      </c>
      <c r="C431" s="6">
        <v>3</v>
      </c>
      <c r="D431" s="6">
        <v>5</v>
      </c>
      <c r="L431" s="6" t="str">
        <f t="shared" si="35"/>
        <v>SELECT 462, N'tunezyjski', 3, 5 UNION ALL</v>
      </c>
      <c r="M431" s="6" t="s">
        <v>558</v>
      </c>
      <c r="Q431" s="6">
        <f t="shared" ca="1" si="32"/>
        <v>7</v>
      </c>
      <c r="R431" s="6">
        <f t="shared" ca="1" si="33"/>
        <v>0</v>
      </c>
      <c r="U431" s="6" t="str">
        <f ca="1">IF(Q431&gt;0,"SELECT "&amp;COUNTIF($Q$1:$T430,"&gt;0")+1&amp;", "&amp;$A431&amp;", "&amp;Q431&amp;" UNION ALL","")</f>
        <v>SELECT 389, 462, 7 UNION ALL</v>
      </c>
      <c r="V431" s="6" t="str">
        <f ca="1">IF(R431&gt;0,"SELECT "&amp;COUNTIF($Q$1:$T430,"&gt;0")+COUNTIF($Q431:Q431,"&gt;0")+1&amp;", "&amp;$A431&amp;", "&amp;R431&amp;" UNION ALL","")</f>
        <v/>
      </c>
      <c r="W431" s="6" t="str">
        <f>IF(S431&gt;0,"SELECT "&amp;COUNTIF($Q$1:$T430,"&gt;0")+COUNTIF($Q431:R431,"&gt;0")+1&amp;", "&amp;$A431&amp;", "&amp;S431&amp;" UNION ALL","")</f>
        <v/>
      </c>
      <c r="X431" s="6" t="str">
        <f>IF(T431&gt;0,"SELECT "&amp;COUNTIF($Q$1:$T430,"&gt;0")+COUNTIF($Q431:S431,"&gt;0")+1&amp;", "&amp;$A431&amp;", "&amp;T431&amp;" UNION ALL","")</f>
        <v/>
      </c>
      <c r="Y431" s="5" t="str">
        <f t="shared" ca="1" si="34"/>
        <v>SELECT 389, 462, 7 UNION ALL</v>
      </c>
    </row>
    <row r="432" spans="1:25">
      <c r="A432" s="6">
        <f t="shared" si="36"/>
        <v>463</v>
      </c>
      <c r="B432" s="6" t="s">
        <v>1255</v>
      </c>
      <c r="C432" s="6">
        <v>3</v>
      </c>
      <c r="D432" s="6">
        <v>6</v>
      </c>
      <c r="L432" s="6" t="str">
        <f t="shared" si="35"/>
        <v>SELECT 463, N'południowoafrykański', 3, 6 UNION ALL</v>
      </c>
      <c r="M432" s="6" t="s">
        <v>558</v>
      </c>
      <c r="Q432" s="6">
        <f t="shared" ca="1" si="32"/>
        <v>7</v>
      </c>
      <c r="R432" s="6">
        <f t="shared" ca="1" si="33"/>
        <v>0</v>
      </c>
      <c r="U432" s="6" t="str">
        <f ca="1">IF(Q432&gt;0,"SELECT "&amp;COUNTIF($Q$1:$T431,"&gt;0")+1&amp;", "&amp;$A432&amp;", "&amp;Q432&amp;" UNION ALL","")</f>
        <v>SELECT 390, 463, 7 UNION ALL</v>
      </c>
      <c r="V432" s="6" t="str">
        <f ca="1">IF(R432&gt;0,"SELECT "&amp;COUNTIF($Q$1:$T431,"&gt;0")+COUNTIF($Q432:Q432,"&gt;0")+1&amp;", "&amp;$A432&amp;", "&amp;R432&amp;" UNION ALL","")</f>
        <v/>
      </c>
      <c r="W432" s="6" t="str">
        <f>IF(S432&gt;0,"SELECT "&amp;COUNTIF($Q$1:$T431,"&gt;0")+COUNTIF($Q432:R432,"&gt;0")+1&amp;", "&amp;$A432&amp;", "&amp;S432&amp;" UNION ALL","")</f>
        <v/>
      </c>
      <c r="X432" s="6" t="str">
        <f>IF(T432&gt;0,"SELECT "&amp;COUNTIF($Q$1:$T431,"&gt;0")+COUNTIF($Q432:S432,"&gt;0")+1&amp;", "&amp;$A432&amp;", "&amp;T432&amp;" UNION ALL","")</f>
        <v/>
      </c>
      <c r="Y432" s="5" t="str">
        <f t="shared" ca="1" si="34"/>
        <v>SELECT 390, 463, 7 UNION ALL</v>
      </c>
    </row>
    <row r="433" spans="1:25">
      <c r="A433" s="6">
        <f t="shared" si="36"/>
        <v>464</v>
      </c>
      <c r="B433" s="6" t="s">
        <v>1256</v>
      </c>
      <c r="C433" s="6">
        <v>3</v>
      </c>
      <c r="D433" s="6">
        <v>4</v>
      </c>
      <c r="L433" s="6" t="str">
        <f t="shared" si="35"/>
        <v>SELECT 464, N'senegalski', 3, 4 UNION ALL</v>
      </c>
      <c r="M433" s="6" t="s">
        <v>558</v>
      </c>
      <c r="Q433" s="6">
        <f t="shared" ca="1" si="32"/>
        <v>7</v>
      </c>
      <c r="R433" s="6">
        <f t="shared" ca="1" si="33"/>
        <v>0</v>
      </c>
      <c r="U433" s="6" t="str">
        <f ca="1">IF(Q433&gt;0,"SELECT "&amp;COUNTIF($Q$1:$T432,"&gt;0")+1&amp;", "&amp;$A433&amp;", "&amp;Q433&amp;" UNION ALL","")</f>
        <v>SELECT 391, 464, 7 UNION ALL</v>
      </c>
      <c r="V433" s="6" t="str">
        <f ca="1">IF(R433&gt;0,"SELECT "&amp;COUNTIF($Q$1:$T432,"&gt;0")+COUNTIF($Q433:Q433,"&gt;0")+1&amp;", "&amp;$A433&amp;", "&amp;R433&amp;" UNION ALL","")</f>
        <v/>
      </c>
      <c r="W433" s="6" t="str">
        <f>IF(S433&gt;0,"SELECT "&amp;COUNTIF($Q$1:$T432,"&gt;0")+COUNTIF($Q433:R433,"&gt;0")+1&amp;", "&amp;$A433&amp;", "&amp;S433&amp;" UNION ALL","")</f>
        <v/>
      </c>
      <c r="X433" s="6" t="str">
        <f>IF(T433&gt;0,"SELECT "&amp;COUNTIF($Q$1:$T432,"&gt;0")+COUNTIF($Q433:S433,"&gt;0")+1&amp;", "&amp;$A433&amp;", "&amp;T433&amp;" UNION ALL","")</f>
        <v/>
      </c>
      <c r="Y433" s="5" t="str">
        <f t="shared" ca="1" si="34"/>
        <v>SELECT 391, 464, 7 UNION ALL</v>
      </c>
    </row>
    <row r="434" spans="1:25">
      <c r="A434" s="6">
        <f t="shared" si="36"/>
        <v>465</v>
      </c>
      <c r="B434" s="6" t="s">
        <v>1257</v>
      </c>
      <c r="C434" s="6">
        <v>3</v>
      </c>
      <c r="D434" s="6">
        <v>6</v>
      </c>
      <c r="L434" s="6" t="str">
        <f t="shared" si="35"/>
        <v>SELECT 465, N'nigeryjski', 3, 6 UNION ALL</v>
      </c>
      <c r="M434" s="6" t="s">
        <v>558</v>
      </c>
      <c r="Q434" s="6">
        <f t="shared" ca="1" si="32"/>
        <v>7</v>
      </c>
      <c r="R434" s="6">
        <f t="shared" ca="1" si="33"/>
        <v>0</v>
      </c>
      <c r="U434" s="6" t="str">
        <f ca="1">IF(Q434&gt;0,"SELECT "&amp;COUNTIF($Q$1:$T433,"&gt;0")+1&amp;", "&amp;$A434&amp;", "&amp;Q434&amp;" UNION ALL","")</f>
        <v>SELECT 392, 465, 7 UNION ALL</v>
      </c>
      <c r="V434" s="6" t="str">
        <f ca="1">IF(R434&gt;0,"SELECT "&amp;COUNTIF($Q$1:$T433,"&gt;0")+COUNTIF($Q434:Q434,"&gt;0")+1&amp;", "&amp;$A434&amp;", "&amp;R434&amp;" UNION ALL","")</f>
        <v/>
      </c>
      <c r="W434" s="6" t="str">
        <f>IF(S434&gt;0,"SELECT "&amp;COUNTIF($Q$1:$T433,"&gt;0")+COUNTIF($Q434:R434,"&gt;0")+1&amp;", "&amp;$A434&amp;", "&amp;S434&amp;" UNION ALL","")</f>
        <v/>
      </c>
      <c r="X434" s="6" t="str">
        <f>IF(T434&gt;0,"SELECT "&amp;COUNTIF($Q$1:$T433,"&gt;0")+COUNTIF($Q434:S434,"&gt;0")+1&amp;", "&amp;$A434&amp;", "&amp;T434&amp;" UNION ALL","")</f>
        <v/>
      </c>
      <c r="Y434" s="5" t="str">
        <f t="shared" ca="1" si="34"/>
        <v>SELECT 392, 465, 7 UNION ALL</v>
      </c>
    </row>
    <row r="435" spans="1:25">
      <c r="A435" s="6">
        <f t="shared" si="36"/>
        <v>466</v>
      </c>
      <c r="B435" s="6" t="s">
        <v>1258</v>
      </c>
      <c r="C435" s="6">
        <v>3</v>
      </c>
      <c r="D435" s="6">
        <v>7</v>
      </c>
      <c r="L435" s="6" t="str">
        <f t="shared" si="35"/>
        <v>SELECT 466, N'nowozelandzki', 3, 7 UNION ALL</v>
      </c>
      <c r="M435" t="s">
        <v>560</v>
      </c>
      <c r="Q435" s="6">
        <f t="shared" ca="1" si="32"/>
        <v>9</v>
      </c>
      <c r="R435" s="6">
        <f t="shared" ca="1" si="33"/>
        <v>0</v>
      </c>
      <c r="U435" s="6" t="str">
        <f ca="1">IF(Q435&gt;0,"SELECT "&amp;COUNTIF($Q$1:$T434,"&gt;0")+1&amp;", "&amp;$A435&amp;", "&amp;Q435&amp;" UNION ALL","")</f>
        <v>SELECT 393, 466, 9 UNION ALL</v>
      </c>
      <c r="V435" s="6" t="str">
        <f ca="1">IF(R435&gt;0,"SELECT "&amp;COUNTIF($Q$1:$T434,"&gt;0")+COUNTIF($Q435:Q435,"&gt;0")+1&amp;", "&amp;$A435&amp;", "&amp;R435&amp;" UNION ALL","")</f>
        <v/>
      </c>
      <c r="W435" s="6" t="str">
        <f>IF(S435&gt;0,"SELECT "&amp;COUNTIF($Q$1:$T434,"&gt;0")+COUNTIF($Q435:R435,"&gt;0")+1&amp;", "&amp;$A435&amp;", "&amp;S435&amp;" UNION ALL","")</f>
        <v/>
      </c>
      <c r="X435" s="6" t="str">
        <f>IF(T435&gt;0,"SELECT "&amp;COUNTIF($Q$1:$T434,"&gt;0")+COUNTIF($Q435:S435,"&gt;0")+1&amp;", "&amp;$A435&amp;", "&amp;T435&amp;" UNION ALL","")</f>
        <v/>
      </c>
      <c r="Y435" s="5" t="str">
        <f t="shared" ca="1" si="34"/>
        <v>SELECT 393, 466, 9 UNION ALL</v>
      </c>
    </row>
    <row r="436" spans="1:25">
      <c r="A436" s="6">
        <f t="shared" si="36"/>
        <v>467</v>
      </c>
      <c r="B436" s="6" t="s">
        <v>1259</v>
      </c>
      <c r="C436" s="6">
        <v>2</v>
      </c>
      <c r="D436" s="6">
        <v>10</v>
      </c>
      <c r="L436" s="6" t="str">
        <f t="shared" si="35"/>
        <v>SELECT 467, N'wstawać', 2, 10 UNION ALL</v>
      </c>
      <c r="Q436" s="6">
        <f t="shared" ca="1" si="32"/>
        <v>0</v>
      </c>
      <c r="R436" s="6">
        <f t="shared" ca="1" si="33"/>
        <v>0</v>
      </c>
      <c r="U436" s="6" t="str">
        <f ca="1">IF(Q436&gt;0,"SELECT "&amp;COUNTIF($Q$1:$T435,"&gt;0")+1&amp;", "&amp;$A436&amp;", "&amp;Q436&amp;" UNION ALL","")</f>
        <v/>
      </c>
      <c r="V436" s="6" t="str">
        <f ca="1">IF(R436&gt;0,"SELECT "&amp;COUNTIF($Q$1:$T435,"&gt;0")+COUNTIF($Q436:Q436,"&gt;0")+1&amp;", "&amp;$A436&amp;", "&amp;R436&amp;" UNION ALL","")</f>
        <v/>
      </c>
      <c r="W436" s="6" t="str">
        <f>IF(S436&gt;0,"SELECT "&amp;COUNTIF($Q$1:$T435,"&gt;0")+COUNTIF($Q436:R436,"&gt;0")+1&amp;", "&amp;$A436&amp;", "&amp;S436&amp;" UNION ALL","")</f>
        <v/>
      </c>
      <c r="X436" s="6" t="str">
        <f>IF(T436&gt;0,"SELECT "&amp;COUNTIF($Q$1:$T435,"&gt;0")+COUNTIF($Q436:S436,"&gt;0")+1&amp;", "&amp;$A436&amp;", "&amp;T436&amp;" UNION ALL","")</f>
        <v/>
      </c>
      <c r="Y436" s="5" t="str">
        <f t="shared" ca="1" si="34"/>
        <v/>
      </c>
    </row>
    <row r="437" spans="1:25">
      <c r="A437" s="6">
        <f t="shared" si="36"/>
        <v>468</v>
      </c>
      <c r="B437" s="6" t="s">
        <v>1260</v>
      </c>
      <c r="C437" s="6">
        <v>3</v>
      </c>
      <c r="D437" s="6">
        <v>6</v>
      </c>
      <c r="L437" s="6" t="str">
        <f t="shared" si="35"/>
        <v>SELECT 468, N'irański', 3, 6 UNION ALL</v>
      </c>
      <c r="M437" s="6" t="s">
        <v>559</v>
      </c>
      <c r="Q437" s="6">
        <f t="shared" ca="1" si="32"/>
        <v>8</v>
      </c>
      <c r="R437" s="6">
        <f t="shared" ca="1" si="33"/>
        <v>0</v>
      </c>
      <c r="U437" s="6" t="str">
        <f ca="1">IF(Q437&gt;0,"SELECT "&amp;COUNTIF($Q$1:$T436,"&gt;0")+1&amp;", "&amp;$A437&amp;", "&amp;Q437&amp;" UNION ALL","")</f>
        <v>SELECT 394, 468, 8 UNION ALL</v>
      </c>
      <c r="V437" s="6" t="str">
        <f ca="1">IF(R437&gt;0,"SELECT "&amp;COUNTIF($Q$1:$T436,"&gt;0")+COUNTIF($Q437:Q437,"&gt;0")+1&amp;", "&amp;$A437&amp;", "&amp;R437&amp;" UNION ALL","")</f>
        <v/>
      </c>
      <c r="W437" s="6" t="str">
        <f>IF(S437&gt;0,"SELECT "&amp;COUNTIF($Q$1:$T436,"&gt;0")+COUNTIF($Q437:R437,"&gt;0")+1&amp;", "&amp;$A437&amp;", "&amp;S437&amp;" UNION ALL","")</f>
        <v/>
      </c>
      <c r="X437" s="6" t="str">
        <f>IF(T437&gt;0,"SELECT "&amp;COUNTIF($Q$1:$T436,"&gt;0")+COUNTIF($Q437:S437,"&gt;0")+1&amp;", "&amp;$A437&amp;", "&amp;T437&amp;" UNION ALL","")</f>
        <v/>
      </c>
      <c r="Y437" s="5" t="str">
        <f t="shared" ca="1" si="34"/>
        <v>SELECT 394, 468, 8 UNION ALL</v>
      </c>
    </row>
    <row r="438" spans="1:25">
      <c r="A438" s="6">
        <f t="shared" si="36"/>
        <v>469</v>
      </c>
      <c r="B438" s="6" t="s">
        <v>1261</v>
      </c>
      <c r="C438" s="6">
        <v>3</v>
      </c>
      <c r="D438" s="6">
        <v>6</v>
      </c>
      <c r="L438" s="6" t="str">
        <f t="shared" si="35"/>
        <v>SELECT 469, N'perski', 3, 6 UNION ALL</v>
      </c>
      <c r="M438" s="6" t="s">
        <v>559</v>
      </c>
      <c r="Q438" s="6">
        <f t="shared" ca="1" si="32"/>
        <v>8</v>
      </c>
      <c r="R438" s="6">
        <f t="shared" ca="1" si="33"/>
        <v>0</v>
      </c>
      <c r="U438" s="6" t="str">
        <f ca="1">IF(Q438&gt;0,"SELECT "&amp;COUNTIF($Q$1:$T437,"&gt;0")+1&amp;", "&amp;$A438&amp;", "&amp;Q438&amp;" UNION ALL","")</f>
        <v>SELECT 395, 469, 8 UNION ALL</v>
      </c>
      <c r="V438" s="6" t="str">
        <f ca="1">IF(R438&gt;0,"SELECT "&amp;COUNTIF($Q$1:$T437,"&gt;0")+COUNTIF($Q438:Q438,"&gt;0")+1&amp;", "&amp;$A438&amp;", "&amp;R438&amp;" UNION ALL","")</f>
        <v/>
      </c>
      <c r="W438" s="6" t="str">
        <f>IF(S438&gt;0,"SELECT "&amp;COUNTIF($Q$1:$T437,"&gt;0")+COUNTIF($Q438:R438,"&gt;0")+1&amp;", "&amp;$A438&amp;", "&amp;S438&amp;" UNION ALL","")</f>
        <v/>
      </c>
      <c r="X438" s="6" t="str">
        <f>IF(T438&gt;0,"SELECT "&amp;COUNTIF($Q$1:$T437,"&gt;0")+COUNTIF($Q438:S438,"&gt;0")+1&amp;", "&amp;$A438&amp;", "&amp;T438&amp;" UNION ALL","")</f>
        <v/>
      </c>
      <c r="Y438" s="5" t="str">
        <f t="shared" ca="1" si="34"/>
        <v>SELECT 395, 469, 8 UNION ALL</v>
      </c>
    </row>
    <row r="439" spans="1:25">
      <c r="A439" s="6">
        <f t="shared" si="36"/>
        <v>470</v>
      </c>
      <c r="B439" s="6" t="s">
        <v>1262</v>
      </c>
      <c r="C439" s="6">
        <v>3</v>
      </c>
      <c r="D439" s="6">
        <v>6</v>
      </c>
      <c r="L439" s="6" t="str">
        <f t="shared" si="35"/>
        <v>SELECT 470, N'iracki', 3, 6 UNION ALL</v>
      </c>
      <c r="M439" s="6" t="s">
        <v>559</v>
      </c>
      <c r="Q439" s="6">
        <f t="shared" ca="1" si="32"/>
        <v>8</v>
      </c>
      <c r="R439" s="6">
        <f t="shared" ca="1" si="33"/>
        <v>0</v>
      </c>
      <c r="U439" s="6" t="str">
        <f ca="1">IF(Q439&gt;0,"SELECT "&amp;COUNTIF($Q$1:$T438,"&gt;0")+1&amp;", "&amp;$A439&amp;", "&amp;Q439&amp;" UNION ALL","")</f>
        <v>SELECT 396, 470, 8 UNION ALL</v>
      </c>
      <c r="V439" s="6" t="str">
        <f ca="1">IF(R439&gt;0,"SELECT "&amp;COUNTIF($Q$1:$T438,"&gt;0")+COUNTIF($Q439:Q439,"&gt;0")+1&amp;", "&amp;$A439&amp;", "&amp;R439&amp;" UNION ALL","")</f>
        <v/>
      </c>
      <c r="W439" s="6" t="str">
        <f>IF(S439&gt;0,"SELECT "&amp;COUNTIF($Q$1:$T438,"&gt;0")+COUNTIF($Q439:R439,"&gt;0")+1&amp;", "&amp;$A439&amp;", "&amp;S439&amp;" UNION ALL","")</f>
        <v/>
      </c>
      <c r="X439" s="6" t="str">
        <f>IF(T439&gt;0,"SELECT "&amp;COUNTIF($Q$1:$T438,"&gt;0")+COUNTIF($Q439:S439,"&gt;0")+1&amp;", "&amp;$A439&amp;", "&amp;T439&amp;" UNION ALL","")</f>
        <v/>
      </c>
      <c r="Y439" s="5" t="str">
        <f t="shared" ca="1" si="34"/>
        <v>SELECT 396, 470, 8 UNION ALL</v>
      </c>
    </row>
    <row r="440" spans="1:25">
      <c r="A440" s="6">
        <f t="shared" si="36"/>
        <v>471</v>
      </c>
      <c r="B440" s="6" t="s">
        <v>1263</v>
      </c>
      <c r="C440" s="6">
        <v>3</v>
      </c>
      <c r="D440" s="6">
        <v>7</v>
      </c>
      <c r="L440" s="6" t="str">
        <f t="shared" si="35"/>
        <v>SELECT 471, N'pakistański', 3, 7 UNION ALL</v>
      </c>
      <c r="M440" s="6" t="s">
        <v>559</v>
      </c>
      <c r="Q440" s="6">
        <f t="shared" ca="1" si="32"/>
        <v>8</v>
      </c>
      <c r="R440" s="6">
        <f t="shared" ca="1" si="33"/>
        <v>0</v>
      </c>
      <c r="U440" s="6" t="str">
        <f ca="1">IF(Q440&gt;0,"SELECT "&amp;COUNTIF($Q$1:$T439,"&gt;0")+1&amp;", "&amp;$A440&amp;", "&amp;Q440&amp;" UNION ALL","")</f>
        <v>SELECT 397, 471, 8 UNION ALL</v>
      </c>
      <c r="V440" s="6" t="str">
        <f ca="1">IF(R440&gt;0,"SELECT "&amp;COUNTIF($Q$1:$T439,"&gt;0")+COUNTIF($Q440:Q440,"&gt;0")+1&amp;", "&amp;$A440&amp;", "&amp;R440&amp;" UNION ALL","")</f>
        <v/>
      </c>
      <c r="W440" s="6" t="str">
        <f>IF(S440&gt;0,"SELECT "&amp;COUNTIF($Q$1:$T439,"&gt;0")+COUNTIF($Q440:R440,"&gt;0")+1&amp;", "&amp;$A440&amp;", "&amp;S440&amp;" UNION ALL","")</f>
        <v/>
      </c>
      <c r="X440" s="6" t="str">
        <f>IF(T440&gt;0,"SELECT "&amp;COUNTIF($Q$1:$T439,"&gt;0")+COUNTIF($Q440:S440,"&gt;0")+1&amp;", "&amp;$A440&amp;", "&amp;T440&amp;" UNION ALL","")</f>
        <v/>
      </c>
      <c r="Y440" s="5" t="str">
        <f t="shared" ca="1" si="34"/>
        <v>SELECT 397, 471, 8 UNION ALL</v>
      </c>
    </row>
    <row r="441" spans="1:25">
      <c r="A441" s="6">
        <f t="shared" si="36"/>
        <v>472</v>
      </c>
      <c r="B441" s="6" t="s">
        <v>1264</v>
      </c>
      <c r="C441" s="6">
        <v>3</v>
      </c>
      <c r="D441" s="6">
        <v>4</v>
      </c>
      <c r="L441" s="6" t="str">
        <f t="shared" si="35"/>
        <v>SELECT 472, N'syryjski', 3, 4 UNION ALL</v>
      </c>
      <c r="M441" s="6" t="s">
        <v>559</v>
      </c>
      <c r="Q441" s="6">
        <f t="shared" ca="1" si="32"/>
        <v>8</v>
      </c>
      <c r="R441" s="6">
        <f t="shared" ca="1" si="33"/>
        <v>0</v>
      </c>
      <c r="U441" s="6" t="str">
        <f ca="1">IF(Q441&gt;0,"SELECT "&amp;COUNTIF($Q$1:$T440,"&gt;0")+1&amp;", "&amp;$A441&amp;", "&amp;Q441&amp;" UNION ALL","")</f>
        <v>SELECT 398, 472, 8 UNION ALL</v>
      </c>
      <c r="V441" s="6" t="str">
        <f ca="1">IF(R441&gt;0,"SELECT "&amp;COUNTIF($Q$1:$T440,"&gt;0")+COUNTIF($Q441:Q441,"&gt;0")+1&amp;", "&amp;$A441&amp;", "&amp;R441&amp;" UNION ALL","")</f>
        <v/>
      </c>
      <c r="W441" s="6" t="str">
        <f>IF(S441&gt;0,"SELECT "&amp;COUNTIF($Q$1:$T440,"&gt;0")+COUNTIF($Q441:R441,"&gt;0")+1&amp;", "&amp;$A441&amp;", "&amp;S441&amp;" UNION ALL","")</f>
        <v/>
      </c>
      <c r="X441" s="6" t="str">
        <f>IF(T441&gt;0,"SELECT "&amp;COUNTIF($Q$1:$T440,"&gt;0")+COUNTIF($Q441:S441,"&gt;0")+1&amp;", "&amp;$A441&amp;", "&amp;T441&amp;" UNION ALL","")</f>
        <v/>
      </c>
      <c r="Y441" s="5" t="str">
        <f t="shared" ca="1" si="34"/>
        <v>SELECT 398, 472, 8 UNION ALL</v>
      </c>
    </row>
    <row r="442" spans="1:25">
      <c r="A442" s="6">
        <f t="shared" si="36"/>
        <v>473</v>
      </c>
      <c r="B442" s="6" t="s">
        <v>1265</v>
      </c>
      <c r="C442" s="6">
        <v>3</v>
      </c>
      <c r="D442" s="6">
        <v>8</v>
      </c>
      <c r="L442" s="6" t="str">
        <f t="shared" si="35"/>
        <v>SELECT 473, N'hinduski', 3, 8 UNION ALL</v>
      </c>
      <c r="M442" s="6" t="s">
        <v>559</v>
      </c>
      <c r="Q442" s="6">
        <f t="shared" ca="1" si="32"/>
        <v>8</v>
      </c>
      <c r="R442" s="6">
        <f t="shared" ca="1" si="33"/>
        <v>0</v>
      </c>
      <c r="U442" s="6" t="str">
        <f ca="1">IF(Q442&gt;0,"SELECT "&amp;COUNTIF($Q$1:$T441,"&gt;0")+1&amp;", "&amp;$A442&amp;", "&amp;Q442&amp;" UNION ALL","")</f>
        <v>SELECT 399, 473, 8 UNION ALL</v>
      </c>
      <c r="V442" s="6" t="str">
        <f ca="1">IF(R442&gt;0,"SELECT "&amp;COUNTIF($Q$1:$T441,"&gt;0")+COUNTIF($Q442:Q442,"&gt;0")+1&amp;", "&amp;$A442&amp;", "&amp;R442&amp;" UNION ALL","")</f>
        <v/>
      </c>
      <c r="W442" s="6" t="str">
        <f>IF(S442&gt;0,"SELECT "&amp;COUNTIF($Q$1:$T441,"&gt;0")+COUNTIF($Q442:R442,"&gt;0")+1&amp;", "&amp;$A442&amp;", "&amp;S442&amp;" UNION ALL","")</f>
        <v/>
      </c>
      <c r="X442" s="6" t="str">
        <f>IF(T442&gt;0,"SELECT "&amp;COUNTIF($Q$1:$T441,"&gt;0")+COUNTIF($Q442:S442,"&gt;0")+1&amp;", "&amp;$A442&amp;", "&amp;T442&amp;" UNION ALL","")</f>
        <v/>
      </c>
      <c r="Y442" s="5" t="str">
        <f t="shared" ca="1" si="34"/>
        <v>SELECT 399, 473, 8 UNION ALL</v>
      </c>
    </row>
    <row r="443" spans="1:25">
      <c r="A443" s="6">
        <f t="shared" si="36"/>
        <v>474</v>
      </c>
      <c r="B443" s="6" t="s">
        <v>1266</v>
      </c>
      <c r="C443" s="6">
        <v>3</v>
      </c>
      <c r="D443" s="6">
        <v>5</v>
      </c>
      <c r="L443" s="6" t="str">
        <f t="shared" si="35"/>
        <v>SELECT 474, N'libański', 3, 5 UNION ALL</v>
      </c>
      <c r="M443" s="6" t="s">
        <v>559</v>
      </c>
      <c r="Q443" s="6">
        <f t="shared" ca="1" si="32"/>
        <v>8</v>
      </c>
      <c r="R443" s="6">
        <f t="shared" ca="1" si="33"/>
        <v>0</v>
      </c>
      <c r="U443" s="6" t="str">
        <f ca="1">IF(Q443&gt;0,"SELECT "&amp;COUNTIF($Q$1:$T442,"&gt;0")+1&amp;", "&amp;$A443&amp;", "&amp;Q443&amp;" UNION ALL","")</f>
        <v>SELECT 400, 474, 8 UNION ALL</v>
      </c>
      <c r="V443" s="6" t="str">
        <f ca="1">IF(R443&gt;0,"SELECT "&amp;COUNTIF($Q$1:$T442,"&gt;0")+COUNTIF($Q443:Q443,"&gt;0")+1&amp;", "&amp;$A443&amp;", "&amp;R443&amp;" UNION ALL","")</f>
        <v/>
      </c>
      <c r="W443" s="6" t="str">
        <f>IF(S443&gt;0,"SELECT "&amp;COUNTIF($Q$1:$T442,"&gt;0")+COUNTIF($Q443:R443,"&gt;0")+1&amp;", "&amp;$A443&amp;", "&amp;S443&amp;" UNION ALL","")</f>
        <v/>
      </c>
      <c r="X443" s="6" t="str">
        <f>IF(T443&gt;0,"SELECT "&amp;COUNTIF($Q$1:$T442,"&gt;0")+COUNTIF($Q443:S443,"&gt;0")+1&amp;", "&amp;$A443&amp;", "&amp;T443&amp;" UNION ALL","")</f>
        <v/>
      </c>
      <c r="Y443" s="5" t="str">
        <f t="shared" ca="1" si="34"/>
        <v>SELECT 400, 474, 8 UNION ALL</v>
      </c>
    </row>
    <row r="444" spans="1:25">
      <c r="A444" s="6">
        <f t="shared" si="36"/>
        <v>475</v>
      </c>
      <c r="B444" s="6" t="s">
        <v>1267</v>
      </c>
      <c r="C444" s="6">
        <v>3</v>
      </c>
      <c r="D444" s="6">
        <v>7</v>
      </c>
      <c r="L444" s="6" t="str">
        <f t="shared" si="35"/>
        <v>SELECT 475, N'tajski', 3, 7 UNION ALL</v>
      </c>
      <c r="M444" s="6" t="s">
        <v>559</v>
      </c>
      <c r="Q444" s="6">
        <f t="shared" ca="1" si="32"/>
        <v>8</v>
      </c>
      <c r="R444" s="6">
        <f t="shared" ca="1" si="33"/>
        <v>0</v>
      </c>
      <c r="U444" s="6" t="str">
        <f ca="1">IF(Q444&gt;0,"SELECT "&amp;COUNTIF($Q$1:$T443,"&gt;0")+1&amp;", "&amp;$A444&amp;", "&amp;Q444&amp;" UNION ALL","")</f>
        <v>SELECT 401, 475, 8 UNION ALL</v>
      </c>
      <c r="V444" s="6" t="str">
        <f ca="1">IF(R444&gt;0,"SELECT "&amp;COUNTIF($Q$1:$T443,"&gt;0")+COUNTIF($Q444:Q444,"&gt;0")+1&amp;", "&amp;$A444&amp;", "&amp;R444&amp;" UNION ALL","")</f>
        <v/>
      </c>
      <c r="W444" s="6" t="str">
        <f>IF(S444&gt;0,"SELECT "&amp;COUNTIF($Q$1:$T443,"&gt;0")+COUNTIF($Q444:R444,"&gt;0")+1&amp;", "&amp;$A444&amp;", "&amp;S444&amp;" UNION ALL","")</f>
        <v/>
      </c>
      <c r="X444" s="6" t="str">
        <f>IF(T444&gt;0,"SELECT "&amp;COUNTIF($Q$1:$T443,"&gt;0")+COUNTIF($Q444:S444,"&gt;0")+1&amp;", "&amp;$A444&amp;", "&amp;T444&amp;" UNION ALL","")</f>
        <v/>
      </c>
      <c r="Y444" s="5" t="str">
        <f t="shared" ca="1" si="34"/>
        <v>SELECT 401, 475, 8 UNION ALL</v>
      </c>
    </row>
    <row r="445" spans="1:25">
      <c r="A445" s="6">
        <f t="shared" si="36"/>
        <v>476</v>
      </c>
      <c r="B445" s="6" t="s">
        <v>1268</v>
      </c>
      <c r="C445" s="6">
        <v>3</v>
      </c>
      <c r="D445" s="6">
        <v>5</v>
      </c>
      <c r="L445" s="6" t="str">
        <f t="shared" si="35"/>
        <v>SELECT 476, N'mongolski', 3, 5 UNION ALL</v>
      </c>
      <c r="M445" s="6" t="s">
        <v>559</v>
      </c>
      <c r="Q445" s="6">
        <f t="shared" ca="1" si="32"/>
        <v>8</v>
      </c>
      <c r="R445" s="6">
        <f t="shared" ca="1" si="33"/>
        <v>0</v>
      </c>
      <c r="U445" s="6" t="str">
        <f ca="1">IF(Q445&gt;0,"SELECT "&amp;COUNTIF($Q$1:$T444,"&gt;0")+1&amp;", "&amp;$A445&amp;", "&amp;Q445&amp;" UNION ALL","")</f>
        <v>SELECT 402, 476, 8 UNION ALL</v>
      </c>
      <c r="V445" s="6" t="str">
        <f ca="1">IF(R445&gt;0,"SELECT "&amp;COUNTIF($Q$1:$T444,"&gt;0")+COUNTIF($Q445:Q445,"&gt;0")+1&amp;", "&amp;$A445&amp;", "&amp;R445&amp;" UNION ALL","")</f>
        <v/>
      </c>
      <c r="W445" s="6" t="str">
        <f>IF(S445&gt;0,"SELECT "&amp;COUNTIF($Q$1:$T444,"&gt;0")+COUNTIF($Q445:R445,"&gt;0")+1&amp;", "&amp;$A445&amp;", "&amp;S445&amp;" UNION ALL","")</f>
        <v/>
      </c>
      <c r="X445" s="6" t="str">
        <f>IF(T445&gt;0,"SELECT "&amp;COUNTIF($Q$1:$T444,"&gt;0")+COUNTIF($Q445:S445,"&gt;0")+1&amp;", "&amp;$A445&amp;", "&amp;T445&amp;" UNION ALL","")</f>
        <v/>
      </c>
      <c r="Y445" s="5" t="str">
        <f t="shared" ca="1" si="34"/>
        <v>SELECT 402, 476, 8 UNION ALL</v>
      </c>
    </row>
    <row r="446" spans="1:25">
      <c r="A446" s="6">
        <f t="shared" si="36"/>
        <v>477</v>
      </c>
      <c r="B446" s="6" t="s">
        <v>1269</v>
      </c>
      <c r="C446" s="6">
        <v>2</v>
      </c>
      <c r="D446" s="6">
        <v>10</v>
      </c>
      <c r="L446" s="6" t="str">
        <f t="shared" si="35"/>
        <v>SELECT 477, N'twierdzić', 2, 10 UNION ALL</v>
      </c>
      <c r="Q446" s="6">
        <f t="shared" ca="1" si="32"/>
        <v>0</v>
      </c>
      <c r="R446" s="6">
        <f t="shared" ca="1" si="33"/>
        <v>0</v>
      </c>
      <c r="U446" s="6" t="str">
        <f ca="1">IF(Q446&gt;0,"SELECT "&amp;COUNTIF($Q$1:$T445,"&gt;0")+1&amp;", "&amp;$A446&amp;", "&amp;Q446&amp;" UNION ALL","")</f>
        <v/>
      </c>
      <c r="V446" s="6" t="str">
        <f ca="1">IF(R446&gt;0,"SELECT "&amp;COUNTIF($Q$1:$T445,"&gt;0")+COUNTIF($Q446:Q446,"&gt;0")+1&amp;", "&amp;$A446&amp;", "&amp;R446&amp;" UNION ALL","")</f>
        <v/>
      </c>
      <c r="W446" s="6" t="str">
        <f>IF(S446&gt;0,"SELECT "&amp;COUNTIF($Q$1:$T445,"&gt;0")+COUNTIF($Q446:R446,"&gt;0")+1&amp;", "&amp;$A446&amp;", "&amp;S446&amp;" UNION ALL","")</f>
        <v/>
      </c>
      <c r="X446" s="6" t="str">
        <f>IF(T446&gt;0,"SELECT "&amp;COUNTIF($Q$1:$T445,"&gt;0")+COUNTIF($Q446:S446,"&gt;0")+1&amp;", "&amp;$A446&amp;", "&amp;T446&amp;" UNION ALL","")</f>
        <v/>
      </c>
      <c r="Y446" s="5" t="str">
        <f t="shared" ca="1" si="34"/>
        <v/>
      </c>
    </row>
    <row r="447" spans="1:25">
      <c r="A447" s="6">
        <f t="shared" si="36"/>
        <v>478</v>
      </c>
      <c r="B447" s="6" t="s">
        <v>1270</v>
      </c>
      <c r="C447" s="6">
        <v>2</v>
      </c>
      <c r="D447" s="6">
        <v>10</v>
      </c>
      <c r="L447" s="6" t="str">
        <f t="shared" si="35"/>
        <v>SELECT 478, N'zamierzać', 2, 10 UNION ALL</v>
      </c>
      <c r="Q447" s="6">
        <f t="shared" ca="1" si="32"/>
        <v>0</v>
      </c>
      <c r="R447" s="6">
        <f t="shared" ca="1" si="33"/>
        <v>0</v>
      </c>
      <c r="U447" s="6" t="str">
        <f ca="1">IF(Q447&gt;0,"SELECT "&amp;COUNTIF($Q$1:$T446,"&gt;0")+1&amp;", "&amp;$A447&amp;", "&amp;Q447&amp;" UNION ALL","")</f>
        <v/>
      </c>
      <c r="V447" s="6" t="str">
        <f ca="1">IF(R447&gt;0,"SELECT "&amp;COUNTIF($Q$1:$T446,"&gt;0")+COUNTIF($Q447:Q447,"&gt;0")+1&amp;", "&amp;$A447&amp;", "&amp;R447&amp;" UNION ALL","")</f>
        <v/>
      </c>
      <c r="W447" s="6" t="str">
        <f>IF(S447&gt;0,"SELECT "&amp;COUNTIF($Q$1:$T446,"&gt;0")+COUNTIF($Q447:R447,"&gt;0")+1&amp;", "&amp;$A447&amp;", "&amp;S447&amp;" UNION ALL","")</f>
        <v/>
      </c>
      <c r="X447" s="6" t="str">
        <f>IF(T447&gt;0,"SELECT "&amp;COUNTIF($Q$1:$T446,"&gt;0")+COUNTIF($Q447:S447,"&gt;0")+1&amp;", "&amp;$A447&amp;", "&amp;T447&amp;" UNION ALL","")</f>
        <v/>
      </c>
      <c r="Y447" s="5" t="str">
        <f t="shared" ca="1" si="34"/>
        <v/>
      </c>
    </row>
    <row r="448" spans="1:25">
      <c r="A448" s="6">
        <f t="shared" si="36"/>
        <v>479</v>
      </c>
      <c r="B448" s="6" t="s">
        <v>1271</v>
      </c>
      <c r="C448" s="6">
        <v>2</v>
      </c>
      <c r="D448" s="6">
        <v>10</v>
      </c>
      <c r="L448" s="6" t="str">
        <f t="shared" si="35"/>
        <v>SELECT 479, N'przeżyć', 2, 10 UNION ALL</v>
      </c>
      <c r="Q448" s="6">
        <f t="shared" ca="1" si="32"/>
        <v>0</v>
      </c>
      <c r="R448" s="6">
        <f t="shared" ca="1" si="33"/>
        <v>0</v>
      </c>
      <c r="U448" s="6" t="str">
        <f ca="1">IF(Q448&gt;0,"SELECT "&amp;COUNTIF($Q$1:$T447,"&gt;0")+1&amp;", "&amp;$A448&amp;", "&amp;Q448&amp;" UNION ALL","")</f>
        <v/>
      </c>
      <c r="V448" s="6" t="str">
        <f ca="1">IF(R448&gt;0,"SELECT "&amp;COUNTIF($Q$1:$T447,"&gt;0")+COUNTIF($Q448:Q448,"&gt;0")+1&amp;", "&amp;$A448&amp;", "&amp;R448&amp;" UNION ALL","")</f>
        <v/>
      </c>
      <c r="W448" s="6" t="str">
        <f>IF(S448&gt;0,"SELECT "&amp;COUNTIF($Q$1:$T447,"&gt;0")+COUNTIF($Q448:R448,"&gt;0")+1&amp;", "&amp;$A448&amp;", "&amp;S448&amp;" UNION ALL","")</f>
        <v/>
      </c>
      <c r="X448" s="6" t="str">
        <f>IF(T448&gt;0,"SELECT "&amp;COUNTIF($Q$1:$T447,"&gt;0")+COUNTIF($Q448:S448,"&gt;0")+1&amp;", "&amp;$A448&amp;", "&amp;T448&amp;" UNION ALL","")</f>
        <v/>
      </c>
      <c r="Y448" s="5" t="str">
        <f t="shared" ca="1" si="34"/>
        <v/>
      </c>
    </row>
    <row r="449" spans="1:25">
      <c r="A449" s="6">
        <f t="shared" si="36"/>
        <v>480</v>
      </c>
      <c r="B449" s="6" t="s">
        <v>1272</v>
      </c>
      <c r="C449" s="6">
        <v>2</v>
      </c>
      <c r="D449" s="6">
        <v>10</v>
      </c>
      <c r="L449" s="6" t="str">
        <f t="shared" si="35"/>
        <v>SELECT 480, N'rodzić', 2, 10 UNION ALL</v>
      </c>
      <c r="Q449" s="6">
        <f t="shared" ca="1" si="32"/>
        <v>0</v>
      </c>
      <c r="R449" s="6">
        <f t="shared" ca="1" si="33"/>
        <v>0</v>
      </c>
      <c r="U449" s="6" t="str">
        <f ca="1">IF(Q449&gt;0,"SELECT "&amp;COUNTIF($Q$1:$T448,"&gt;0")+1&amp;", "&amp;$A449&amp;", "&amp;Q449&amp;" UNION ALL","")</f>
        <v/>
      </c>
      <c r="V449" s="6" t="str">
        <f ca="1">IF(R449&gt;0,"SELECT "&amp;COUNTIF($Q$1:$T448,"&gt;0")+COUNTIF($Q449:Q449,"&gt;0")+1&amp;", "&amp;$A449&amp;", "&amp;R449&amp;" UNION ALL","")</f>
        <v/>
      </c>
      <c r="W449" s="6" t="str">
        <f>IF(S449&gt;0,"SELECT "&amp;COUNTIF($Q$1:$T448,"&gt;0")+COUNTIF($Q449:R449,"&gt;0")+1&amp;", "&amp;$A449&amp;", "&amp;S449&amp;" UNION ALL","")</f>
        <v/>
      </c>
      <c r="X449" s="6" t="str">
        <f>IF(T449&gt;0,"SELECT "&amp;COUNTIF($Q$1:$T448,"&gt;0")+COUNTIF($Q449:S449,"&gt;0")+1&amp;", "&amp;$A449&amp;", "&amp;T449&amp;" UNION ALL","")</f>
        <v/>
      </c>
      <c r="Y449" s="5" t="str">
        <f t="shared" ca="1" si="34"/>
        <v/>
      </c>
    </row>
    <row r="450" spans="1:25">
      <c r="A450" s="6">
        <f t="shared" si="36"/>
        <v>481</v>
      </c>
      <c r="B450" s="6" t="s">
        <v>1273</v>
      </c>
      <c r="C450" s="6">
        <v>3</v>
      </c>
      <c r="D450" s="6">
        <v>10</v>
      </c>
      <c r="L450" s="6" t="str">
        <f t="shared" si="35"/>
        <v>SELECT 481, N'jeden', 3, 10 UNION ALL</v>
      </c>
      <c r="Q450" s="6">
        <f t="shared" ca="1" si="32"/>
        <v>0</v>
      </c>
      <c r="R450" s="6">
        <f t="shared" ca="1" si="33"/>
        <v>0</v>
      </c>
      <c r="U450" s="6" t="str">
        <f ca="1">IF(Q450&gt;0,"SELECT "&amp;COUNTIF($Q$1:$T449,"&gt;0")+1&amp;", "&amp;$A450&amp;", "&amp;Q450&amp;" UNION ALL","")</f>
        <v/>
      </c>
      <c r="V450" s="6" t="str">
        <f ca="1">IF(R450&gt;0,"SELECT "&amp;COUNTIF($Q$1:$T449,"&gt;0")+COUNTIF($Q450:Q450,"&gt;0")+1&amp;", "&amp;$A450&amp;", "&amp;R450&amp;" UNION ALL","")</f>
        <v/>
      </c>
      <c r="W450" s="6" t="str">
        <f>IF(S450&gt;0,"SELECT "&amp;COUNTIF($Q$1:$T449,"&gt;0")+COUNTIF($Q450:R450,"&gt;0")+1&amp;", "&amp;$A450&amp;", "&amp;S450&amp;" UNION ALL","")</f>
        <v/>
      </c>
      <c r="X450" s="6" t="str">
        <f>IF(T450&gt;0,"SELECT "&amp;COUNTIF($Q$1:$T449,"&gt;0")+COUNTIF($Q450:S450,"&gt;0")+1&amp;", "&amp;$A450&amp;", "&amp;T450&amp;" UNION ALL","")</f>
        <v/>
      </c>
      <c r="Y450" s="5" t="str">
        <f t="shared" ca="1" si="34"/>
        <v/>
      </c>
    </row>
    <row r="451" spans="1:25">
      <c r="A451" s="6">
        <f t="shared" si="36"/>
        <v>482</v>
      </c>
      <c r="B451" s="6" t="s">
        <v>1274</v>
      </c>
      <c r="C451" s="6">
        <v>3</v>
      </c>
      <c r="D451" s="6">
        <v>10</v>
      </c>
      <c r="L451" s="6" t="str">
        <f t="shared" si="35"/>
        <v>SELECT 482, N'dwa (rzeczy)', 3, 10 UNION ALL</v>
      </c>
      <c r="Q451" s="6">
        <f t="shared" ref="Q451:Q456" ca="1" si="37">IFERROR(VLOOKUP(M451,Kategorie,9,0),0)</f>
        <v>0</v>
      </c>
      <c r="R451" s="6">
        <f t="shared" ref="R451:R456" ca="1" si="38">IFERROR(VLOOKUP(N451,Kategorie,9,0),0)</f>
        <v>0</v>
      </c>
      <c r="U451" s="6" t="str">
        <f ca="1">IF(Q451&gt;0,"SELECT "&amp;COUNTIF($Q$1:$T450,"&gt;0")+1&amp;", "&amp;$A451&amp;", "&amp;Q451&amp;" UNION ALL","")</f>
        <v/>
      </c>
      <c r="V451" s="6" t="str">
        <f ca="1">IF(R451&gt;0,"SELECT "&amp;COUNTIF($Q$1:$T450,"&gt;0")+COUNTIF($Q451:Q451,"&gt;0")+1&amp;", "&amp;$A451&amp;", "&amp;R451&amp;" UNION ALL","")</f>
        <v/>
      </c>
      <c r="W451" s="6" t="str">
        <f>IF(S451&gt;0,"SELECT "&amp;COUNTIF($Q$1:$T450,"&gt;0")+COUNTIF($Q451:R451,"&gt;0")+1&amp;", "&amp;$A451&amp;", "&amp;S451&amp;" UNION ALL","")</f>
        <v/>
      </c>
      <c r="X451" s="6" t="str">
        <f>IF(T451&gt;0,"SELECT "&amp;COUNTIF($Q$1:$T450,"&gt;0")+COUNTIF($Q451:S451,"&gt;0")+1&amp;", "&amp;$A451&amp;", "&amp;T451&amp;" UNION ALL","")</f>
        <v/>
      </c>
      <c r="Y451" s="5" t="str">
        <f t="shared" ca="1" si="34"/>
        <v/>
      </c>
    </row>
    <row r="452" spans="1:25">
      <c r="A452" s="6">
        <f t="shared" si="36"/>
        <v>483</v>
      </c>
      <c r="B452" s="6" t="s">
        <v>1275</v>
      </c>
      <c r="C452" s="6">
        <v>3</v>
      </c>
      <c r="D452" s="6">
        <v>10</v>
      </c>
      <c r="L452" s="6" t="str">
        <f t="shared" si="35"/>
        <v>SELECT 483, N'trzy (rzeczy)', 3, 10 UNION ALL</v>
      </c>
      <c r="Q452" s="6">
        <f t="shared" ca="1" si="37"/>
        <v>0</v>
      </c>
      <c r="R452" s="6">
        <f t="shared" ca="1" si="38"/>
        <v>0</v>
      </c>
      <c r="U452" s="6" t="str">
        <f ca="1">IF(Q452&gt;0,"SELECT "&amp;COUNTIF($Q$1:$T451,"&gt;0")+1&amp;", "&amp;$A452&amp;", "&amp;Q452&amp;" UNION ALL","")</f>
        <v/>
      </c>
      <c r="V452" s="6" t="str">
        <f ca="1">IF(R452&gt;0,"SELECT "&amp;COUNTIF($Q$1:$T451,"&gt;0")+COUNTIF($Q452:Q452,"&gt;0")+1&amp;", "&amp;$A452&amp;", "&amp;R452&amp;" UNION ALL","")</f>
        <v/>
      </c>
      <c r="W452" s="6" t="str">
        <f>IF(S452&gt;0,"SELECT "&amp;COUNTIF($Q$1:$T451,"&gt;0")+COUNTIF($Q452:R452,"&gt;0")+1&amp;", "&amp;$A452&amp;", "&amp;S452&amp;" UNION ALL","")</f>
        <v/>
      </c>
      <c r="X452" s="6" t="str">
        <f>IF(T452&gt;0,"SELECT "&amp;COUNTIF($Q$1:$T451,"&gt;0")+COUNTIF($Q452:S452,"&gt;0")+1&amp;", "&amp;$A452&amp;", "&amp;T452&amp;" UNION ALL","")</f>
        <v/>
      </c>
      <c r="Y452" s="5" t="str">
        <f t="shared" ref="Y452:Y515" ca="1" si="39">SUBSTITUTE(IF(LEN(U452)&gt;0,U452,"")&amp;IF(LEN(V452)&gt;0,CHAR(10)&amp;V452,"")&amp;IF(LEN(W452)&gt;0,CHAR(10)&amp;W452,"")&amp;IF(LEN(X452)&gt;0,CHAR(10)&amp;X452,""),CHAR(34),"")</f>
        <v/>
      </c>
    </row>
    <row r="453" spans="1:25">
      <c r="A453" s="6">
        <f t="shared" si="36"/>
        <v>484</v>
      </c>
      <c r="B453" s="6" t="s">
        <v>1276</v>
      </c>
      <c r="C453" s="6">
        <v>3</v>
      </c>
      <c r="D453" s="6">
        <v>10</v>
      </c>
      <c r="L453" s="6" t="str">
        <f t="shared" si="35"/>
        <v>SELECT 484, N'cztery (rzeczy)', 3, 10 UNION ALL</v>
      </c>
      <c r="Q453" s="6">
        <f t="shared" ca="1" si="37"/>
        <v>0</v>
      </c>
      <c r="R453" s="6">
        <f t="shared" ca="1" si="38"/>
        <v>0</v>
      </c>
      <c r="U453" s="6" t="str">
        <f ca="1">IF(Q453&gt;0,"SELECT "&amp;COUNTIF($Q$1:$T452,"&gt;0")+1&amp;", "&amp;$A453&amp;", "&amp;Q453&amp;" UNION ALL","")</f>
        <v/>
      </c>
      <c r="V453" s="6" t="str">
        <f ca="1">IF(R453&gt;0,"SELECT "&amp;COUNTIF($Q$1:$T452,"&gt;0")+COUNTIF($Q453:Q453,"&gt;0")+1&amp;", "&amp;$A453&amp;", "&amp;R453&amp;" UNION ALL","")</f>
        <v/>
      </c>
      <c r="W453" s="6" t="str">
        <f>IF(S453&gt;0,"SELECT "&amp;COUNTIF($Q$1:$T452,"&gt;0")+COUNTIF($Q453:R453,"&gt;0")+1&amp;", "&amp;$A453&amp;", "&amp;S453&amp;" UNION ALL","")</f>
        <v/>
      </c>
      <c r="X453" s="6" t="str">
        <f>IF(T453&gt;0,"SELECT "&amp;COUNTIF($Q$1:$T452,"&gt;0")+COUNTIF($Q453:S453,"&gt;0")+1&amp;", "&amp;$A453&amp;", "&amp;T453&amp;" UNION ALL","")</f>
        <v/>
      </c>
      <c r="Y453" s="5" t="str">
        <f t="shared" ca="1" si="39"/>
        <v/>
      </c>
    </row>
    <row r="454" spans="1:25">
      <c r="A454" s="6">
        <f t="shared" si="36"/>
        <v>485</v>
      </c>
      <c r="B454" s="6" t="s">
        <v>1277</v>
      </c>
      <c r="C454" s="6">
        <v>3</v>
      </c>
      <c r="D454" s="6">
        <v>10</v>
      </c>
      <c r="L454" s="6" t="str">
        <f t="shared" si="35"/>
        <v>SELECT 485, N'pięć (rzeczy)', 3, 10 UNION ALL</v>
      </c>
      <c r="Q454" s="6">
        <f t="shared" ca="1" si="37"/>
        <v>0</v>
      </c>
      <c r="R454" s="6">
        <f t="shared" ca="1" si="38"/>
        <v>0</v>
      </c>
      <c r="U454" s="6" t="str">
        <f ca="1">IF(Q454&gt;0,"SELECT "&amp;COUNTIF($Q$1:$T453,"&gt;0")+1&amp;", "&amp;$A454&amp;", "&amp;Q454&amp;" UNION ALL","")</f>
        <v/>
      </c>
      <c r="V454" s="6" t="str">
        <f ca="1">IF(R454&gt;0,"SELECT "&amp;COUNTIF($Q$1:$T453,"&gt;0")+COUNTIF($Q454:Q454,"&gt;0")+1&amp;", "&amp;$A454&amp;", "&amp;R454&amp;" UNION ALL","")</f>
        <v/>
      </c>
      <c r="W454" s="6" t="str">
        <f>IF(S454&gt;0,"SELECT "&amp;COUNTIF($Q$1:$T453,"&gt;0")+COUNTIF($Q454:R454,"&gt;0")+1&amp;", "&amp;$A454&amp;", "&amp;S454&amp;" UNION ALL","")</f>
        <v/>
      </c>
      <c r="X454" s="6" t="str">
        <f>IF(T454&gt;0,"SELECT "&amp;COUNTIF($Q$1:$T453,"&gt;0")+COUNTIF($Q454:S454,"&gt;0")+1&amp;", "&amp;$A454&amp;", "&amp;T454&amp;" UNION ALL","")</f>
        <v/>
      </c>
      <c r="Y454" s="5" t="str">
        <f t="shared" ca="1" si="39"/>
        <v/>
      </c>
    </row>
    <row r="455" spans="1:25">
      <c r="A455" s="6">
        <f t="shared" si="36"/>
        <v>486</v>
      </c>
      <c r="B455" s="6" t="s">
        <v>1278</v>
      </c>
      <c r="C455" s="6">
        <v>3</v>
      </c>
      <c r="D455" s="6">
        <v>10</v>
      </c>
      <c r="L455" s="6" t="str">
        <f t="shared" si="35"/>
        <v>SELECT 486, N'sześć (rzeczy)', 3, 10 UNION ALL</v>
      </c>
      <c r="Q455" s="6">
        <f t="shared" ca="1" si="37"/>
        <v>0</v>
      </c>
      <c r="R455" s="6">
        <f t="shared" ca="1" si="38"/>
        <v>0</v>
      </c>
      <c r="U455" s="6" t="str">
        <f ca="1">IF(Q455&gt;0,"SELECT "&amp;COUNTIF($Q$1:$T454,"&gt;0")+1&amp;", "&amp;$A455&amp;", "&amp;Q455&amp;" UNION ALL","")</f>
        <v/>
      </c>
      <c r="V455" s="6" t="str">
        <f ca="1">IF(R455&gt;0,"SELECT "&amp;COUNTIF($Q$1:$T454,"&gt;0")+COUNTIF($Q455:Q455,"&gt;0")+1&amp;", "&amp;$A455&amp;", "&amp;R455&amp;" UNION ALL","")</f>
        <v/>
      </c>
      <c r="W455" s="6" t="str">
        <f>IF(S455&gt;0,"SELECT "&amp;COUNTIF($Q$1:$T454,"&gt;0")+COUNTIF($Q455:R455,"&gt;0")+1&amp;", "&amp;$A455&amp;", "&amp;S455&amp;" UNION ALL","")</f>
        <v/>
      </c>
      <c r="X455" s="6" t="str">
        <f>IF(T455&gt;0,"SELECT "&amp;COUNTIF($Q$1:$T454,"&gt;0")+COUNTIF($Q455:S455,"&gt;0")+1&amp;", "&amp;$A455&amp;", "&amp;T455&amp;" UNION ALL","")</f>
        <v/>
      </c>
      <c r="Y455" s="5" t="str">
        <f t="shared" ca="1" si="39"/>
        <v/>
      </c>
    </row>
    <row r="456" spans="1:25" ht="30">
      <c r="A456" s="6">
        <f t="shared" si="36"/>
        <v>487</v>
      </c>
      <c r="B456" s="6" t="s">
        <v>1279</v>
      </c>
      <c r="C456" s="6">
        <v>1</v>
      </c>
      <c r="D456" s="6">
        <v>10</v>
      </c>
      <c r="L456" s="6" t="str">
        <f t="shared" si="35"/>
        <v>SELECT 487, N'szpital', 1, 10 UNION ALL</v>
      </c>
      <c r="M456" s="6" t="s">
        <v>1421</v>
      </c>
      <c r="N456" t="s">
        <v>1422</v>
      </c>
      <c r="Q456" s="6">
        <f t="shared" ca="1" si="37"/>
        <v>62</v>
      </c>
      <c r="R456" s="6">
        <f t="shared" ca="1" si="38"/>
        <v>64</v>
      </c>
      <c r="U456" s="6" t="str">
        <f ca="1">IF(Q456&gt;0,"SELECT "&amp;COUNTIF($Q$1:$T455,"&gt;0")+1&amp;", "&amp;$A456&amp;", "&amp;Q456&amp;" UNION ALL","")</f>
        <v>SELECT 403, 487, 62 UNION ALL</v>
      </c>
      <c r="V456" s="6" t="str">
        <f ca="1">IF(R456&gt;0,"SELECT "&amp;COUNTIF($Q$1:$T455,"&gt;0")+COUNTIF($Q456:Q456,"&gt;0")+1&amp;", "&amp;$A456&amp;", "&amp;R456&amp;" UNION ALL","")</f>
        <v>SELECT 404, 487, 64 UNION ALL</v>
      </c>
      <c r="W456" s="6" t="str">
        <f>IF(S456&gt;0,"SELECT "&amp;COUNTIF($Q$1:$T455,"&gt;0")+COUNTIF($Q456:R456,"&gt;0")+1&amp;", "&amp;$A456&amp;", "&amp;S456&amp;" UNION ALL","")</f>
        <v/>
      </c>
      <c r="X456" s="6" t="str">
        <f>IF(T456&gt;0,"SELECT "&amp;COUNTIF($Q$1:$T455,"&gt;0")+COUNTIF($Q456:S456,"&gt;0")+1&amp;", "&amp;$A456&amp;", "&amp;T456&amp;" UNION ALL","")</f>
        <v/>
      </c>
      <c r="Y456" s="5" t="str">
        <f t="shared" ca="1" si="39"/>
        <v>SELECT 403, 487, 62 UNION ALL
SELECT 404, 487, 64 UNION ALL</v>
      </c>
    </row>
    <row r="457" spans="1:25" ht="30">
      <c r="A457" s="6">
        <f t="shared" si="36"/>
        <v>488</v>
      </c>
      <c r="B457" s="6" t="s">
        <v>1280</v>
      </c>
      <c r="C457" s="6">
        <v>1</v>
      </c>
      <c r="D457" s="6">
        <v>10</v>
      </c>
      <c r="L457" s="6" t="str">
        <f t="shared" si="35"/>
        <v>SELECT 488, N'szkoła', 1, 10 UNION ALL</v>
      </c>
      <c r="M457" s="6" t="s">
        <v>1421</v>
      </c>
      <c r="N457" s="6" t="s">
        <v>1422</v>
      </c>
      <c r="Q457" s="6">
        <f t="shared" ref="Q457:Q520" ca="1" si="40">IFERROR(VLOOKUP(M457,Kategorie,9,0),0)</f>
        <v>62</v>
      </c>
      <c r="R457" s="6">
        <f t="shared" ref="R457:R520" ca="1" si="41">IFERROR(VLOOKUP(N457,Kategorie,9,0),0)</f>
        <v>64</v>
      </c>
      <c r="U457" s="6" t="str">
        <f ca="1">IF(Q457&gt;0,"SELECT "&amp;COUNTIF($Q$1:$T456,"&gt;0")+1&amp;", "&amp;$A457&amp;", "&amp;Q457&amp;" UNION ALL","")</f>
        <v>SELECT 405, 488, 62 UNION ALL</v>
      </c>
      <c r="V457" s="6" t="str">
        <f ca="1">IF(R457&gt;0,"SELECT "&amp;COUNTIF($Q$1:$T456,"&gt;0")+COUNTIF($Q457:Q457,"&gt;0")+1&amp;", "&amp;$A457&amp;", "&amp;R457&amp;" UNION ALL","")</f>
        <v>SELECT 406, 488, 64 UNION ALL</v>
      </c>
      <c r="W457" s="6" t="str">
        <f>IF(S457&gt;0,"SELECT "&amp;COUNTIF($Q$1:$T456,"&gt;0")+COUNTIF($Q457:R457,"&gt;0")+1&amp;", "&amp;$A457&amp;", "&amp;S457&amp;" UNION ALL","")</f>
        <v/>
      </c>
      <c r="X457" s="6" t="str">
        <f>IF(T457&gt;0,"SELECT "&amp;COUNTIF($Q$1:$T456,"&gt;0")+COUNTIF($Q457:S457,"&gt;0")+1&amp;", "&amp;$A457&amp;", "&amp;T457&amp;" UNION ALL","")</f>
        <v/>
      </c>
      <c r="Y457" s="5" t="str">
        <f t="shared" ca="1" si="39"/>
        <v>SELECT 405, 488, 62 UNION ALL
SELECT 406, 488, 64 UNION ALL</v>
      </c>
    </row>
    <row r="458" spans="1:25" ht="30">
      <c r="A458" s="6">
        <f t="shared" si="36"/>
        <v>489</v>
      </c>
      <c r="B458" s="6" t="s">
        <v>1281</v>
      </c>
      <c r="C458" s="6">
        <v>1</v>
      </c>
      <c r="D458" s="6">
        <v>10</v>
      </c>
      <c r="L458" s="6" t="str">
        <f t="shared" si="35"/>
        <v>SELECT 489, N'poczta', 1, 10 UNION ALL</v>
      </c>
      <c r="M458" s="6" t="s">
        <v>1421</v>
      </c>
      <c r="N458" s="6" t="s">
        <v>1422</v>
      </c>
      <c r="Q458" s="6">
        <f t="shared" ca="1" si="40"/>
        <v>62</v>
      </c>
      <c r="R458" s="6">
        <f t="shared" ca="1" si="41"/>
        <v>64</v>
      </c>
      <c r="U458" s="6" t="str">
        <f ca="1">IF(Q458&gt;0,"SELECT "&amp;COUNTIF($Q$1:$T457,"&gt;0")+1&amp;", "&amp;$A458&amp;", "&amp;Q458&amp;" UNION ALL","")</f>
        <v>SELECT 407, 489, 62 UNION ALL</v>
      </c>
      <c r="V458" s="6" t="str">
        <f ca="1">IF(R458&gt;0,"SELECT "&amp;COUNTIF($Q$1:$T457,"&gt;0")+COUNTIF($Q458:Q458,"&gt;0")+1&amp;", "&amp;$A458&amp;", "&amp;R458&amp;" UNION ALL","")</f>
        <v>SELECT 408, 489, 64 UNION ALL</v>
      </c>
      <c r="W458" s="6" t="str">
        <f>IF(S458&gt;0,"SELECT "&amp;COUNTIF($Q$1:$T457,"&gt;0")+COUNTIF($Q458:R458,"&gt;0")+1&amp;", "&amp;$A458&amp;", "&amp;S458&amp;" UNION ALL","")</f>
        <v/>
      </c>
      <c r="X458" s="6" t="str">
        <f>IF(T458&gt;0,"SELECT "&amp;COUNTIF($Q$1:$T457,"&gt;0")+COUNTIF($Q458:S458,"&gt;0")+1&amp;", "&amp;$A458&amp;", "&amp;T458&amp;" UNION ALL","")</f>
        <v/>
      </c>
      <c r="Y458" s="5" t="str">
        <f t="shared" ca="1" si="39"/>
        <v>SELECT 407, 489, 62 UNION ALL
SELECT 408, 489, 64 UNION ALL</v>
      </c>
    </row>
    <row r="459" spans="1:25">
      <c r="A459" s="6">
        <f t="shared" si="36"/>
        <v>490</v>
      </c>
      <c r="B459" s="6" t="s">
        <v>1282</v>
      </c>
      <c r="C459" s="6">
        <v>1</v>
      </c>
      <c r="D459" s="6">
        <v>8</v>
      </c>
      <c r="L459" s="6" t="str">
        <f t="shared" si="35"/>
        <v>SELECT 490, N'policja', 1, 8 UNION ALL</v>
      </c>
      <c r="M459" s="6" t="s">
        <v>1421</v>
      </c>
      <c r="N459" s="6"/>
      <c r="Q459" s="6">
        <f t="shared" ca="1" si="40"/>
        <v>62</v>
      </c>
      <c r="R459" s="6">
        <f t="shared" ca="1" si="41"/>
        <v>0</v>
      </c>
      <c r="U459" s="6" t="str">
        <f ca="1">IF(Q459&gt;0,"SELECT "&amp;COUNTIF($Q$1:$T458,"&gt;0")+1&amp;", "&amp;$A459&amp;", "&amp;Q459&amp;" UNION ALL","")</f>
        <v>SELECT 409, 490, 62 UNION ALL</v>
      </c>
      <c r="V459" s="6" t="str">
        <f ca="1">IF(R459&gt;0,"SELECT "&amp;COUNTIF($Q$1:$T458,"&gt;0")+COUNTIF($Q459:Q459,"&gt;0")+1&amp;", "&amp;$A459&amp;", "&amp;R459&amp;" UNION ALL","")</f>
        <v/>
      </c>
      <c r="W459" s="6" t="str">
        <f>IF(S459&gt;0,"SELECT "&amp;COUNTIF($Q$1:$T458,"&gt;0")+COUNTIF($Q459:R459,"&gt;0")+1&amp;", "&amp;$A459&amp;", "&amp;S459&amp;" UNION ALL","")</f>
        <v/>
      </c>
      <c r="X459" s="6" t="str">
        <f>IF(T459&gt;0,"SELECT "&amp;COUNTIF($Q$1:$T458,"&gt;0")+COUNTIF($Q459:S459,"&gt;0")+1&amp;", "&amp;$A459&amp;", "&amp;T459&amp;" UNION ALL","")</f>
        <v/>
      </c>
      <c r="Y459" s="5" t="str">
        <f t="shared" ca="1" si="39"/>
        <v>SELECT 409, 490, 62 UNION ALL</v>
      </c>
    </row>
    <row r="460" spans="1:25">
      <c r="A460" s="6">
        <f t="shared" si="36"/>
        <v>491</v>
      </c>
      <c r="B460" s="6" t="s">
        <v>1283</v>
      </c>
      <c r="C460" s="6">
        <v>2</v>
      </c>
      <c r="D460" s="6">
        <v>10</v>
      </c>
      <c r="L460" s="6" t="str">
        <f t="shared" si="35"/>
        <v>SELECT 491, N'wygrywać', 2, 10 UNION ALL</v>
      </c>
      <c r="Q460" s="6">
        <f t="shared" ca="1" si="40"/>
        <v>0</v>
      </c>
      <c r="R460" s="6">
        <f t="shared" ca="1" si="41"/>
        <v>0</v>
      </c>
      <c r="U460" s="6" t="str">
        <f ca="1">IF(Q460&gt;0,"SELECT "&amp;COUNTIF($Q$1:$T459,"&gt;0")+1&amp;", "&amp;$A460&amp;", "&amp;Q460&amp;" UNION ALL","")</f>
        <v/>
      </c>
      <c r="V460" s="6" t="str">
        <f ca="1">IF(R460&gt;0,"SELECT "&amp;COUNTIF($Q$1:$T459,"&gt;0")+COUNTIF($Q460:Q460,"&gt;0")+1&amp;", "&amp;$A460&amp;", "&amp;R460&amp;" UNION ALL","")</f>
        <v/>
      </c>
      <c r="W460" s="6" t="str">
        <f>IF(S460&gt;0,"SELECT "&amp;COUNTIF($Q$1:$T459,"&gt;0")+COUNTIF($Q460:R460,"&gt;0")+1&amp;", "&amp;$A460&amp;", "&amp;S460&amp;" UNION ALL","")</f>
        <v/>
      </c>
      <c r="X460" s="6" t="str">
        <f>IF(T460&gt;0,"SELECT "&amp;COUNTIF($Q$1:$T459,"&gt;0")+COUNTIF($Q460:S460,"&gt;0")+1&amp;", "&amp;$A460&amp;", "&amp;T460&amp;" UNION ALL","")</f>
        <v/>
      </c>
      <c r="Y460" s="5" t="str">
        <f t="shared" ca="1" si="39"/>
        <v/>
      </c>
    </row>
    <row r="461" spans="1:25">
      <c r="A461" s="6">
        <f t="shared" si="36"/>
        <v>492</v>
      </c>
      <c r="B461" s="6" t="s">
        <v>1284</v>
      </c>
      <c r="C461" s="6">
        <v>1</v>
      </c>
      <c r="D461" s="6">
        <v>8</v>
      </c>
      <c r="L461" s="6" t="str">
        <f t="shared" si="35"/>
        <v>SELECT 492, N'Oscar', 1, 8 UNION ALL</v>
      </c>
      <c r="M461" t="s">
        <v>1481</v>
      </c>
      <c r="Q461" s="6">
        <f t="shared" ca="1" si="40"/>
        <v>78</v>
      </c>
      <c r="R461" s="6">
        <f t="shared" ca="1" si="41"/>
        <v>0</v>
      </c>
      <c r="U461" s="6" t="str">
        <f ca="1">IF(Q461&gt;0,"SELECT "&amp;COUNTIF($Q$1:$T460,"&gt;0")+1&amp;", "&amp;$A461&amp;", "&amp;Q461&amp;" UNION ALL","")</f>
        <v>SELECT 410, 492, 78 UNION ALL</v>
      </c>
      <c r="V461" s="6" t="str">
        <f ca="1">IF(R461&gt;0,"SELECT "&amp;COUNTIF($Q$1:$T460,"&gt;0")+COUNTIF($Q461:Q461,"&gt;0")+1&amp;", "&amp;$A461&amp;", "&amp;R461&amp;" UNION ALL","")</f>
        <v/>
      </c>
      <c r="W461" s="6" t="str">
        <f>IF(S461&gt;0,"SELECT "&amp;COUNTIF($Q$1:$T460,"&gt;0")+COUNTIF($Q461:R461,"&gt;0")+1&amp;", "&amp;$A461&amp;", "&amp;S461&amp;" UNION ALL","")</f>
        <v/>
      </c>
      <c r="X461" s="6" t="str">
        <f>IF(T461&gt;0,"SELECT "&amp;COUNTIF($Q$1:$T460,"&gt;0")+COUNTIF($Q461:S461,"&gt;0")+1&amp;", "&amp;$A461&amp;", "&amp;T461&amp;" UNION ALL","")</f>
        <v/>
      </c>
      <c r="Y461" s="5" t="str">
        <f t="shared" ca="1" si="39"/>
        <v>SELECT 410, 492, 78 UNION ALL</v>
      </c>
    </row>
    <row r="462" spans="1:25">
      <c r="A462" s="6">
        <f t="shared" si="36"/>
        <v>493</v>
      </c>
      <c r="B462" s="6" t="s">
        <v>1285</v>
      </c>
      <c r="C462" s="6">
        <v>1</v>
      </c>
      <c r="D462" s="6">
        <v>9</v>
      </c>
      <c r="L462" s="6" t="str">
        <f t="shared" si="35"/>
        <v>SELECT 493, N'Nagroda Nobla', 1, 9 UNION ALL</v>
      </c>
      <c r="M462" s="6" t="s">
        <v>1481</v>
      </c>
      <c r="Q462" s="6">
        <f t="shared" ca="1" si="40"/>
        <v>78</v>
      </c>
      <c r="R462" s="6">
        <f t="shared" ca="1" si="41"/>
        <v>0</v>
      </c>
      <c r="U462" s="6" t="str">
        <f ca="1">IF(Q462&gt;0,"SELECT "&amp;COUNTIF($Q$1:$T461,"&gt;0")+1&amp;", "&amp;$A462&amp;", "&amp;Q462&amp;" UNION ALL","")</f>
        <v>SELECT 411, 493, 78 UNION ALL</v>
      </c>
      <c r="V462" s="6" t="str">
        <f ca="1">IF(R462&gt;0,"SELECT "&amp;COUNTIF($Q$1:$T461,"&gt;0")+COUNTIF($Q462:Q462,"&gt;0")+1&amp;", "&amp;$A462&amp;", "&amp;R462&amp;" UNION ALL","")</f>
        <v/>
      </c>
      <c r="W462" s="6" t="str">
        <f>IF(S462&gt;0,"SELECT "&amp;COUNTIF($Q$1:$T461,"&gt;0")+COUNTIF($Q462:R462,"&gt;0")+1&amp;", "&amp;$A462&amp;", "&amp;S462&amp;" UNION ALL","")</f>
        <v/>
      </c>
      <c r="X462" s="6" t="str">
        <f>IF(T462&gt;0,"SELECT "&amp;COUNTIF($Q$1:$T461,"&gt;0")+COUNTIF($Q462:S462,"&gt;0")+1&amp;", "&amp;$A462&amp;", "&amp;T462&amp;" UNION ALL","")</f>
        <v/>
      </c>
      <c r="Y462" s="5" t="str">
        <f t="shared" ca="1" si="39"/>
        <v>SELECT 411, 493, 78 UNION ALL</v>
      </c>
    </row>
    <row r="463" spans="1:25">
      <c r="A463" s="6">
        <f t="shared" si="36"/>
        <v>494</v>
      </c>
      <c r="B463" s="6" t="s">
        <v>1286</v>
      </c>
      <c r="C463" s="6">
        <v>1</v>
      </c>
      <c r="D463" s="6">
        <v>10</v>
      </c>
      <c r="L463" s="6" t="str">
        <f t="shared" si="35"/>
        <v>SELECT 494, N'strażak', 1, 10 UNION ALL</v>
      </c>
      <c r="M463" s="6" t="s">
        <v>544</v>
      </c>
      <c r="Q463" s="6">
        <f t="shared" ca="1" si="40"/>
        <v>28</v>
      </c>
      <c r="R463" s="6">
        <f t="shared" ca="1" si="41"/>
        <v>0</v>
      </c>
      <c r="U463" s="6" t="str">
        <f ca="1">IF(Q463&gt;0,"SELECT "&amp;COUNTIF($Q$1:$T462,"&gt;0")+1&amp;", "&amp;$A463&amp;", "&amp;Q463&amp;" UNION ALL","")</f>
        <v>SELECT 412, 494, 28 UNION ALL</v>
      </c>
      <c r="V463" s="6" t="str">
        <f ca="1">IF(R463&gt;0,"SELECT "&amp;COUNTIF($Q$1:$T462,"&gt;0")+COUNTIF($Q463:Q463,"&gt;0")+1&amp;", "&amp;$A463&amp;", "&amp;R463&amp;" UNION ALL","")</f>
        <v/>
      </c>
      <c r="W463" s="6" t="str">
        <f>IF(S463&gt;0,"SELECT "&amp;COUNTIF($Q$1:$T462,"&gt;0")+COUNTIF($Q463:R463,"&gt;0")+1&amp;", "&amp;$A463&amp;", "&amp;S463&amp;" UNION ALL","")</f>
        <v/>
      </c>
      <c r="X463" s="6" t="str">
        <f>IF(T463&gt;0,"SELECT "&amp;COUNTIF($Q$1:$T462,"&gt;0")+COUNTIF($Q463:S463,"&gt;0")+1&amp;", "&amp;$A463&amp;", "&amp;T463&amp;" UNION ALL","")</f>
        <v/>
      </c>
      <c r="Y463" s="5" t="str">
        <f t="shared" ca="1" si="39"/>
        <v>SELECT 412, 494, 28 UNION ALL</v>
      </c>
    </row>
    <row r="464" spans="1:25">
      <c r="A464" s="6">
        <f t="shared" si="36"/>
        <v>495</v>
      </c>
      <c r="B464" s="6" t="s">
        <v>1287</v>
      </c>
      <c r="C464" s="6">
        <v>1</v>
      </c>
      <c r="D464" s="6">
        <v>9</v>
      </c>
      <c r="L464" s="6" t="str">
        <f t="shared" si="35"/>
        <v>SELECT 495, N'lekarz', 1, 9 UNION ALL</v>
      </c>
      <c r="M464" s="6" t="s">
        <v>544</v>
      </c>
      <c r="Q464" s="6">
        <f t="shared" ca="1" si="40"/>
        <v>28</v>
      </c>
      <c r="R464" s="6">
        <f t="shared" ca="1" si="41"/>
        <v>0</v>
      </c>
      <c r="U464" s="6" t="str">
        <f ca="1">IF(Q464&gt;0,"SELECT "&amp;COUNTIF($Q$1:$T463,"&gt;0")+1&amp;", "&amp;$A464&amp;", "&amp;Q464&amp;" UNION ALL","")</f>
        <v>SELECT 413, 495, 28 UNION ALL</v>
      </c>
      <c r="V464" s="6" t="str">
        <f ca="1">IF(R464&gt;0,"SELECT "&amp;COUNTIF($Q$1:$T463,"&gt;0")+COUNTIF($Q464:Q464,"&gt;0")+1&amp;", "&amp;$A464&amp;", "&amp;R464&amp;" UNION ALL","")</f>
        <v/>
      </c>
      <c r="W464" s="6" t="str">
        <f>IF(S464&gt;0,"SELECT "&amp;COUNTIF($Q$1:$T463,"&gt;0")+COUNTIF($Q464:R464,"&gt;0")+1&amp;", "&amp;$A464&amp;", "&amp;S464&amp;" UNION ALL","")</f>
        <v/>
      </c>
      <c r="X464" s="6" t="str">
        <f>IF(T464&gt;0,"SELECT "&amp;COUNTIF($Q$1:$T463,"&gt;0")+COUNTIF($Q464:S464,"&gt;0")+1&amp;", "&amp;$A464&amp;", "&amp;T464&amp;" UNION ALL","")</f>
        <v/>
      </c>
      <c r="Y464" s="5" t="str">
        <f t="shared" ca="1" si="39"/>
        <v>SELECT 413, 495, 28 UNION ALL</v>
      </c>
    </row>
    <row r="465" spans="1:25">
      <c r="A465" s="6">
        <f t="shared" si="36"/>
        <v>496</v>
      </c>
      <c r="B465" s="6" t="s">
        <v>1288</v>
      </c>
      <c r="C465" s="6">
        <v>1</v>
      </c>
      <c r="D465" s="6">
        <v>9</v>
      </c>
      <c r="L465" s="6" t="str">
        <f t="shared" si="35"/>
        <v>SELECT 496, N'policjant', 1, 9 UNION ALL</v>
      </c>
      <c r="M465" s="6" t="s">
        <v>544</v>
      </c>
      <c r="Q465" s="6">
        <f t="shared" ca="1" si="40"/>
        <v>28</v>
      </c>
      <c r="R465" s="6">
        <f t="shared" ca="1" si="41"/>
        <v>0</v>
      </c>
      <c r="U465" s="6" t="str">
        <f ca="1">IF(Q465&gt;0,"SELECT "&amp;COUNTIF($Q$1:$T464,"&gt;0")+1&amp;", "&amp;$A465&amp;", "&amp;Q465&amp;" UNION ALL","")</f>
        <v>SELECT 414, 496, 28 UNION ALL</v>
      </c>
      <c r="V465" s="6" t="str">
        <f ca="1">IF(R465&gt;0,"SELECT "&amp;COUNTIF($Q$1:$T464,"&gt;0")+COUNTIF($Q465:Q465,"&gt;0")+1&amp;", "&amp;$A465&amp;", "&amp;R465&amp;" UNION ALL","")</f>
        <v/>
      </c>
      <c r="W465" s="6" t="str">
        <f>IF(S465&gt;0,"SELECT "&amp;COUNTIF($Q$1:$T464,"&gt;0")+COUNTIF($Q465:R465,"&gt;0")+1&amp;", "&amp;$A465&amp;", "&amp;S465&amp;" UNION ALL","")</f>
        <v/>
      </c>
      <c r="X465" s="6" t="str">
        <f>IF(T465&gt;0,"SELECT "&amp;COUNTIF($Q$1:$T464,"&gt;0")+COUNTIF($Q465:S465,"&gt;0")+1&amp;", "&amp;$A465&amp;", "&amp;T465&amp;" UNION ALL","")</f>
        <v/>
      </c>
      <c r="Y465" s="5" t="str">
        <f t="shared" ca="1" si="39"/>
        <v>SELECT 414, 496, 28 UNION ALL</v>
      </c>
    </row>
    <row r="466" spans="1:25">
      <c r="A466" s="6">
        <f t="shared" si="36"/>
        <v>497</v>
      </c>
      <c r="B466" s="6" t="s">
        <v>1289</v>
      </c>
      <c r="C466" s="6">
        <v>1</v>
      </c>
      <c r="D466" s="6">
        <v>9</v>
      </c>
      <c r="L466" s="6" t="str">
        <f t="shared" si="35"/>
        <v>SELECT 497, N'nauczyciel', 1, 9 UNION ALL</v>
      </c>
      <c r="M466" s="6" t="s">
        <v>544</v>
      </c>
      <c r="Q466" s="6">
        <f t="shared" ca="1" si="40"/>
        <v>28</v>
      </c>
      <c r="R466" s="6">
        <f t="shared" ca="1" si="41"/>
        <v>0</v>
      </c>
      <c r="U466" s="6" t="str">
        <f ca="1">IF(Q466&gt;0,"SELECT "&amp;COUNTIF($Q$1:$T465,"&gt;0")+1&amp;", "&amp;$A466&amp;", "&amp;Q466&amp;" UNION ALL","")</f>
        <v>SELECT 415, 497, 28 UNION ALL</v>
      </c>
      <c r="V466" s="6" t="str">
        <f ca="1">IF(R466&gt;0,"SELECT "&amp;COUNTIF($Q$1:$T465,"&gt;0")+COUNTIF($Q466:Q466,"&gt;0")+1&amp;", "&amp;$A466&amp;", "&amp;R466&amp;" UNION ALL","")</f>
        <v/>
      </c>
      <c r="W466" s="6" t="str">
        <f>IF(S466&gt;0,"SELECT "&amp;COUNTIF($Q$1:$T465,"&gt;0")+COUNTIF($Q466:R466,"&gt;0")+1&amp;", "&amp;$A466&amp;", "&amp;S466&amp;" UNION ALL","")</f>
        <v/>
      </c>
      <c r="X466" s="6" t="str">
        <f>IF(T466&gt;0,"SELECT "&amp;COUNTIF($Q$1:$T465,"&gt;0")+COUNTIF($Q466:S466,"&gt;0")+1&amp;", "&amp;$A466&amp;", "&amp;T466&amp;" UNION ALL","")</f>
        <v/>
      </c>
      <c r="Y466" s="5" t="str">
        <f t="shared" ca="1" si="39"/>
        <v>SELECT 415, 497, 28 UNION ALL</v>
      </c>
    </row>
    <row r="467" spans="1:25">
      <c r="A467" s="6">
        <f t="shared" si="36"/>
        <v>498</v>
      </c>
      <c r="B467" s="6" t="s">
        <v>1290</v>
      </c>
      <c r="C467" s="6">
        <v>1</v>
      </c>
      <c r="D467" s="6">
        <v>9</v>
      </c>
      <c r="L467" s="6" t="str">
        <f t="shared" si="35"/>
        <v>SELECT 498, N'taksówkarz', 1, 9 UNION ALL</v>
      </c>
      <c r="M467" s="6" t="s">
        <v>544</v>
      </c>
      <c r="Q467" s="6">
        <f t="shared" ca="1" si="40"/>
        <v>28</v>
      </c>
      <c r="R467" s="6">
        <f t="shared" ca="1" si="41"/>
        <v>0</v>
      </c>
      <c r="U467" s="6" t="str">
        <f ca="1">IF(Q467&gt;0,"SELECT "&amp;COUNTIF($Q$1:$T466,"&gt;0")+1&amp;", "&amp;$A467&amp;", "&amp;Q467&amp;" UNION ALL","")</f>
        <v>SELECT 416, 498, 28 UNION ALL</v>
      </c>
      <c r="V467" s="6" t="str">
        <f ca="1">IF(R467&gt;0,"SELECT "&amp;COUNTIF($Q$1:$T466,"&gt;0")+COUNTIF($Q467:Q467,"&gt;0")+1&amp;", "&amp;$A467&amp;", "&amp;R467&amp;" UNION ALL","")</f>
        <v/>
      </c>
      <c r="W467" s="6" t="str">
        <f>IF(S467&gt;0,"SELECT "&amp;COUNTIF($Q$1:$T466,"&gt;0")+COUNTIF($Q467:R467,"&gt;0")+1&amp;", "&amp;$A467&amp;", "&amp;S467&amp;" UNION ALL","")</f>
        <v/>
      </c>
      <c r="X467" s="6" t="str">
        <f>IF(T467&gt;0,"SELECT "&amp;COUNTIF($Q$1:$T466,"&gt;0")+COUNTIF($Q467:S467,"&gt;0")+1&amp;", "&amp;$A467&amp;", "&amp;T467&amp;" UNION ALL","")</f>
        <v/>
      </c>
      <c r="Y467" s="5" t="str">
        <f t="shared" ca="1" si="39"/>
        <v>SELECT 416, 498, 28 UNION ALL</v>
      </c>
    </row>
    <row r="468" spans="1:25">
      <c r="A468" s="6">
        <f t="shared" si="36"/>
        <v>499</v>
      </c>
      <c r="B468" s="6" t="s">
        <v>1291</v>
      </c>
      <c r="C468" s="6">
        <v>1</v>
      </c>
      <c r="D468" s="6">
        <v>9</v>
      </c>
      <c r="L468" s="6" t="str">
        <f t="shared" si="35"/>
        <v>SELECT 499, N'kierowca', 1, 9 UNION ALL</v>
      </c>
      <c r="M468" s="6" t="s">
        <v>544</v>
      </c>
      <c r="Q468" s="6">
        <f t="shared" ca="1" si="40"/>
        <v>28</v>
      </c>
      <c r="R468" s="6">
        <f t="shared" ca="1" si="41"/>
        <v>0</v>
      </c>
      <c r="U468" s="6" t="str">
        <f ca="1">IF(Q468&gt;0,"SELECT "&amp;COUNTIF($Q$1:$T467,"&gt;0")+1&amp;", "&amp;$A468&amp;", "&amp;Q468&amp;" UNION ALL","")</f>
        <v>SELECT 417, 499, 28 UNION ALL</v>
      </c>
      <c r="V468" s="6" t="str">
        <f ca="1">IF(R468&gt;0,"SELECT "&amp;COUNTIF($Q$1:$T467,"&gt;0")+COUNTIF($Q468:Q468,"&gt;0")+1&amp;", "&amp;$A468&amp;", "&amp;R468&amp;" UNION ALL","")</f>
        <v/>
      </c>
      <c r="W468" s="6" t="str">
        <f>IF(S468&gt;0,"SELECT "&amp;COUNTIF($Q$1:$T467,"&gt;0")+COUNTIF($Q468:R468,"&gt;0")+1&amp;", "&amp;$A468&amp;", "&amp;S468&amp;" UNION ALL","")</f>
        <v/>
      </c>
      <c r="X468" s="6" t="str">
        <f>IF(T468&gt;0,"SELECT "&amp;COUNTIF($Q$1:$T467,"&gt;0")+COUNTIF($Q468:S468,"&gt;0")+1&amp;", "&amp;$A468&amp;", "&amp;T468&amp;" UNION ALL","")</f>
        <v/>
      </c>
      <c r="Y468" s="5" t="str">
        <f t="shared" ca="1" si="39"/>
        <v>SELECT 417, 499, 28 UNION ALL</v>
      </c>
    </row>
    <row r="469" spans="1:25">
      <c r="A469" s="6">
        <f t="shared" si="36"/>
        <v>500</v>
      </c>
      <c r="B469" s="6" t="s">
        <v>1292</v>
      </c>
      <c r="C469" s="6">
        <v>2</v>
      </c>
      <c r="D469" s="6">
        <v>7</v>
      </c>
      <c r="L469" s="6" t="str">
        <f t="shared" si="35"/>
        <v>SELECT 500, N'aplikować', 2, 7 UNION ALL</v>
      </c>
      <c r="Q469" s="6">
        <f t="shared" ca="1" si="40"/>
        <v>0</v>
      </c>
      <c r="R469" s="6">
        <f t="shared" ca="1" si="41"/>
        <v>0</v>
      </c>
      <c r="U469" s="6" t="str">
        <f ca="1">IF(Q469&gt;0,"SELECT "&amp;COUNTIF($Q$1:$T468,"&gt;0")+1&amp;", "&amp;$A469&amp;", "&amp;Q469&amp;" UNION ALL","")</f>
        <v/>
      </c>
      <c r="V469" s="6" t="str">
        <f ca="1">IF(R469&gt;0,"SELECT "&amp;COUNTIF($Q$1:$T468,"&gt;0")+COUNTIF($Q469:Q469,"&gt;0")+1&amp;", "&amp;$A469&amp;", "&amp;R469&amp;" UNION ALL","")</f>
        <v/>
      </c>
      <c r="W469" s="6" t="str">
        <f>IF(S469&gt;0,"SELECT "&amp;COUNTIF($Q$1:$T468,"&gt;0")+COUNTIF($Q469:R469,"&gt;0")+1&amp;", "&amp;$A469&amp;", "&amp;S469&amp;" UNION ALL","")</f>
        <v/>
      </c>
      <c r="X469" s="6" t="str">
        <f>IF(T469&gt;0,"SELECT "&amp;COUNTIF($Q$1:$T468,"&gt;0")+COUNTIF($Q469:S469,"&gt;0")+1&amp;", "&amp;$A469&amp;", "&amp;T469&amp;" UNION ALL","")</f>
        <v/>
      </c>
      <c r="Y469" s="5" t="str">
        <f t="shared" ca="1" si="39"/>
        <v/>
      </c>
    </row>
    <row r="470" spans="1:25">
      <c r="A470" s="6">
        <f t="shared" si="36"/>
        <v>501</v>
      </c>
      <c r="B470" s="6" t="s">
        <v>1293</v>
      </c>
      <c r="C470" s="6">
        <v>1</v>
      </c>
      <c r="D470" s="6">
        <v>10</v>
      </c>
      <c r="L470" s="6" t="str">
        <f t="shared" si="35"/>
        <v>SELECT 501, N'mieszkanie', 1, 10 UNION ALL</v>
      </c>
      <c r="M470" s="6"/>
      <c r="Q470" s="6">
        <f t="shared" ca="1" si="40"/>
        <v>0</v>
      </c>
      <c r="R470" s="6">
        <f t="shared" ca="1" si="41"/>
        <v>0</v>
      </c>
      <c r="U470" s="6" t="str">
        <f ca="1">IF(Q470&gt;0,"SELECT "&amp;COUNTIF($Q$1:$T469,"&gt;0")+1&amp;", "&amp;$A470&amp;", "&amp;Q470&amp;" UNION ALL","")</f>
        <v/>
      </c>
      <c r="V470" s="6" t="str">
        <f ca="1">IF(R470&gt;0,"SELECT "&amp;COUNTIF($Q$1:$T469,"&gt;0")+COUNTIF($Q470:Q470,"&gt;0")+1&amp;", "&amp;$A470&amp;", "&amp;R470&amp;" UNION ALL","")</f>
        <v/>
      </c>
      <c r="W470" s="6" t="str">
        <f>IF(S470&gt;0,"SELECT "&amp;COUNTIF($Q$1:$T469,"&gt;0")+COUNTIF($Q470:R470,"&gt;0")+1&amp;", "&amp;$A470&amp;", "&amp;S470&amp;" UNION ALL","")</f>
        <v/>
      </c>
      <c r="X470" s="6" t="str">
        <f>IF(T470&gt;0,"SELECT "&amp;COUNTIF($Q$1:$T469,"&gt;0")+COUNTIF($Q470:S470,"&gt;0")+1&amp;", "&amp;$A470&amp;", "&amp;T470&amp;" UNION ALL","")</f>
        <v/>
      </c>
      <c r="Y470" s="5" t="str">
        <f t="shared" ca="1" si="39"/>
        <v/>
      </c>
    </row>
    <row r="471" spans="1:25">
      <c r="A471" s="6">
        <f t="shared" si="36"/>
        <v>502</v>
      </c>
      <c r="B471" s="6" t="s">
        <v>1294</v>
      </c>
      <c r="C471" s="6">
        <v>1</v>
      </c>
      <c r="D471" s="6">
        <v>10</v>
      </c>
      <c r="L471" s="6" t="str">
        <f t="shared" si="35"/>
        <v>SELECT 502, N'pokój', 1, 10 UNION ALL</v>
      </c>
      <c r="M471" s="6"/>
      <c r="Q471" s="6">
        <f t="shared" ca="1" si="40"/>
        <v>0</v>
      </c>
      <c r="R471" s="6">
        <f t="shared" ca="1" si="41"/>
        <v>0</v>
      </c>
      <c r="U471" s="6" t="str">
        <f ca="1">IF(Q471&gt;0,"SELECT "&amp;COUNTIF($Q$1:$T470,"&gt;0")+1&amp;", "&amp;$A471&amp;", "&amp;Q471&amp;" UNION ALL","")</f>
        <v/>
      </c>
      <c r="V471" s="6" t="str">
        <f ca="1">IF(R471&gt;0,"SELECT "&amp;COUNTIF($Q$1:$T470,"&gt;0")+COUNTIF($Q471:Q471,"&gt;0")+1&amp;", "&amp;$A471&amp;", "&amp;R471&amp;" UNION ALL","")</f>
        <v/>
      </c>
      <c r="W471" s="6" t="str">
        <f>IF(S471&gt;0,"SELECT "&amp;COUNTIF($Q$1:$T470,"&gt;0")+COUNTIF($Q471:R471,"&gt;0")+1&amp;", "&amp;$A471&amp;", "&amp;S471&amp;" UNION ALL","")</f>
        <v/>
      </c>
      <c r="X471" s="6" t="str">
        <f>IF(T471&gt;0,"SELECT "&amp;COUNTIF($Q$1:$T470,"&gt;0")+COUNTIF($Q471:S471,"&gt;0")+1&amp;", "&amp;$A471&amp;", "&amp;T471&amp;" UNION ALL","")</f>
        <v/>
      </c>
      <c r="Y471" s="5" t="str">
        <f t="shared" ca="1" si="39"/>
        <v/>
      </c>
    </row>
    <row r="472" spans="1:25">
      <c r="A472" s="6">
        <f t="shared" si="36"/>
        <v>503</v>
      </c>
      <c r="B472" s="6" t="s">
        <v>1295</v>
      </c>
      <c r="C472" s="6">
        <v>2</v>
      </c>
      <c r="D472" s="6">
        <v>8</v>
      </c>
      <c r="L472" s="6" t="str">
        <f t="shared" si="35"/>
        <v>SELECT 503, N'przytrzasnąć', 2, 8 UNION ALL</v>
      </c>
      <c r="Q472" s="6">
        <f t="shared" ca="1" si="40"/>
        <v>0</v>
      </c>
      <c r="R472" s="6">
        <f t="shared" ca="1" si="41"/>
        <v>0</v>
      </c>
      <c r="U472" s="6" t="str">
        <f ca="1">IF(Q472&gt;0,"SELECT "&amp;COUNTIF($Q$1:$T471,"&gt;0")+1&amp;", "&amp;$A472&amp;", "&amp;Q472&amp;" UNION ALL","")</f>
        <v/>
      </c>
      <c r="V472" s="6" t="str">
        <f ca="1">IF(R472&gt;0,"SELECT "&amp;COUNTIF($Q$1:$T471,"&gt;0")+COUNTIF($Q472:Q472,"&gt;0")+1&amp;", "&amp;$A472&amp;", "&amp;R472&amp;" UNION ALL","")</f>
        <v/>
      </c>
      <c r="W472" s="6" t="str">
        <f>IF(S472&gt;0,"SELECT "&amp;COUNTIF($Q$1:$T471,"&gt;0")+COUNTIF($Q472:R472,"&gt;0")+1&amp;", "&amp;$A472&amp;", "&amp;S472&amp;" UNION ALL","")</f>
        <v/>
      </c>
      <c r="X472" s="6" t="str">
        <f>IF(T472&gt;0,"SELECT "&amp;COUNTIF($Q$1:$T471,"&gt;0")+COUNTIF($Q472:S472,"&gt;0")+1&amp;", "&amp;$A472&amp;", "&amp;T472&amp;" UNION ALL","")</f>
        <v/>
      </c>
      <c r="Y472" s="5" t="str">
        <f t="shared" ca="1" si="39"/>
        <v/>
      </c>
    </row>
    <row r="473" spans="1:25">
      <c r="A473" s="6">
        <f t="shared" si="36"/>
        <v>504</v>
      </c>
      <c r="B473" s="6" t="s">
        <v>1296</v>
      </c>
      <c r="C473" s="6">
        <v>1</v>
      </c>
      <c r="D473" s="6">
        <v>10</v>
      </c>
      <c r="L473" s="6" t="str">
        <f t="shared" ref="L473:L536" si="42">"SELECT "&amp;A473&amp;", N'"&amp;B473&amp;"', "&amp;C473&amp;", "&amp;D473&amp;" UNION ALL"</f>
        <v>SELECT 504, N'drzwi', 1, 10 UNION ALL</v>
      </c>
      <c r="M473" s="6" t="s">
        <v>550</v>
      </c>
      <c r="Q473" s="6">
        <f t="shared" ca="1" si="40"/>
        <v>72</v>
      </c>
      <c r="R473" s="6">
        <f t="shared" ca="1" si="41"/>
        <v>0</v>
      </c>
      <c r="U473" s="6" t="str">
        <f ca="1">IF(Q473&gt;0,"SELECT "&amp;COUNTIF($Q$1:$T472,"&gt;0")+1&amp;", "&amp;$A473&amp;", "&amp;Q473&amp;" UNION ALL","")</f>
        <v>SELECT 418, 504, 72 UNION ALL</v>
      </c>
      <c r="V473" s="6" t="str">
        <f ca="1">IF(R473&gt;0,"SELECT "&amp;COUNTIF($Q$1:$T472,"&gt;0")+COUNTIF($Q473:Q473,"&gt;0")+1&amp;", "&amp;$A473&amp;", "&amp;R473&amp;" UNION ALL","")</f>
        <v/>
      </c>
      <c r="W473" s="6" t="str">
        <f>IF(S473&gt;0,"SELECT "&amp;COUNTIF($Q$1:$T472,"&gt;0")+COUNTIF($Q473:R473,"&gt;0")+1&amp;", "&amp;$A473&amp;", "&amp;S473&amp;" UNION ALL","")</f>
        <v/>
      </c>
      <c r="X473" s="6" t="str">
        <f>IF(T473&gt;0,"SELECT "&amp;COUNTIF($Q$1:$T472,"&gt;0")+COUNTIF($Q473:S473,"&gt;0")+1&amp;", "&amp;$A473&amp;", "&amp;T473&amp;" UNION ALL","")</f>
        <v/>
      </c>
      <c r="Y473" s="5" t="str">
        <f t="shared" ca="1" si="39"/>
        <v>SELECT 418, 504, 72 UNION ALL</v>
      </c>
    </row>
    <row r="474" spans="1:25">
      <c r="A474" s="6">
        <f t="shared" si="36"/>
        <v>505</v>
      </c>
      <c r="B474" s="6" t="s">
        <v>1297</v>
      </c>
      <c r="C474" s="6">
        <v>1</v>
      </c>
      <c r="D474" s="6">
        <v>1</v>
      </c>
      <c r="L474" s="6" t="str">
        <f t="shared" si="42"/>
        <v>SELECT 505, N'okno', 1, 1 UNION ALL</v>
      </c>
      <c r="M474" s="6" t="s">
        <v>550</v>
      </c>
      <c r="Q474" s="6">
        <f t="shared" ca="1" si="40"/>
        <v>72</v>
      </c>
      <c r="R474" s="6">
        <f t="shared" ca="1" si="41"/>
        <v>0</v>
      </c>
      <c r="U474" s="6" t="str">
        <f ca="1">IF(Q474&gt;0,"SELECT "&amp;COUNTIF($Q$1:$T473,"&gt;0")+1&amp;", "&amp;$A474&amp;", "&amp;Q474&amp;" UNION ALL","")</f>
        <v>SELECT 419, 505, 72 UNION ALL</v>
      </c>
      <c r="V474" s="6" t="str">
        <f ca="1">IF(R474&gt;0,"SELECT "&amp;COUNTIF($Q$1:$T473,"&gt;0")+COUNTIF($Q474:Q474,"&gt;0")+1&amp;", "&amp;$A474&amp;", "&amp;R474&amp;" UNION ALL","")</f>
        <v/>
      </c>
      <c r="W474" s="6" t="str">
        <f>IF(S474&gt;0,"SELECT "&amp;COUNTIF($Q$1:$T473,"&gt;0")+COUNTIF($Q474:R474,"&gt;0")+1&amp;", "&amp;$A474&amp;", "&amp;S474&amp;" UNION ALL","")</f>
        <v/>
      </c>
      <c r="X474" s="6" t="str">
        <f>IF(T474&gt;0,"SELECT "&amp;COUNTIF($Q$1:$T473,"&gt;0")+COUNTIF($Q474:S474,"&gt;0")+1&amp;", "&amp;$A474&amp;", "&amp;T474&amp;" UNION ALL","")</f>
        <v/>
      </c>
      <c r="Y474" s="5" t="str">
        <f t="shared" ca="1" si="39"/>
        <v>SELECT 419, 505, 72 UNION ALL</v>
      </c>
    </row>
    <row r="475" spans="1:25">
      <c r="A475" s="6">
        <f t="shared" si="36"/>
        <v>506</v>
      </c>
      <c r="B475" s="6" t="s">
        <v>1298</v>
      </c>
      <c r="C475" s="6">
        <v>2</v>
      </c>
      <c r="D475" s="6">
        <v>10</v>
      </c>
      <c r="L475" s="6" t="str">
        <f t="shared" si="42"/>
        <v>SELECT 506, N'jeść', 2, 10 UNION ALL</v>
      </c>
      <c r="Q475" s="6">
        <f t="shared" ca="1" si="40"/>
        <v>0</v>
      </c>
      <c r="R475" s="6">
        <f t="shared" ca="1" si="41"/>
        <v>0</v>
      </c>
      <c r="U475" s="6" t="str">
        <f ca="1">IF(Q475&gt;0,"SELECT "&amp;COUNTIF($Q$1:$T474,"&gt;0")+1&amp;", "&amp;$A475&amp;", "&amp;Q475&amp;" UNION ALL","")</f>
        <v/>
      </c>
      <c r="V475" s="6" t="str">
        <f ca="1">IF(R475&gt;0,"SELECT "&amp;COUNTIF($Q$1:$T474,"&gt;0")+COUNTIF($Q475:Q475,"&gt;0")+1&amp;", "&amp;$A475&amp;", "&amp;R475&amp;" UNION ALL","")</f>
        <v/>
      </c>
      <c r="W475" s="6" t="str">
        <f>IF(S475&gt;0,"SELECT "&amp;COUNTIF($Q$1:$T474,"&gt;0")+COUNTIF($Q475:R475,"&gt;0")+1&amp;", "&amp;$A475&amp;", "&amp;S475&amp;" UNION ALL","")</f>
        <v/>
      </c>
      <c r="X475" s="6" t="str">
        <f>IF(T475&gt;0,"SELECT "&amp;COUNTIF($Q$1:$T474,"&gt;0")+COUNTIF($Q475:S475,"&gt;0")+1&amp;", "&amp;$A475&amp;", "&amp;T475&amp;" UNION ALL","")</f>
        <v/>
      </c>
      <c r="Y475" s="5" t="str">
        <f t="shared" ca="1" si="39"/>
        <v/>
      </c>
    </row>
    <row r="476" spans="1:25">
      <c r="A476" s="6">
        <f t="shared" si="36"/>
        <v>507</v>
      </c>
      <c r="B476" s="6" t="s">
        <v>1299</v>
      </c>
      <c r="C476" s="6">
        <v>1</v>
      </c>
      <c r="D476" s="6">
        <v>10</v>
      </c>
      <c r="L476" s="6" t="str">
        <f t="shared" si="42"/>
        <v>SELECT 507, N'śniadanie', 1, 10 UNION ALL</v>
      </c>
      <c r="M476" t="s">
        <v>1439</v>
      </c>
      <c r="Q476" s="6">
        <f t="shared" ca="1" si="40"/>
        <v>71</v>
      </c>
      <c r="R476" s="6">
        <f t="shared" ca="1" si="41"/>
        <v>0</v>
      </c>
      <c r="U476" s="6" t="str">
        <f ca="1">IF(Q476&gt;0,"SELECT "&amp;COUNTIF($Q$1:$T475,"&gt;0")+1&amp;", "&amp;$A476&amp;", "&amp;Q476&amp;" UNION ALL","")</f>
        <v>SELECT 420, 507, 71 UNION ALL</v>
      </c>
      <c r="V476" s="6" t="str">
        <f ca="1">IF(R476&gt;0,"SELECT "&amp;COUNTIF($Q$1:$T475,"&gt;0")+COUNTIF($Q476:Q476,"&gt;0")+1&amp;", "&amp;$A476&amp;", "&amp;R476&amp;" UNION ALL","")</f>
        <v/>
      </c>
      <c r="W476" s="6" t="str">
        <f>IF(S476&gt;0,"SELECT "&amp;COUNTIF($Q$1:$T475,"&gt;0")+COUNTIF($Q476:R476,"&gt;0")+1&amp;", "&amp;$A476&amp;", "&amp;S476&amp;" UNION ALL","")</f>
        <v/>
      </c>
      <c r="X476" s="6" t="str">
        <f>IF(T476&gt;0,"SELECT "&amp;COUNTIF($Q$1:$T475,"&gt;0")+COUNTIF($Q476:S476,"&gt;0")+1&amp;", "&amp;$A476&amp;", "&amp;T476&amp;" UNION ALL","")</f>
        <v/>
      </c>
      <c r="Y476" s="5" t="str">
        <f t="shared" ca="1" si="39"/>
        <v>SELECT 420, 507, 71 UNION ALL</v>
      </c>
    </row>
    <row r="477" spans="1:25">
      <c r="A477" s="6">
        <f t="shared" si="36"/>
        <v>508</v>
      </c>
      <c r="B477" s="6" t="s">
        <v>1300</v>
      </c>
      <c r="C477" s="6">
        <v>1</v>
      </c>
      <c r="D477" s="6">
        <v>10</v>
      </c>
      <c r="L477" s="6" t="str">
        <f t="shared" si="42"/>
        <v>SELECT 508, N'obiad', 1, 10 UNION ALL</v>
      </c>
      <c r="M477" s="6" t="s">
        <v>1439</v>
      </c>
      <c r="Q477" s="6">
        <f t="shared" ca="1" si="40"/>
        <v>71</v>
      </c>
      <c r="R477" s="6">
        <f t="shared" ca="1" si="41"/>
        <v>0</v>
      </c>
      <c r="U477" s="6" t="str">
        <f ca="1">IF(Q477&gt;0,"SELECT "&amp;COUNTIF($Q$1:$T476,"&gt;0")+1&amp;", "&amp;$A477&amp;", "&amp;Q477&amp;" UNION ALL","")</f>
        <v>SELECT 421, 508, 71 UNION ALL</v>
      </c>
      <c r="V477" s="6" t="str">
        <f ca="1">IF(R477&gt;0,"SELECT "&amp;COUNTIF($Q$1:$T476,"&gt;0")+COUNTIF($Q477:Q477,"&gt;0")+1&amp;", "&amp;$A477&amp;", "&amp;R477&amp;" UNION ALL","")</f>
        <v/>
      </c>
      <c r="W477" s="6" t="str">
        <f>IF(S477&gt;0,"SELECT "&amp;COUNTIF($Q$1:$T476,"&gt;0")+COUNTIF($Q477:R477,"&gt;0")+1&amp;", "&amp;$A477&amp;", "&amp;S477&amp;" UNION ALL","")</f>
        <v/>
      </c>
      <c r="X477" s="6" t="str">
        <f>IF(T477&gt;0,"SELECT "&amp;COUNTIF($Q$1:$T476,"&gt;0")+COUNTIF($Q477:S477,"&gt;0")+1&amp;", "&amp;$A477&amp;", "&amp;T477&amp;" UNION ALL","")</f>
        <v/>
      </c>
      <c r="Y477" s="5" t="str">
        <f t="shared" ca="1" si="39"/>
        <v>SELECT 421, 508, 71 UNION ALL</v>
      </c>
    </row>
    <row r="478" spans="1:25">
      <c r="A478" s="6">
        <f t="shared" si="36"/>
        <v>509</v>
      </c>
      <c r="B478" s="6" t="s">
        <v>1301</v>
      </c>
      <c r="C478" s="6">
        <v>2</v>
      </c>
      <c r="D478" s="6">
        <v>10</v>
      </c>
      <c r="L478" s="6" t="str">
        <f t="shared" si="42"/>
        <v>SELECT 509, N'żyć', 2, 10 UNION ALL</v>
      </c>
      <c r="Q478" s="6">
        <f t="shared" ca="1" si="40"/>
        <v>0</v>
      </c>
      <c r="R478" s="6">
        <f t="shared" ca="1" si="41"/>
        <v>0</v>
      </c>
      <c r="U478" s="6" t="str">
        <f ca="1">IF(Q478&gt;0,"SELECT "&amp;COUNTIF($Q$1:$T477,"&gt;0")+1&amp;", "&amp;$A478&amp;", "&amp;Q478&amp;" UNION ALL","")</f>
        <v/>
      </c>
      <c r="V478" s="6" t="str">
        <f ca="1">IF(R478&gt;0,"SELECT "&amp;COUNTIF($Q$1:$T477,"&gt;0")+COUNTIF($Q478:Q478,"&gt;0")+1&amp;", "&amp;$A478&amp;", "&amp;R478&amp;" UNION ALL","")</f>
        <v/>
      </c>
      <c r="W478" s="6" t="str">
        <f>IF(S478&gt;0,"SELECT "&amp;COUNTIF($Q$1:$T477,"&gt;0")+COUNTIF($Q478:R478,"&gt;0")+1&amp;", "&amp;$A478&amp;", "&amp;S478&amp;" UNION ALL","")</f>
        <v/>
      </c>
      <c r="X478" s="6" t="str">
        <f>IF(T478&gt;0,"SELECT "&amp;COUNTIF($Q$1:$T477,"&gt;0")+COUNTIF($Q478:S478,"&gt;0")+1&amp;", "&amp;$A478&amp;", "&amp;T478&amp;" UNION ALL","")</f>
        <v/>
      </c>
      <c r="Y478" s="5" t="str">
        <f t="shared" ca="1" si="39"/>
        <v/>
      </c>
    </row>
    <row r="479" spans="1:25">
      <c r="A479" s="6">
        <f t="shared" si="36"/>
        <v>510</v>
      </c>
      <c r="B479" s="6" t="s">
        <v>1302</v>
      </c>
      <c r="C479" s="6">
        <v>2</v>
      </c>
      <c r="D479" s="6">
        <v>10</v>
      </c>
      <c r="L479" s="6" t="str">
        <f t="shared" si="42"/>
        <v>SELECT 510, N'zaczynać', 2, 10 UNION ALL</v>
      </c>
      <c r="Q479" s="6">
        <f t="shared" ca="1" si="40"/>
        <v>0</v>
      </c>
      <c r="R479" s="6">
        <f t="shared" ca="1" si="41"/>
        <v>0</v>
      </c>
      <c r="U479" s="6" t="str">
        <f ca="1">IF(Q479&gt;0,"SELECT "&amp;COUNTIF($Q$1:$T478,"&gt;0")+1&amp;", "&amp;$A479&amp;", "&amp;Q479&amp;" UNION ALL","")</f>
        <v/>
      </c>
      <c r="V479" s="6" t="str">
        <f ca="1">IF(R479&gt;0,"SELECT "&amp;COUNTIF($Q$1:$T478,"&gt;0")+COUNTIF($Q479:Q479,"&gt;0")+1&amp;", "&amp;$A479&amp;", "&amp;R479&amp;" UNION ALL","")</f>
        <v/>
      </c>
      <c r="W479" s="6" t="str">
        <f>IF(S479&gt;0,"SELECT "&amp;COUNTIF($Q$1:$T478,"&gt;0")+COUNTIF($Q479:R479,"&gt;0")+1&amp;", "&amp;$A479&amp;", "&amp;S479&amp;" UNION ALL","")</f>
        <v/>
      </c>
      <c r="X479" s="6" t="str">
        <f>IF(T479&gt;0,"SELECT "&amp;COUNTIF($Q$1:$T478,"&gt;0")+COUNTIF($Q479:S479,"&gt;0")+1&amp;", "&amp;$A479&amp;", "&amp;T479&amp;" UNION ALL","")</f>
        <v/>
      </c>
      <c r="Y479" s="5" t="str">
        <f t="shared" ca="1" si="39"/>
        <v/>
      </c>
    </row>
    <row r="480" spans="1:25">
      <c r="A480" s="6">
        <f t="shared" si="36"/>
        <v>511</v>
      </c>
      <c r="B480" s="6" t="s">
        <v>1303</v>
      </c>
      <c r="C480" s="6">
        <v>2</v>
      </c>
      <c r="D480" s="6">
        <v>10</v>
      </c>
      <c r="L480" s="6" t="str">
        <f t="shared" si="42"/>
        <v>SELECT 511, N'tracić', 2, 10 UNION ALL</v>
      </c>
      <c r="Q480" s="6">
        <f t="shared" ca="1" si="40"/>
        <v>0</v>
      </c>
      <c r="R480" s="6">
        <f t="shared" ca="1" si="41"/>
        <v>0</v>
      </c>
      <c r="U480" s="6" t="str">
        <f ca="1">IF(Q480&gt;0,"SELECT "&amp;COUNTIF($Q$1:$T479,"&gt;0")+1&amp;", "&amp;$A480&amp;", "&amp;Q480&amp;" UNION ALL","")</f>
        <v/>
      </c>
      <c r="V480" s="6" t="str">
        <f ca="1">IF(R480&gt;0,"SELECT "&amp;COUNTIF($Q$1:$T479,"&gt;0")+COUNTIF($Q480:Q480,"&gt;0")+1&amp;", "&amp;$A480&amp;", "&amp;R480&amp;" UNION ALL","")</f>
        <v/>
      </c>
      <c r="W480" s="6" t="str">
        <f>IF(S480&gt;0,"SELECT "&amp;COUNTIF($Q$1:$T479,"&gt;0")+COUNTIF($Q480:R480,"&gt;0")+1&amp;", "&amp;$A480&amp;", "&amp;S480&amp;" UNION ALL","")</f>
        <v/>
      </c>
      <c r="X480" s="6" t="str">
        <f>IF(T480&gt;0,"SELECT "&amp;COUNTIF($Q$1:$T479,"&gt;0")+COUNTIF($Q480:S480,"&gt;0")+1&amp;", "&amp;$A480&amp;", "&amp;T480&amp;" UNION ALL","")</f>
        <v/>
      </c>
      <c r="Y480" s="5" t="str">
        <f t="shared" ca="1" si="39"/>
        <v/>
      </c>
    </row>
    <row r="481" spans="1:25">
      <c r="A481" s="6">
        <f t="shared" si="36"/>
        <v>512</v>
      </c>
      <c r="B481" s="6" t="s">
        <v>1304</v>
      </c>
      <c r="C481" s="6">
        <v>2</v>
      </c>
      <c r="D481" s="6">
        <v>10</v>
      </c>
      <c r="L481" s="6" t="str">
        <f t="shared" si="42"/>
        <v>SELECT 512, N'wiedzieć', 2, 10 UNION ALL</v>
      </c>
      <c r="Q481" s="6">
        <f t="shared" ca="1" si="40"/>
        <v>0</v>
      </c>
      <c r="R481" s="6">
        <f t="shared" ca="1" si="41"/>
        <v>0</v>
      </c>
      <c r="U481" s="6" t="str">
        <f ca="1">IF(Q481&gt;0,"SELECT "&amp;COUNTIF($Q$1:$T480,"&gt;0")+1&amp;", "&amp;$A481&amp;", "&amp;Q481&amp;" UNION ALL","")</f>
        <v/>
      </c>
      <c r="V481" s="6" t="str">
        <f ca="1">IF(R481&gt;0,"SELECT "&amp;COUNTIF($Q$1:$T480,"&gt;0")+COUNTIF($Q481:Q481,"&gt;0")+1&amp;", "&amp;$A481&amp;", "&amp;R481&amp;" UNION ALL","")</f>
        <v/>
      </c>
      <c r="W481" s="6" t="str">
        <f>IF(S481&gt;0,"SELECT "&amp;COUNTIF($Q$1:$T480,"&gt;0")+COUNTIF($Q481:R481,"&gt;0")+1&amp;", "&amp;$A481&amp;", "&amp;S481&amp;" UNION ALL","")</f>
        <v/>
      </c>
      <c r="X481" s="6" t="str">
        <f>IF(T481&gt;0,"SELECT "&amp;COUNTIF($Q$1:$T480,"&gt;0")+COUNTIF($Q481:S481,"&gt;0")+1&amp;", "&amp;$A481&amp;", "&amp;T481&amp;" UNION ALL","")</f>
        <v/>
      </c>
      <c r="Y481" s="5" t="str">
        <f t="shared" ca="1" si="39"/>
        <v/>
      </c>
    </row>
    <row r="482" spans="1:25">
      <c r="A482" s="6">
        <f t="shared" si="36"/>
        <v>513</v>
      </c>
      <c r="B482" s="6" t="s">
        <v>1305</v>
      </c>
      <c r="C482" s="6">
        <v>2</v>
      </c>
      <c r="D482" s="6">
        <v>7</v>
      </c>
      <c r="L482" s="6" t="str">
        <f t="shared" si="42"/>
        <v>SELECT 513, N'stresować', 2, 7 UNION ALL</v>
      </c>
      <c r="Q482" s="6">
        <f t="shared" ca="1" si="40"/>
        <v>0</v>
      </c>
      <c r="R482" s="6">
        <f t="shared" ca="1" si="41"/>
        <v>0</v>
      </c>
      <c r="U482" s="6" t="str">
        <f ca="1">IF(Q482&gt;0,"SELECT "&amp;COUNTIF($Q$1:$T481,"&gt;0")+1&amp;", "&amp;$A482&amp;", "&amp;Q482&amp;" UNION ALL","")</f>
        <v/>
      </c>
      <c r="V482" s="6" t="str">
        <f ca="1">IF(R482&gt;0,"SELECT "&amp;COUNTIF($Q$1:$T481,"&gt;0")+COUNTIF($Q482:Q482,"&gt;0")+1&amp;", "&amp;$A482&amp;", "&amp;R482&amp;" UNION ALL","")</f>
        <v/>
      </c>
      <c r="W482" s="6" t="str">
        <f>IF(S482&gt;0,"SELECT "&amp;COUNTIF($Q$1:$T481,"&gt;0")+COUNTIF($Q482:R482,"&gt;0")+1&amp;", "&amp;$A482&amp;", "&amp;S482&amp;" UNION ALL","")</f>
        <v/>
      </c>
      <c r="X482" s="6" t="str">
        <f>IF(T482&gt;0,"SELECT "&amp;COUNTIF($Q$1:$T481,"&gt;0")+COUNTIF($Q482:S482,"&gt;0")+1&amp;", "&amp;$A482&amp;", "&amp;T482&amp;" UNION ALL","")</f>
        <v/>
      </c>
      <c r="Y482" s="5" t="str">
        <f t="shared" ca="1" si="39"/>
        <v/>
      </c>
    </row>
    <row r="483" spans="1:25">
      <c r="A483" s="6">
        <f t="shared" si="36"/>
        <v>514</v>
      </c>
      <c r="B483" s="6" t="s">
        <v>1306</v>
      </c>
      <c r="C483" s="6">
        <v>2</v>
      </c>
      <c r="D483" s="6">
        <v>8</v>
      </c>
      <c r="L483" s="6" t="str">
        <f t="shared" si="42"/>
        <v>SELECT 514, N'głosować', 2, 8 UNION ALL</v>
      </c>
      <c r="Q483" s="6">
        <f t="shared" ca="1" si="40"/>
        <v>0</v>
      </c>
      <c r="R483" s="6">
        <f t="shared" ca="1" si="41"/>
        <v>0</v>
      </c>
      <c r="U483" s="6" t="str">
        <f ca="1">IF(Q483&gt;0,"SELECT "&amp;COUNTIF($Q$1:$T482,"&gt;0")+1&amp;", "&amp;$A483&amp;", "&amp;Q483&amp;" UNION ALL","")</f>
        <v/>
      </c>
      <c r="V483" s="6" t="str">
        <f ca="1">IF(R483&gt;0,"SELECT "&amp;COUNTIF($Q$1:$T482,"&gt;0")+COUNTIF($Q483:Q483,"&gt;0")+1&amp;", "&amp;$A483&amp;", "&amp;R483&amp;" UNION ALL","")</f>
        <v/>
      </c>
      <c r="W483" s="6" t="str">
        <f>IF(S483&gt;0,"SELECT "&amp;COUNTIF($Q$1:$T482,"&gt;0")+COUNTIF($Q483:R483,"&gt;0")+1&amp;", "&amp;$A483&amp;", "&amp;S483&amp;" UNION ALL","")</f>
        <v/>
      </c>
      <c r="X483" s="6" t="str">
        <f>IF(T483&gt;0,"SELECT "&amp;COUNTIF($Q$1:$T482,"&gt;0")+COUNTIF($Q483:S483,"&gt;0")+1&amp;", "&amp;$A483&amp;", "&amp;T483&amp;" UNION ALL","")</f>
        <v/>
      </c>
      <c r="Y483" s="5" t="str">
        <f t="shared" ca="1" si="39"/>
        <v/>
      </c>
    </row>
    <row r="484" spans="1:25">
      <c r="A484" s="6">
        <f t="shared" si="36"/>
        <v>515</v>
      </c>
      <c r="B484" s="6" t="s">
        <v>1307</v>
      </c>
      <c r="C484" s="6">
        <v>2</v>
      </c>
      <c r="D484" s="6">
        <v>10</v>
      </c>
      <c r="L484" s="6" t="str">
        <f t="shared" si="42"/>
        <v>SELECT 515, N'ginąć', 2, 10 UNION ALL</v>
      </c>
      <c r="Q484" s="6">
        <f t="shared" ca="1" si="40"/>
        <v>0</v>
      </c>
      <c r="R484" s="6">
        <f t="shared" ca="1" si="41"/>
        <v>0</v>
      </c>
      <c r="U484" s="6" t="str">
        <f ca="1">IF(Q484&gt;0,"SELECT "&amp;COUNTIF($Q$1:$T483,"&gt;0")+1&amp;", "&amp;$A484&amp;", "&amp;Q484&amp;" UNION ALL","")</f>
        <v/>
      </c>
      <c r="V484" s="6" t="str">
        <f ca="1">IF(R484&gt;0,"SELECT "&amp;COUNTIF($Q$1:$T483,"&gt;0")+COUNTIF($Q484:Q484,"&gt;0")+1&amp;", "&amp;$A484&amp;", "&amp;R484&amp;" UNION ALL","")</f>
        <v/>
      </c>
      <c r="W484" s="6" t="str">
        <f>IF(S484&gt;0,"SELECT "&amp;COUNTIF($Q$1:$T483,"&gt;0")+COUNTIF($Q484:R484,"&gt;0")+1&amp;", "&amp;$A484&amp;", "&amp;S484&amp;" UNION ALL","")</f>
        <v/>
      </c>
      <c r="X484" s="6" t="str">
        <f>IF(T484&gt;0,"SELECT "&amp;COUNTIF($Q$1:$T483,"&gt;0")+COUNTIF($Q484:S484,"&gt;0")+1&amp;", "&amp;$A484&amp;", "&amp;T484&amp;" UNION ALL","")</f>
        <v/>
      </c>
      <c r="Y484" s="5" t="str">
        <f t="shared" ca="1" si="39"/>
        <v/>
      </c>
    </row>
    <row r="485" spans="1:25">
      <c r="A485" s="6">
        <f t="shared" si="36"/>
        <v>516</v>
      </c>
      <c r="B485" s="6" t="s">
        <v>1308</v>
      </c>
      <c r="C485" s="6">
        <v>3</v>
      </c>
      <c r="D485" s="6">
        <v>10</v>
      </c>
      <c r="L485" s="6" t="str">
        <f t="shared" si="42"/>
        <v>SELECT 516, N'ten', 3, 10 UNION ALL</v>
      </c>
      <c r="Q485" s="6">
        <f t="shared" ca="1" si="40"/>
        <v>0</v>
      </c>
      <c r="R485" s="6">
        <f t="shared" ca="1" si="41"/>
        <v>0</v>
      </c>
      <c r="U485" s="6" t="str">
        <f ca="1">IF(Q485&gt;0,"SELECT "&amp;COUNTIF($Q$1:$T484,"&gt;0")+1&amp;", "&amp;$A485&amp;", "&amp;Q485&amp;" UNION ALL","")</f>
        <v/>
      </c>
      <c r="V485" s="6" t="str">
        <f ca="1">IF(R485&gt;0,"SELECT "&amp;COUNTIF($Q$1:$T484,"&gt;0")+COUNTIF($Q485:Q485,"&gt;0")+1&amp;", "&amp;$A485&amp;", "&amp;R485&amp;" UNION ALL","")</f>
        <v/>
      </c>
      <c r="W485" s="6" t="str">
        <f>IF(S485&gt;0,"SELECT "&amp;COUNTIF($Q$1:$T484,"&gt;0")+COUNTIF($Q485:R485,"&gt;0")+1&amp;", "&amp;$A485&amp;", "&amp;S485&amp;" UNION ALL","")</f>
        <v/>
      </c>
      <c r="X485" s="6" t="str">
        <f>IF(T485&gt;0,"SELECT "&amp;COUNTIF($Q$1:$T484,"&gt;0")+COUNTIF($Q485:S485,"&gt;0")+1&amp;", "&amp;$A485&amp;", "&amp;T485&amp;" UNION ALL","")</f>
        <v/>
      </c>
      <c r="Y485" s="5" t="str">
        <f t="shared" ca="1" si="39"/>
        <v/>
      </c>
    </row>
    <row r="486" spans="1:25">
      <c r="A486" s="6">
        <f t="shared" si="36"/>
        <v>517</v>
      </c>
      <c r="B486" s="6" t="s">
        <v>1309</v>
      </c>
      <c r="C486" s="6">
        <v>1</v>
      </c>
      <c r="D486" s="6">
        <v>10</v>
      </c>
      <c r="L486" s="6" t="str">
        <f t="shared" si="42"/>
        <v>SELECT 517, N'dom', 1, 10 UNION ALL</v>
      </c>
      <c r="M486" t="s">
        <v>1438</v>
      </c>
      <c r="N486" s="6"/>
      <c r="Q486" s="6">
        <f t="shared" ca="1" si="40"/>
        <v>0</v>
      </c>
      <c r="R486" s="6">
        <f t="shared" ca="1" si="41"/>
        <v>0</v>
      </c>
      <c r="U486" s="6" t="str">
        <f ca="1">IF(Q486&gt;0,"SELECT "&amp;COUNTIF($Q$1:$T485,"&gt;0")+1&amp;", "&amp;$A486&amp;", "&amp;Q486&amp;" UNION ALL","")</f>
        <v/>
      </c>
      <c r="V486" s="6" t="str">
        <f ca="1">IF(R486&gt;0,"SELECT "&amp;COUNTIF($Q$1:$T485,"&gt;0")+COUNTIF($Q486:Q486,"&gt;0")+1&amp;", "&amp;$A486&amp;", "&amp;R486&amp;" UNION ALL","")</f>
        <v/>
      </c>
      <c r="W486" s="6" t="str">
        <f>IF(S486&gt;0,"SELECT "&amp;COUNTIF($Q$1:$T485,"&gt;0")+COUNTIF($Q486:R486,"&gt;0")+1&amp;", "&amp;$A486&amp;", "&amp;S486&amp;" UNION ALL","")</f>
        <v/>
      </c>
      <c r="X486" s="6" t="str">
        <f>IF(T486&gt;0,"SELECT "&amp;COUNTIF($Q$1:$T485,"&gt;0")+COUNTIF($Q486:S486,"&gt;0")+1&amp;", "&amp;$A486&amp;", "&amp;T486&amp;" UNION ALL","")</f>
        <v/>
      </c>
      <c r="Y486" s="5" t="str">
        <f t="shared" ca="1" si="39"/>
        <v/>
      </c>
    </row>
    <row r="487" spans="1:25">
      <c r="A487" s="6">
        <f t="shared" si="36"/>
        <v>518</v>
      </c>
      <c r="B487" s="6" t="s">
        <v>1310</v>
      </c>
      <c r="C487" s="6">
        <v>2</v>
      </c>
      <c r="D487" s="6">
        <v>10</v>
      </c>
      <c r="L487" s="6" t="str">
        <f t="shared" si="42"/>
        <v>SELECT 518, N'chodzić', 2, 10 UNION ALL</v>
      </c>
      <c r="Q487" s="6">
        <f t="shared" ca="1" si="40"/>
        <v>0</v>
      </c>
      <c r="R487" s="6">
        <f t="shared" ca="1" si="41"/>
        <v>0</v>
      </c>
      <c r="U487" s="6" t="str">
        <f ca="1">IF(Q487&gt;0,"SELECT "&amp;COUNTIF($Q$1:$T486,"&gt;0")+1&amp;", "&amp;$A487&amp;", "&amp;Q487&amp;" UNION ALL","")</f>
        <v/>
      </c>
      <c r="V487" s="6" t="str">
        <f ca="1">IF(R487&gt;0,"SELECT "&amp;COUNTIF($Q$1:$T486,"&gt;0")+COUNTIF($Q487:Q487,"&gt;0")+1&amp;", "&amp;$A487&amp;", "&amp;R487&amp;" UNION ALL","")</f>
        <v/>
      </c>
      <c r="W487" s="6" t="str">
        <f>IF(S487&gt;0,"SELECT "&amp;COUNTIF($Q$1:$T486,"&gt;0")+COUNTIF($Q487:R487,"&gt;0")+1&amp;", "&amp;$A487&amp;", "&amp;S487&amp;" UNION ALL","")</f>
        <v/>
      </c>
      <c r="X487" s="6" t="str">
        <f>IF(T487&gt;0,"SELECT "&amp;COUNTIF($Q$1:$T486,"&gt;0")+COUNTIF($Q487:S487,"&gt;0")+1&amp;", "&amp;$A487&amp;", "&amp;T487&amp;" UNION ALL","")</f>
        <v/>
      </c>
      <c r="Y487" s="5" t="str">
        <f t="shared" ca="1" si="39"/>
        <v/>
      </c>
    </row>
    <row r="488" spans="1:25" ht="30">
      <c r="A488" s="6">
        <f t="shared" si="36"/>
        <v>519</v>
      </c>
      <c r="B488" s="6" t="s">
        <v>1311</v>
      </c>
      <c r="C488" s="6">
        <v>1</v>
      </c>
      <c r="D488" s="6">
        <v>9</v>
      </c>
      <c r="L488" s="6" t="str">
        <f t="shared" si="42"/>
        <v>SELECT 519, N'brzeg', 1, 9 UNION ALL</v>
      </c>
      <c r="M488" s="6" t="s">
        <v>1423</v>
      </c>
      <c r="N488" s="6" t="s">
        <v>1423</v>
      </c>
      <c r="Q488" s="6">
        <f t="shared" ca="1" si="40"/>
        <v>63</v>
      </c>
      <c r="R488" s="6">
        <f t="shared" ca="1" si="41"/>
        <v>63</v>
      </c>
      <c r="U488" s="6" t="str">
        <f ca="1">IF(Q488&gt;0,"SELECT "&amp;COUNTIF($Q$1:$T487,"&gt;0")+1&amp;", "&amp;$A488&amp;", "&amp;Q488&amp;" UNION ALL","")</f>
        <v>SELECT 422, 519, 63 UNION ALL</v>
      </c>
      <c r="V488" s="6" t="str">
        <f ca="1">IF(R488&gt;0,"SELECT "&amp;COUNTIF($Q$1:$T487,"&gt;0")+COUNTIF($Q488:Q488,"&gt;0")+1&amp;", "&amp;$A488&amp;", "&amp;R488&amp;" UNION ALL","")</f>
        <v>SELECT 423, 519, 63 UNION ALL</v>
      </c>
      <c r="W488" s="6" t="str">
        <f>IF(S488&gt;0,"SELECT "&amp;COUNTIF($Q$1:$T487,"&gt;0")+COUNTIF($Q488:R488,"&gt;0")+1&amp;", "&amp;$A488&amp;", "&amp;S488&amp;" UNION ALL","")</f>
        <v/>
      </c>
      <c r="X488" s="6" t="str">
        <f>IF(T488&gt;0,"SELECT "&amp;COUNTIF($Q$1:$T487,"&gt;0")+COUNTIF($Q488:S488,"&gt;0")+1&amp;", "&amp;$A488&amp;", "&amp;T488&amp;" UNION ALL","")</f>
        <v/>
      </c>
      <c r="Y488" s="5" t="str">
        <f t="shared" ca="1" si="39"/>
        <v>SELECT 422, 519, 63 UNION ALL
SELECT 423, 519, 63 UNION ALL</v>
      </c>
    </row>
    <row r="489" spans="1:25">
      <c r="A489" s="6">
        <f t="shared" ref="A489:A552" si="43">A488+1</f>
        <v>520</v>
      </c>
      <c r="B489" s="6" t="s">
        <v>1312</v>
      </c>
      <c r="C489" s="6">
        <v>2</v>
      </c>
      <c r="D489" s="6">
        <v>10</v>
      </c>
      <c r="L489" s="6" t="str">
        <f t="shared" si="42"/>
        <v>SELECT 520, N'pójść', 2, 10 UNION ALL</v>
      </c>
      <c r="Q489" s="6">
        <f t="shared" ca="1" si="40"/>
        <v>0</v>
      </c>
      <c r="R489" s="6">
        <f t="shared" ca="1" si="41"/>
        <v>0</v>
      </c>
      <c r="U489" s="6" t="str">
        <f ca="1">IF(Q489&gt;0,"SELECT "&amp;COUNTIF($Q$1:$T488,"&gt;0")+1&amp;", "&amp;$A489&amp;", "&amp;Q489&amp;" UNION ALL","")</f>
        <v/>
      </c>
      <c r="V489" s="6" t="str">
        <f ca="1">IF(R489&gt;0,"SELECT "&amp;COUNTIF($Q$1:$T488,"&gt;0")+COUNTIF($Q489:Q489,"&gt;0")+1&amp;", "&amp;$A489&amp;", "&amp;R489&amp;" UNION ALL","")</f>
        <v/>
      </c>
      <c r="W489" s="6" t="str">
        <f>IF(S489&gt;0,"SELECT "&amp;COUNTIF($Q$1:$T488,"&gt;0")+COUNTIF($Q489:R489,"&gt;0")+1&amp;", "&amp;$A489&amp;", "&amp;S489&amp;" UNION ALL","")</f>
        <v/>
      </c>
      <c r="X489" s="6" t="str">
        <f>IF(T489&gt;0,"SELECT "&amp;COUNTIF($Q$1:$T488,"&gt;0")+COUNTIF($Q489:S489,"&gt;0")+1&amp;", "&amp;$A489&amp;", "&amp;T489&amp;" UNION ALL","")</f>
        <v/>
      </c>
      <c r="Y489" s="5" t="str">
        <f t="shared" ca="1" si="39"/>
        <v/>
      </c>
    </row>
    <row r="490" spans="1:25">
      <c r="A490" s="6">
        <f t="shared" si="43"/>
        <v>521</v>
      </c>
      <c r="B490" s="6" t="s">
        <v>1313</v>
      </c>
      <c r="C490" s="6">
        <v>2</v>
      </c>
      <c r="D490" s="6">
        <v>10</v>
      </c>
      <c r="L490" s="6" t="str">
        <f t="shared" si="42"/>
        <v>SELECT 521, N'ukrywać', 2, 10 UNION ALL</v>
      </c>
      <c r="Q490" s="6">
        <f t="shared" ca="1" si="40"/>
        <v>0</v>
      </c>
      <c r="R490" s="6">
        <f t="shared" ca="1" si="41"/>
        <v>0</v>
      </c>
      <c r="U490" s="6" t="str">
        <f ca="1">IF(Q490&gt;0,"SELECT "&amp;COUNTIF($Q$1:$T489,"&gt;0")+1&amp;", "&amp;$A490&amp;", "&amp;Q490&amp;" UNION ALL","")</f>
        <v/>
      </c>
      <c r="V490" s="6" t="str">
        <f ca="1">IF(R490&gt;0,"SELECT "&amp;COUNTIF($Q$1:$T489,"&gt;0")+COUNTIF($Q490:Q490,"&gt;0")+1&amp;", "&amp;$A490&amp;", "&amp;R490&amp;" UNION ALL","")</f>
        <v/>
      </c>
      <c r="W490" s="6" t="str">
        <f>IF(S490&gt;0,"SELECT "&amp;COUNTIF($Q$1:$T489,"&gt;0")+COUNTIF($Q490:R490,"&gt;0")+1&amp;", "&amp;$A490&amp;", "&amp;S490&amp;" UNION ALL","")</f>
        <v/>
      </c>
      <c r="X490" s="6" t="str">
        <f>IF(T490&gt;0,"SELECT "&amp;COUNTIF($Q$1:$T489,"&gt;0")+COUNTIF($Q490:S490,"&gt;0")+1&amp;", "&amp;$A490&amp;", "&amp;T490&amp;" UNION ALL","")</f>
        <v/>
      </c>
      <c r="Y490" s="5" t="str">
        <f t="shared" ca="1" si="39"/>
        <v/>
      </c>
    </row>
    <row r="491" spans="1:25">
      <c r="A491" s="6">
        <f t="shared" si="43"/>
        <v>522</v>
      </c>
      <c r="B491" s="6" t="s">
        <v>1314</v>
      </c>
      <c r="C491" s="6">
        <v>2</v>
      </c>
      <c r="D491" s="6">
        <v>1</v>
      </c>
      <c r="L491" s="6" t="str">
        <f t="shared" si="42"/>
        <v>SELECT 522, N'iść', 2, 1 UNION ALL</v>
      </c>
      <c r="Q491" s="6">
        <f t="shared" ca="1" si="40"/>
        <v>0</v>
      </c>
      <c r="R491" s="6">
        <f t="shared" ca="1" si="41"/>
        <v>0</v>
      </c>
      <c r="U491" s="6" t="str">
        <f ca="1">IF(Q491&gt;0,"SELECT "&amp;COUNTIF($Q$1:$T490,"&gt;0")+1&amp;", "&amp;$A491&amp;", "&amp;Q491&amp;" UNION ALL","")</f>
        <v/>
      </c>
      <c r="V491" s="6" t="str">
        <f ca="1">IF(R491&gt;0,"SELECT "&amp;COUNTIF($Q$1:$T490,"&gt;0")+COUNTIF($Q491:Q491,"&gt;0")+1&amp;", "&amp;$A491&amp;", "&amp;R491&amp;" UNION ALL","")</f>
        <v/>
      </c>
      <c r="W491" s="6" t="str">
        <f>IF(S491&gt;0,"SELECT "&amp;COUNTIF($Q$1:$T490,"&gt;0")+COUNTIF($Q491:R491,"&gt;0")+1&amp;", "&amp;$A491&amp;", "&amp;S491&amp;" UNION ALL","")</f>
        <v/>
      </c>
      <c r="X491" s="6" t="str">
        <f>IF(T491&gt;0,"SELECT "&amp;COUNTIF($Q$1:$T490,"&gt;0")+COUNTIF($Q491:S491,"&gt;0")+1&amp;", "&amp;$A491&amp;", "&amp;T491&amp;" UNION ALL","")</f>
        <v/>
      </c>
      <c r="Y491" s="5" t="str">
        <f t="shared" ca="1" si="39"/>
        <v/>
      </c>
    </row>
    <row r="492" spans="1:25">
      <c r="A492" s="6">
        <f t="shared" si="43"/>
        <v>523</v>
      </c>
      <c r="B492" s="6" t="s">
        <v>1315</v>
      </c>
      <c r="C492" s="6">
        <v>2</v>
      </c>
      <c r="D492" s="6">
        <v>10</v>
      </c>
      <c r="L492" s="6" t="str">
        <f t="shared" si="42"/>
        <v>SELECT 523, N'zapewniać', 2, 10 UNION ALL</v>
      </c>
      <c r="Q492" s="6">
        <f t="shared" ca="1" si="40"/>
        <v>0</v>
      </c>
      <c r="R492" s="6">
        <f t="shared" ca="1" si="41"/>
        <v>0</v>
      </c>
      <c r="U492" s="6" t="str">
        <f ca="1">IF(Q492&gt;0,"SELECT "&amp;COUNTIF($Q$1:$T491,"&gt;0")+1&amp;", "&amp;$A492&amp;", "&amp;Q492&amp;" UNION ALL","")</f>
        <v/>
      </c>
      <c r="V492" s="6" t="str">
        <f ca="1">IF(R492&gt;0,"SELECT "&amp;COUNTIF($Q$1:$T491,"&gt;0")+COUNTIF($Q492:Q492,"&gt;0")+1&amp;", "&amp;$A492&amp;", "&amp;R492&amp;" UNION ALL","")</f>
        <v/>
      </c>
      <c r="W492" s="6" t="str">
        <f>IF(S492&gt;0,"SELECT "&amp;COUNTIF($Q$1:$T491,"&gt;0")+COUNTIF($Q492:R492,"&gt;0")+1&amp;", "&amp;$A492&amp;", "&amp;S492&amp;" UNION ALL","")</f>
        <v/>
      </c>
      <c r="X492" s="6" t="str">
        <f>IF(T492&gt;0,"SELECT "&amp;COUNTIF($Q$1:$T491,"&gt;0")+COUNTIF($Q492:S492,"&gt;0")+1&amp;", "&amp;$A492&amp;", "&amp;T492&amp;" UNION ALL","")</f>
        <v/>
      </c>
      <c r="Y492" s="5" t="str">
        <f t="shared" ca="1" si="39"/>
        <v/>
      </c>
    </row>
    <row r="493" spans="1:25">
      <c r="A493" s="6">
        <f t="shared" si="43"/>
        <v>524</v>
      </c>
      <c r="B493" s="6" t="s">
        <v>1316</v>
      </c>
      <c r="C493" s="6">
        <v>2</v>
      </c>
      <c r="D493" s="6">
        <v>10</v>
      </c>
      <c r="L493" s="6" t="str">
        <f t="shared" si="42"/>
        <v>SELECT 524, N'siedzieć', 2, 10 UNION ALL</v>
      </c>
      <c r="Q493" s="6">
        <f t="shared" ca="1" si="40"/>
        <v>0</v>
      </c>
      <c r="R493" s="6">
        <f t="shared" ca="1" si="41"/>
        <v>0</v>
      </c>
      <c r="U493" s="6" t="str">
        <f ca="1">IF(Q493&gt;0,"SELECT "&amp;COUNTIF($Q$1:$T492,"&gt;0")+1&amp;", "&amp;$A493&amp;", "&amp;Q493&amp;" UNION ALL","")</f>
        <v/>
      </c>
      <c r="V493" s="6" t="str">
        <f ca="1">IF(R493&gt;0,"SELECT "&amp;COUNTIF($Q$1:$T492,"&gt;0")+COUNTIF($Q493:Q493,"&gt;0")+1&amp;", "&amp;$A493&amp;", "&amp;R493&amp;" UNION ALL","")</f>
        <v/>
      </c>
      <c r="W493" s="6" t="str">
        <f>IF(S493&gt;0,"SELECT "&amp;COUNTIF($Q$1:$T492,"&gt;0")+COUNTIF($Q493:R493,"&gt;0")+1&amp;", "&amp;$A493&amp;", "&amp;S493&amp;" UNION ALL","")</f>
        <v/>
      </c>
      <c r="X493" s="6" t="str">
        <f>IF(T493&gt;0,"SELECT "&amp;COUNTIF($Q$1:$T492,"&gt;0")+COUNTIF($Q493:S493,"&gt;0")+1&amp;", "&amp;$A493&amp;", "&amp;T493&amp;" UNION ALL","")</f>
        <v/>
      </c>
      <c r="Y493" s="5" t="str">
        <f t="shared" ca="1" si="39"/>
        <v/>
      </c>
    </row>
    <row r="494" spans="1:25">
      <c r="A494" s="6">
        <f t="shared" si="43"/>
        <v>525</v>
      </c>
      <c r="B494" s="6" t="s">
        <v>1317</v>
      </c>
      <c r="C494" s="6">
        <v>2</v>
      </c>
      <c r="D494" s="6">
        <v>10</v>
      </c>
      <c r="L494" s="6" t="str">
        <f t="shared" si="42"/>
        <v>SELECT 525, N'powinien', 2, 10 UNION ALL</v>
      </c>
      <c r="Q494" s="6">
        <f t="shared" ca="1" si="40"/>
        <v>0</v>
      </c>
      <c r="R494" s="6">
        <f t="shared" ca="1" si="41"/>
        <v>0</v>
      </c>
      <c r="U494" s="6" t="str">
        <f ca="1">IF(Q494&gt;0,"SELECT "&amp;COUNTIF($Q$1:$T493,"&gt;0")+1&amp;", "&amp;$A494&amp;", "&amp;Q494&amp;" UNION ALL","")</f>
        <v/>
      </c>
      <c r="V494" s="6" t="str">
        <f ca="1">IF(R494&gt;0,"SELECT "&amp;COUNTIF($Q$1:$T493,"&gt;0")+COUNTIF($Q494:Q494,"&gt;0")+1&amp;", "&amp;$A494&amp;", "&amp;R494&amp;" UNION ALL","")</f>
        <v/>
      </c>
      <c r="W494" s="6" t="str">
        <f>IF(S494&gt;0,"SELECT "&amp;COUNTIF($Q$1:$T493,"&gt;0")+COUNTIF($Q494:R494,"&gt;0")+1&amp;", "&amp;$A494&amp;", "&amp;S494&amp;" UNION ALL","")</f>
        <v/>
      </c>
      <c r="X494" s="6" t="str">
        <f>IF(T494&gt;0,"SELECT "&amp;COUNTIF($Q$1:$T493,"&gt;0")+COUNTIF($Q494:S494,"&gt;0")+1&amp;", "&amp;$A494&amp;", "&amp;T494&amp;" UNION ALL","")</f>
        <v/>
      </c>
      <c r="Y494" s="5" t="str">
        <f t="shared" ca="1" si="39"/>
        <v/>
      </c>
    </row>
    <row r="495" spans="1:25">
      <c r="A495" s="6">
        <f t="shared" si="43"/>
        <v>526</v>
      </c>
      <c r="B495" s="6" t="s">
        <v>1318</v>
      </c>
      <c r="C495" s="6">
        <v>2</v>
      </c>
      <c r="D495" s="6">
        <v>10</v>
      </c>
      <c r="L495" s="6" t="str">
        <f t="shared" si="42"/>
        <v>SELECT 526, N'brać', 2, 10 UNION ALL</v>
      </c>
      <c r="Q495" s="6">
        <f t="shared" ca="1" si="40"/>
        <v>0</v>
      </c>
      <c r="R495" s="6">
        <f t="shared" ca="1" si="41"/>
        <v>0</v>
      </c>
      <c r="U495" s="6" t="str">
        <f ca="1">IF(Q495&gt;0,"SELECT "&amp;COUNTIF($Q$1:$T494,"&gt;0")+1&amp;", "&amp;$A495&amp;", "&amp;Q495&amp;" UNION ALL","")</f>
        <v/>
      </c>
      <c r="V495" s="6" t="str">
        <f ca="1">IF(R495&gt;0,"SELECT "&amp;COUNTIF($Q$1:$T494,"&gt;0")+COUNTIF($Q495:Q495,"&gt;0")+1&amp;", "&amp;$A495&amp;", "&amp;R495&amp;" UNION ALL","")</f>
        <v/>
      </c>
      <c r="W495" s="6" t="str">
        <f>IF(S495&gt;0,"SELECT "&amp;COUNTIF($Q$1:$T494,"&gt;0")+COUNTIF($Q495:R495,"&gt;0")+1&amp;", "&amp;$A495&amp;", "&amp;S495&amp;" UNION ALL","")</f>
        <v/>
      </c>
      <c r="X495" s="6" t="str">
        <f>IF(T495&gt;0,"SELECT "&amp;COUNTIF($Q$1:$T494,"&gt;0")+COUNTIF($Q495:S495,"&gt;0")+1&amp;", "&amp;$A495&amp;", "&amp;T495&amp;" UNION ALL","")</f>
        <v/>
      </c>
      <c r="Y495" s="5" t="str">
        <f t="shared" ca="1" si="39"/>
        <v/>
      </c>
    </row>
    <row r="496" spans="1:25">
      <c r="A496" s="6">
        <f t="shared" si="43"/>
        <v>527</v>
      </c>
      <c r="B496" s="6" t="s">
        <v>1319</v>
      </c>
      <c r="C496" s="6">
        <v>2</v>
      </c>
      <c r="D496" s="6">
        <v>10</v>
      </c>
      <c r="L496" s="6" t="str">
        <f t="shared" si="42"/>
        <v>SELECT 527, N'śmiać', 2, 10 UNION ALL</v>
      </c>
      <c r="Q496" s="6">
        <f t="shared" ca="1" si="40"/>
        <v>0</v>
      </c>
      <c r="R496" s="6">
        <f t="shared" ca="1" si="41"/>
        <v>0</v>
      </c>
      <c r="U496" s="6" t="str">
        <f ca="1">IF(Q496&gt;0,"SELECT "&amp;COUNTIF($Q$1:$T495,"&gt;0")+1&amp;", "&amp;$A496&amp;", "&amp;Q496&amp;" UNION ALL","")</f>
        <v/>
      </c>
      <c r="V496" s="6" t="str">
        <f ca="1">IF(R496&gt;0,"SELECT "&amp;COUNTIF($Q$1:$T495,"&gt;0")+COUNTIF($Q496:Q496,"&gt;0")+1&amp;", "&amp;$A496&amp;", "&amp;R496&amp;" UNION ALL","")</f>
        <v/>
      </c>
      <c r="W496" s="6" t="str">
        <f>IF(S496&gt;0,"SELECT "&amp;COUNTIF($Q$1:$T495,"&gt;0")+COUNTIF($Q496:R496,"&gt;0")+1&amp;", "&amp;$A496&amp;", "&amp;S496&amp;" UNION ALL","")</f>
        <v/>
      </c>
      <c r="X496" s="6" t="str">
        <f>IF(T496&gt;0,"SELECT "&amp;COUNTIF($Q$1:$T495,"&gt;0")+COUNTIF($Q496:S496,"&gt;0")+1&amp;", "&amp;$A496&amp;", "&amp;T496&amp;" UNION ALL","")</f>
        <v/>
      </c>
      <c r="Y496" s="5" t="str">
        <f t="shared" ca="1" si="39"/>
        <v/>
      </c>
    </row>
    <row r="497" spans="1:25">
      <c r="A497" s="6">
        <f t="shared" si="43"/>
        <v>528</v>
      </c>
      <c r="B497" s="6" t="s">
        <v>1320</v>
      </c>
      <c r="C497" s="6">
        <v>1</v>
      </c>
      <c r="D497" s="6">
        <v>10</v>
      </c>
      <c r="L497" s="6" t="str">
        <f t="shared" si="42"/>
        <v>SELECT 528, N'las', 1, 10 UNION ALL</v>
      </c>
      <c r="M497" s="6" t="s">
        <v>1423</v>
      </c>
      <c r="Q497" s="6">
        <f t="shared" ca="1" si="40"/>
        <v>63</v>
      </c>
      <c r="R497" s="6">
        <f t="shared" ca="1" si="41"/>
        <v>0</v>
      </c>
      <c r="U497" s="6" t="str">
        <f ca="1">IF(Q497&gt;0,"SELECT "&amp;COUNTIF($Q$1:$T496,"&gt;0")+1&amp;", "&amp;$A497&amp;", "&amp;Q497&amp;" UNION ALL","")</f>
        <v>SELECT 424, 528, 63 UNION ALL</v>
      </c>
      <c r="V497" s="6" t="str">
        <f ca="1">IF(R497&gt;0,"SELECT "&amp;COUNTIF($Q$1:$T496,"&gt;0")+COUNTIF($Q497:Q497,"&gt;0")+1&amp;", "&amp;$A497&amp;", "&amp;R497&amp;" UNION ALL","")</f>
        <v/>
      </c>
      <c r="W497" s="6" t="str">
        <f>IF(S497&gt;0,"SELECT "&amp;COUNTIF($Q$1:$T496,"&gt;0")+COUNTIF($Q497:R497,"&gt;0")+1&amp;", "&amp;$A497&amp;", "&amp;S497&amp;" UNION ALL","")</f>
        <v/>
      </c>
      <c r="X497" s="6" t="str">
        <f>IF(T497&gt;0,"SELECT "&amp;COUNTIF($Q$1:$T496,"&gt;0")+COUNTIF($Q497:S497,"&gt;0")+1&amp;", "&amp;$A497&amp;", "&amp;T497&amp;" UNION ALL","")</f>
        <v/>
      </c>
      <c r="Y497" s="5" t="str">
        <f t="shared" ca="1" si="39"/>
        <v>SELECT 424, 528, 63 UNION ALL</v>
      </c>
    </row>
    <row r="498" spans="1:25" ht="30">
      <c r="A498" s="6">
        <f t="shared" si="43"/>
        <v>529</v>
      </c>
      <c r="B498" s="6" t="s">
        <v>1321</v>
      </c>
      <c r="C498" s="6">
        <v>1</v>
      </c>
      <c r="D498" s="6">
        <v>10</v>
      </c>
      <c r="L498" s="6" t="str">
        <f t="shared" si="42"/>
        <v>SELECT 529, N'lotnisko', 1, 10 UNION ALL</v>
      </c>
      <c r="M498" s="6" t="s">
        <v>1421</v>
      </c>
      <c r="N498" t="s">
        <v>1422</v>
      </c>
      <c r="Q498" s="6">
        <f t="shared" ca="1" si="40"/>
        <v>62</v>
      </c>
      <c r="R498" s="6">
        <f t="shared" ca="1" si="41"/>
        <v>64</v>
      </c>
      <c r="U498" s="6" t="str">
        <f ca="1">IF(Q498&gt;0,"SELECT "&amp;COUNTIF($Q$1:$T497,"&gt;0")+1&amp;", "&amp;$A498&amp;", "&amp;Q498&amp;" UNION ALL","")</f>
        <v>SELECT 425, 529, 62 UNION ALL</v>
      </c>
      <c r="V498" s="6" t="str">
        <f ca="1">IF(R498&gt;0,"SELECT "&amp;COUNTIF($Q$1:$T497,"&gt;0")+COUNTIF($Q498:Q498,"&gt;0")+1&amp;", "&amp;$A498&amp;", "&amp;R498&amp;" UNION ALL","")</f>
        <v>SELECT 426, 529, 64 UNION ALL</v>
      </c>
      <c r="W498" s="6" t="str">
        <f>IF(S498&gt;0,"SELECT "&amp;COUNTIF($Q$1:$T497,"&gt;0")+COUNTIF($Q498:R498,"&gt;0")+1&amp;", "&amp;$A498&amp;", "&amp;S498&amp;" UNION ALL","")</f>
        <v/>
      </c>
      <c r="X498" s="6" t="str">
        <f>IF(T498&gt;0,"SELECT "&amp;COUNTIF($Q$1:$T497,"&gt;0")+COUNTIF($Q498:S498,"&gt;0")+1&amp;", "&amp;$A498&amp;", "&amp;T498&amp;" UNION ALL","")</f>
        <v/>
      </c>
      <c r="Y498" s="5" t="str">
        <f t="shared" ca="1" si="39"/>
        <v>SELECT 425, 529, 62 UNION ALL
SELECT 426, 529, 64 UNION ALL</v>
      </c>
    </row>
    <row r="499" spans="1:25">
      <c r="A499" s="6">
        <f t="shared" si="43"/>
        <v>530</v>
      </c>
      <c r="B499" s="6" t="s">
        <v>1322</v>
      </c>
      <c r="C499" s="6">
        <v>1</v>
      </c>
      <c r="D499" s="6">
        <v>10</v>
      </c>
      <c r="L499" s="6" t="str">
        <f t="shared" si="42"/>
        <v>SELECT 530, N'rzeka', 1, 10 UNION ALL</v>
      </c>
      <c r="M499" s="6" t="s">
        <v>1423</v>
      </c>
      <c r="Q499" s="6">
        <f t="shared" ca="1" si="40"/>
        <v>63</v>
      </c>
      <c r="R499" s="6">
        <f t="shared" ca="1" si="41"/>
        <v>0</v>
      </c>
      <c r="U499" s="6" t="str">
        <f ca="1">IF(Q499&gt;0,"SELECT "&amp;COUNTIF($Q$1:$T498,"&gt;0")+1&amp;", "&amp;$A499&amp;", "&amp;Q499&amp;" UNION ALL","")</f>
        <v>SELECT 427, 530, 63 UNION ALL</v>
      </c>
      <c r="V499" s="6" t="str">
        <f ca="1">IF(R499&gt;0,"SELECT "&amp;COUNTIF($Q$1:$T498,"&gt;0")+COUNTIF($Q499:Q499,"&gt;0")+1&amp;", "&amp;$A499&amp;", "&amp;R499&amp;" UNION ALL","")</f>
        <v/>
      </c>
      <c r="W499" s="6" t="str">
        <f>IF(S499&gt;0,"SELECT "&amp;COUNTIF($Q$1:$T498,"&gt;0")+COUNTIF($Q499:R499,"&gt;0")+1&amp;", "&amp;$A499&amp;", "&amp;S499&amp;" UNION ALL","")</f>
        <v/>
      </c>
      <c r="X499" s="6" t="str">
        <f>IF(T499&gt;0,"SELECT "&amp;COUNTIF($Q$1:$T498,"&gt;0")+COUNTIF($Q499:S499,"&gt;0")+1&amp;", "&amp;$A499&amp;", "&amp;T499&amp;" UNION ALL","")</f>
        <v/>
      </c>
      <c r="Y499" s="5" t="str">
        <f t="shared" ca="1" si="39"/>
        <v>SELECT 427, 530, 63 UNION ALL</v>
      </c>
    </row>
    <row r="500" spans="1:25">
      <c r="A500" s="6">
        <f t="shared" si="43"/>
        <v>531</v>
      </c>
      <c r="B500" s="6" t="s">
        <v>1323</v>
      </c>
      <c r="C500" s="6">
        <v>1</v>
      </c>
      <c r="D500" s="6">
        <v>10</v>
      </c>
      <c r="L500" s="6" t="str">
        <f t="shared" si="42"/>
        <v>SELECT 531, N'taksówka', 1, 10 UNION ALL</v>
      </c>
      <c r="M500" t="s">
        <v>1428</v>
      </c>
      <c r="Q500" s="6">
        <f t="shared" ca="1" si="40"/>
        <v>60</v>
      </c>
      <c r="R500" s="6">
        <f t="shared" ca="1" si="41"/>
        <v>0</v>
      </c>
      <c r="U500" s="6" t="str">
        <f ca="1">IF(Q500&gt;0,"SELECT "&amp;COUNTIF($Q$1:$T499,"&gt;0")+1&amp;", "&amp;$A500&amp;", "&amp;Q500&amp;" UNION ALL","")</f>
        <v>SELECT 428, 531, 60 UNION ALL</v>
      </c>
      <c r="V500" s="6" t="str">
        <f ca="1">IF(R500&gt;0,"SELECT "&amp;COUNTIF($Q$1:$T499,"&gt;0")+COUNTIF($Q500:Q500,"&gt;0")+1&amp;", "&amp;$A500&amp;", "&amp;R500&amp;" UNION ALL","")</f>
        <v/>
      </c>
      <c r="W500" s="6" t="str">
        <f>IF(S500&gt;0,"SELECT "&amp;COUNTIF($Q$1:$T499,"&gt;0")+COUNTIF($Q500:R500,"&gt;0")+1&amp;", "&amp;$A500&amp;", "&amp;S500&amp;" UNION ALL","")</f>
        <v/>
      </c>
      <c r="X500" s="6" t="str">
        <f>IF(T500&gt;0,"SELECT "&amp;COUNTIF($Q$1:$T499,"&gt;0")+COUNTIF($Q500:S500,"&gt;0")+1&amp;", "&amp;$A500&amp;", "&amp;T500&amp;" UNION ALL","")</f>
        <v/>
      </c>
      <c r="Y500" s="5" t="str">
        <f t="shared" ca="1" si="39"/>
        <v>SELECT 428, 531, 60 UNION ALL</v>
      </c>
    </row>
    <row r="501" spans="1:25">
      <c r="A501" s="6">
        <f t="shared" si="43"/>
        <v>532</v>
      </c>
      <c r="B501" s="6" t="s">
        <v>1324</v>
      </c>
      <c r="C501" s="6">
        <v>2</v>
      </c>
      <c r="D501" s="6">
        <v>10</v>
      </c>
      <c r="L501" s="6" t="str">
        <f t="shared" si="42"/>
        <v>SELECT 532, N'powstrzymywać', 2, 10 UNION ALL</v>
      </c>
      <c r="Q501" s="6">
        <f t="shared" ca="1" si="40"/>
        <v>0</v>
      </c>
      <c r="R501" s="6">
        <f t="shared" ca="1" si="41"/>
        <v>0</v>
      </c>
      <c r="U501" s="6" t="str">
        <f ca="1">IF(Q501&gt;0,"SELECT "&amp;COUNTIF($Q$1:$T500,"&gt;0")+1&amp;", "&amp;$A501&amp;", "&amp;Q501&amp;" UNION ALL","")</f>
        <v/>
      </c>
      <c r="V501" s="6" t="str">
        <f ca="1">IF(R501&gt;0,"SELECT "&amp;COUNTIF($Q$1:$T500,"&gt;0")+COUNTIF($Q501:Q501,"&gt;0")+1&amp;", "&amp;$A501&amp;", "&amp;R501&amp;" UNION ALL","")</f>
        <v/>
      </c>
      <c r="W501" s="6" t="str">
        <f>IF(S501&gt;0,"SELECT "&amp;COUNTIF($Q$1:$T500,"&gt;0")+COUNTIF($Q501:R501,"&gt;0")+1&amp;", "&amp;$A501&amp;", "&amp;S501&amp;" UNION ALL","")</f>
        <v/>
      </c>
      <c r="X501" s="6" t="str">
        <f>IF(T501&gt;0,"SELECT "&amp;COUNTIF($Q$1:$T500,"&gt;0")+COUNTIF($Q501:S501,"&gt;0")+1&amp;", "&amp;$A501&amp;", "&amp;T501&amp;" UNION ALL","")</f>
        <v/>
      </c>
      <c r="Y501" s="5" t="str">
        <f t="shared" ca="1" si="39"/>
        <v/>
      </c>
    </row>
    <row r="502" spans="1:25">
      <c r="A502" s="6">
        <f t="shared" si="43"/>
        <v>533</v>
      </c>
      <c r="B502" s="6" t="s">
        <v>1325</v>
      </c>
      <c r="C502" s="6">
        <v>2</v>
      </c>
      <c r="D502" s="6">
        <v>10</v>
      </c>
      <c r="L502" s="6" t="str">
        <f t="shared" si="42"/>
        <v>SELECT 533, N'prosić', 2, 10 UNION ALL</v>
      </c>
      <c r="Q502" s="6">
        <f t="shared" ca="1" si="40"/>
        <v>0</v>
      </c>
      <c r="R502" s="6">
        <f t="shared" ca="1" si="41"/>
        <v>0</v>
      </c>
      <c r="U502" s="6" t="str">
        <f ca="1">IF(Q502&gt;0,"SELECT "&amp;COUNTIF($Q$1:$T501,"&gt;0")+1&amp;", "&amp;$A502&amp;", "&amp;Q502&amp;" UNION ALL","")</f>
        <v/>
      </c>
      <c r="V502" s="6" t="str">
        <f ca="1">IF(R502&gt;0,"SELECT "&amp;COUNTIF($Q$1:$T501,"&gt;0")+COUNTIF($Q502:Q502,"&gt;0")+1&amp;", "&amp;$A502&amp;", "&amp;R502&amp;" UNION ALL","")</f>
        <v/>
      </c>
      <c r="W502" s="6" t="str">
        <f>IF(S502&gt;0,"SELECT "&amp;COUNTIF($Q$1:$T501,"&gt;0")+COUNTIF($Q502:R502,"&gt;0")+1&amp;", "&amp;$A502&amp;", "&amp;S502&amp;" UNION ALL","")</f>
        <v/>
      </c>
      <c r="X502" s="6" t="str">
        <f>IF(T502&gt;0,"SELECT "&amp;COUNTIF($Q$1:$T501,"&gt;0")+COUNTIF($Q502:S502,"&gt;0")+1&amp;", "&amp;$A502&amp;", "&amp;T502&amp;" UNION ALL","")</f>
        <v/>
      </c>
      <c r="Y502" s="5" t="str">
        <f t="shared" ca="1" si="39"/>
        <v/>
      </c>
    </row>
    <row r="503" spans="1:25">
      <c r="A503" s="6">
        <f t="shared" si="43"/>
        <v>534</v>
      </c>
      <c r="B503" s="6" t="s">
        <v>1326</v>
      </c>
      <c r="C503" s="6">
        <v>2</v>
      </c>
      <c r="D503" s="6">
        <v>9</v>
      </c>
      <c r="L503" s="6" t="str">
        <f t="shared" si="42"/>
        <v>SELECT 534, N'uznawać', 2, 9 UNION ALL</v>
      </c>
      <c r="Q503" s="6">
        <f t="shared" ca="1" si="40"/>
        <v>0</v>
      </c>
      <c r="R503" s="6">
        <f t="shared" ca="1" si="41"/>
        <v>0</v>
      </c>
      <c r="U503" s="6" t="str">
        <f ca="1">IF(Q503&gt;0,"SELECT "&amp;COUNTIF($Q$1:$T502,"&gt;0")+1&amp;", "&amp;$A503&amp;", "&amp;Q503&amp;" UNION ALL","")</f>
        <v/>
      </c>
      <c r="V503" s="6" t="str">
        <f ca="1">IF(R503&gt;0,"SELECT "&amp;COUNTIF($Q$1:$T502,"&gt;0")+COUNTIF($Q503:Q503,"&gt;0")+1&amp;", "&amp;$A503&amp;", "&amp;R503&amp;" UNION ALL","")</f>
        <v/>
      </c>
      <c r="W503" s="6" t="str">
        <f>IF(S503&gt;0,"SELECT "&amp;COUNTIF($Q$1:$T502,"&gt;0")+COUNTIF($Q503:R503,"&gt;0")+1&amp;", "&amp;$A503&amp;", "&amp;S503&amp;" UNION ALL","")</f>
        <v/>
      </c>
      <c r="X503" s="6" t="str">
        <f>IF(T503&gt;0,"SELECT "&amp;COUNTIF($Q$1:$T502,"&gt;0")+COUNTIF($Q503:S503,"&gt;0")+1&amp;", "&amp;$A503&amp;", "&amp;T503&amp;" UNION ALL","")</f>
        <v/>
      </c>
      <c r="Y503" s="5" t="str">
        <f t="shared" ca="1" si="39"/>
        <v/>
      </c>
    </row>
    <row r="504" spans="1:25">
      <c r="A504" s="6">
        <f t="shared" si="43"/>
        <v>535</v>
      </c>
      <c r="B504" s="6" t="s">
        <v>1327</v>
      </c>
      <c r="C504" s="6">
        <v>2</v>
      </c>
      <c r="D504" s="6">
        <v>10</v>
      </c>
      <c r="L504" s="6" t="str">
        <f t="shared" si="42"/>
        <v>SELECT 535, N'zostać', 2, 10 UNION ALL</v>
      </c>
      <c r="Q504" s="6">
        <f t="shared" ca="1" si="40"/>
        <v>0</v>
      </c>
      <c r="R504" s="6">
        <f t="shared" ca="1" si="41"/>
        <v>0</v>
      </c>
      <c r="U504" s="6" t="str">
        <f ca="1">IF(Q504&gt;0,"SELECT "&amp;COUNTIF($Q$1:$T503,"&gt;0")+1&amp;", "&amp;$A504&amp;", "&amp;Q504&amp;" UNION ALL","")</f>
        <v/>
      </c>
      <c r="V504" s="6" t="str">
        <f ca="1">IF(R504&gt;0,"SELECT "&amp;COUNTIF($Q$1:$T503,"&gt;0")+COUNTIF($Q504:Q504,"&gt;0")+1&amp;", "&amp;$A504&amp;", "&amp;R504&amp;" UNION ALL","")</f>
        <v/>
      </c>
      <c r="W504" s="6" t="str">
        <f>IF(S504&gt;0,"SELECT "&amp;COUNTIF($Q$1:$T503,"&gt;0")+COUNTIF($Q504:R504,"&gt;0")+1&amp;", "&amp;$A504&amp;", "&amp;S504&amp;" UNION ALL","")</f>
        <v/>
      </c>
      <c r="X504" s="6" t="str">
        <f>IF(T504&gt;0,"SELECT "&amp;COUNTIF($Q$1:$T503,"&gt;0")+COUNTIF($Q504:S504,"&gt;0")+1&amp;", "&amp;$A504&amp;", "&amp;T504&amp;" UNION ALL","")</f>
        <v/>
      </c>
      <c r="Y504" s="5" t="str">
        <f t="shared" ca="1" si="39"/>
        <v/>
      </c>
    </row>
    <row r="505" spans="1:25">
      <c r="A505" s="6">
        <f t="shared" si="43"/>
        <v>536</v>
      </c>
      <c r="B505" s="6" t="s">
        <v>1328</v>
      </c>
      <c r="C505" s="6">
        <v>2</v>
      </c>
      <c r="D505" s="6">
        <v>10</v>
      </c>
      <c r="L505" s="6" t="str">
        <f t="shared" si="42"/>
        <v>SELECT 536, N'budzić', 2, 10 UNION ALL</v>
      </c>
      <c r="Q505" s="6">
        <f t="shared" ca="1" si="40"/>
        <v>0</v>
      </c>
      <c r="R505" s="6">
        <f t="shared" ca="1" si="41"/>
        <v>0</v>
      </c>
      <c r="U505" s="6" t="str">
        <f ca="1">IF(Q505&gt;0,"SELECT "&amp;COUNTIF($Q$1:$T504,"&gt;0")+1&amp;", "&amp;$A505&amp;", "&amp;Q505&amp;" UNION ALL","")</f>
        <v/>
      </c>
      <c r="V505" s="6" t="str">
        <f ca="1">IF(R505&gt;0,"SELECT "&amp;COUNTIF($Q$1:$T504,"&gt;0")+COUNTIF($Q505:Q505,"&gt;0")+1&amp;", "&amp;$A505&amp;", "&amp;R505&amp;" UNION ALL","")</f>
        <v/>
      </c>
      <c r="W505" s="6" t="str">
        <f>IF(S505&gt;0,"SELECT "&amp;COUNTIF($Q$1:$T504,"&gt;0")+COUNTIF($Q505:R505,"&gt;0")+1&amp;", "&amp;$A505&amp;", "&amp;S505&amp;" UNION ALL","")</f>
        <v/>
      </c>
      <c r="X505" s="6" t="str">
        <f>IF(T505&gt;0,"SELECT "&amp;COUNTIF($Q$1:$T504,"&gt;0")+COUNTIF($Q505:S505,"&gt;0")+1&amp;", "&amp;$A505&amp;", "&amp;T505&amp;" UNION ALL","")</f>
        <v/>
      </c>
      <c r="Y505" s="5" t="str">
        <f t="shared" ca="1" si="39"/>
        <v/>
      </c>
    </row>
    <row r="506" spans="1:25">
      <c r="A506" s="6">
        <f t="shared" si="43"/>
        <v>537</v>
      </c>
      <c r="B506" s="6" t="s">
        <v>1329</v>
      </c>
      <c r="C506" s="6">
        <v>2</v>
      </c>
      <c r="D506" s="6">
        <v>10</v>
      </c>
      <c r="L506" s="6" t="str">
        <f t="shared" si="42"/>
        <v>SELECT 537, N'grozić', 2, 10 UNION ALL</v>
      </c>
      <c r="Q506" s="6">
        <f t="shared" ca="1" si="40"/>
        <v>0</v>
      </c>
      <c r="R506" s="6">
        <f t="shared" ca="1" si="41"/>
        <v>0</v>
      </c>
      <c r="U506" s="6" t="str">
        <f ca="1">IF(Q506&gt;0,"SELECT "&amp;COUNTIF($Q$1:$T505,"&gt;0")+1&amp;", "&amp;$A506&amp;", "&amp;Q506&amp;" UNION ALL","")</f>
        <v/>
      </c>
      <c r="V506" s="6" t="str">
        <f ca="1">IF(R506&gt;0,"SELECT "&amp;COUNTIF($Q$1:$T505,"&gt;0")+COUNTIF($Q506:Q506,"&gt;0")+1&amp;", "&amp;$A506&amp;", "&amp;R506&amp;" UNION ALL","")</f>
        <v/>
      </c>
      <c r="W506" s="6" t="str">
        <f>IF(S506&gt;0,"SELECT "&amp;COUNTIF($Q$1:$T505,"&gt;0")+COUNTIF($Q506:R506,"&gt;0")+1&amp;", "&amp;$A506&amp;", "&amp;S506&amp;" UNION ALL","")</f>
        <v/>
      </c>
      <c r="X506" s="6" t="str">
        <f>IF(T506&gt;0,"SELECT "&amp;COUNTIF($Q$1:$T505,"&gt;0")+COUNTIF($Q506:S506,"&gt;0")+1&amp;", "&amp;$A506&amp;", "&amp;T506&amp;" UNION ALL","")</f>
        <v/>
      </c>
      <c r="Y506" s="5" t="str">
        <f t="shared" ca="1" si="39"/>
        <v/>
      </c>
    </row>
    <row r="507" spans="1:25">
      <c r="A507" s="6">
        <f t="shared" si="43"/>
        <v>538</v>
      </c>
      <c r="B507" s="6" t="s">
        <v>1330</v>
      </c>
      <c r="C507" s="6">
        <v>1</v>
      </c>
      <c r="D507" s="6">
        <v>9</v>
      </c>
      <c r="L507" s="6" t="str">
        <f t="shared" si="42"/>
        <v>SELECT 538, N'wywiad', 1, 9 UNION ALL</v>
      </c>
      <c r="M507" s="6" t="s">
        <v>1480</v>
      </c>
      <c r="Q507" s="6">
        <f t="shared" ca="1" si="40"/>
        <v>77</v>
      </c>
      <c r="R507" s="6">
        <f t="shared" ca="1" si="41"/>
        <v>0</v>
      </c>
      <c r="U507" s="6" t="str">
        <f ca="1">IF(Q507&gt;0,"SELECT "&amp;COUNTIF($Q$1:$T506,"&gt;0")+1&amp;", "&amp;$A507&amp;", "&amp;Q507&amp;" UNION ALL","")</f>
        <v>SELECT 429, 538, 77 UNION ALL</v>
      </c>
      <c r="V507" s="6" t="str">
        <f ca="1">IF(R507&gt;0,"SELECT "&amp;COUNTIF($Q$1:$T506,"&gt;0")+COUNTIF($Q507:Q507,"&gt;0")+1&amp;", "&amp;$A507&amp;", "&amp;R507&amp;" UNION ALL","")</f>
        <v/>
      </c>
      <c r="W507" s="6" t="str">
        <f>IF(S507&gt;0,"SELECT "&amp;COUNTIF($Q$1:$T506,"&gt;0")+COUNTIF($Q507:R507,"&gt;0")+1&amp;", "&amp;$A507&amp;", "&amp;S507&amp;" UNION ALL","")</f>
        <v/>
      </c>
      <c r="X507" s="6" t="str">
        <f>IF(T507&gt;0,"SELECT "&amp;COUNTIF($Q$1:$T506,"&gt;0")+COUNTIF($Q507:S507,"&gt;0")+1&amp;", "&amp;$A507&amp;", "&amp;T507&amp;" UNION ALL","")</f>
        <v/>
      </c>
      <c r="Y507" s="5" t="str">
        <f t="shared" ca="1" si="39"/>
        <v>SELECT 429, 538, 77 UNION ALL</v>
      </c>
    </row>
    <row r="508" spans="1:25">
      <c r="A508" s="6">
        <f t="shared" si="43"/>
        <v>539</v>
      </c>
      <c r="B508" s="6" t="s">
        <v>1331</v>
      </c>
      <c r="C508" s="6">
        <v>1</v>
      </c>
      <c r="D508" s="6">
        <v>9</v>
      </c>
      <c r="L508" s="6" t="str">
        <f t="shared" si="42"/>
        <v>SELECT 539, N'spotkanie', 1, 9 UNION ALL</v>
      </c>
      <c r="M508" s="6" t="s">
        <v>1480</v>
      </c>
      <c r="Q508" s="6">
        <f t="shared" ca="1" si="40"/>
        <v>77</v>
      </c>
      <c r="R508" s="6">
        <f t="shared" ca="1" si="41"/>
        <v>0</v>
      </c>
      <c r="U508" s="6" t="str">
        <f ca="1">IF(Q508&gt;0,"SELECT "&amp;COUNTIF($Q$1:$T507,"&gt;0")+1&amp;", "&amp;$A508&amp;", "&amp;Q508&amp;" UNION ALL","")</f>
        <v>SELECT 430, 539, 77 UNION ALL</v>
      </c>
      <c r="V508" s="6" t="str">
        <f ca="1">IF(R508&gt;0,"SELECT "&amp;COUNTIF($Q$1:$T507,"&gt;0")+COUNTIF($Q508:Q508,"&gt;0")+1&amp;", "&amp;$A508&amp;", "&amp;R508&amp;" UNION ALL","")</f>
        <v/>
      </c>
      <c r="W508" s="6" t="str">
        <f>IF(S508&gt;0,"SELECT "&amp;COUNTIF($Q$1:$T507,"&gt;0")+COUNTIF($Q508:R508,"&gt;0")+1&amp;", "&amp;$A508&amp;", "&amp;S508&amp;" UNION ALL","")</f>
        <v/>
      </c>
      <c r="X508" s="6" t="str">
        <f>IF(T508&gt;0,"SELECT "&amp;COUNTIF($Q$1:$T507,"&gt;0")+COUNTIF($Q508:S508,"&gt;0")+1&amp;", "&amp;$A508&amp;", "&amp;T508&amp;" UNION ALL","")</f>
        <v/>
      </c>
      <c r="Y508" s="5" t="str">
        <f t="shared" ca="1" si="39"/>
        <v>SELECT 430, 539, 77 UNION ALL</v>
      </c>
    </row>
    <row r="509" spans="1:25">
      <c r="A509" s="6">
        <f t="shared" si="43"/>
        <v>540</v>
      </c>
      <c r="B509" s="6" t="s">
        <v>1332</v>
      </c>
      <c r="C509" s="6">
        <v>1</v>
      </c>
      <c r="D509" s="6">
        <v>9</v>
      </c>
      <c r="L509" s="6" t="str">
        <f t="shared" si="42"/>
        <v>SELECT 540, N'debata', 1, 9 UNION ALL</v>
      </c>
      <c r="M509" s="6" t="s">
        <v>1480</v>
      </c>
      <c r="Q509" s="6">
        <f t="shared" ca="1" si="40"/>
        <v>77</v>
      </c>
      <c r="R509" s="6">
        <f t="shared" ca="1" si="41"/>
        <v>0</v>
      </c>
      <c r="U509" s="6" t="str">
        <f ca="1">IF(Q509&gt;0,"SELECT "&amp;COUNTIF($Q$1:$T508,"&gt;0")+1&amp;", "&amp;$A509&amp;", "&amp;Q509&amp;" UNION ALL","")</f>
        <v>SELECT 431, 540, 77 UNION ALL</v>
      </c>
      <c r="V509" s="6" t="str">
        <f ca="1">IF(R509&gt;0,"SELECT "&amp;COUNTIF($Q$1:$T508,"&gt;0")+COUNTIF($Q509:Q509,"&gt;0")+1&amp;", "&amp;$A509&amp;", "&amp;R509&amp;" UNION ALL","")</f>
        <v/>
      </c>
      <c r="W509" s="6" t="str">
        <f>IF(S509&gt;0,"SELECT "&amp;COUNTIF($Q$1:$T508,"&gt;0")+COUNTIF($Q509:R509,"&gt;0")+1&amp;", "&amp;$A509&amp;", "&amp;S509&amp;" UNION ALL","")</f>
        <v/>
      </c>
      <c r="X509" s="6" t="str">
        <f>IF(T509&gt;0,"SELECT "&amp;COUNTIF($Q$1:$T508,"&gt;0")+COUNTIF($Q509:S509,"&gt;0")+1&amp;", "&amp;$A509&amp;", "&amp;T509&amp;" UNION ALL","")</f>
        <v/>
      </c>
      <c r="Y509" s="5" t="str">
        <f t="shared" ca="1" si="39"/>
        <v>SELECT 431, 540, 77 UNION ALL</v>
      </c>
    </row>
    <row r="510" spans="1:25">
      <c r="A510" s="6">
        <f t="shared" si="43"/>
        <v>541</v>
      </c>
      <c r="B510" s="6" t="s">
        <v>1333</v>
      </c>
      <c r="C510" s="6">
        <v>2</v>
      </c>
      <c r="D510" s="6">
        <v>10</v>
      </c>
      <c r="L510" s="6" t="str">
        <f t="shared" si="42"/>
        <v>SELECT 541, N'widzieć', 2, 10 UNION ALL</v>
      </c>
      <c r="Q510" s="6">
        <f t="shared" ca="1" si="40"/>
        <v>0</v>
      </c>
      <c r="R510" s="6">
        <f t="shared" ca="1" si="41"/>
        <v>0</v>
      </c>
      <c r="U510" s="6" t="str">
        <f ca="1">IF(Q510&gt;0,"SELECT "&amp;COUNTIF($Q$1:$T509,"&gt;0")+1&amp;", "&amp;$A510&amp;", "&amp;Q510&amp;" UNION ALL","")</f>
        <v/>
      </c>
      <c r="V510" s="6" t="str">
        <f ca="1">IF(R510&gt;0,"SELECT "&amp;COUNTIF($Q$1:$T509,"&gt;0")+COUNTIF($Q510:Q510,"&gt;0")+1&amp;", "&amp;$A510&amp;", "&amp;R510&amp;" UNION ALL","")</f>
        <v/>
      </c>
      <c r="W510" s="6" t="str">
        <f>IF(S510&gt;0,"SELECT "&amp;COUNTIF($Q$1:$T509,"&gt;0")+COUNTIF($Q510:R510,"&gt;0")+1&amp;", "&amp;$A510&amp;", "&amp;S510&amp;" UNION ALL","")</f>
        <v/>
      </c>
      <c r="X510" s="6" t="str">
        <f>IF(T510&gt;0,"SELECT "&amp;COUNTIF($Q$1:$T509,"&gt;0")+COUNTIF($Q510:S510,"&gt;0")+1&amp;", "&amp;$A510&amp;", "&amp;T510&amp;" UNION ALL","")</f>
        <v/>
      </c>
      <c r="Y510" s="5" t="str">
        <f t="shared" ca="1" si="39"/>
        <v/>
      </c>
    </row>
    <row r="511" spans="1:25">
      <c r="A511" s="6">
        <f t="shared" si="43"/>
        <v>542</v>
      </c>
      <c r="B511" s="6" t="s">
        <v>1334</v>
      </c>
      <c r="C511" s="6">
        <v>2</v>
      </c>
      <c r="D511" s="6">
        <v>10</v>
      </c>
      <c r="L511" s="6" t="str">
        <f t="shared" si="42"/>
        <v>SELECT 542, N'znajdować', 2, 10 UNION ALL</v>
      </c>
      <c r="Q511" s="6">
        <f t="shared" ca="1" si="40"/>
        <v>0</v>
      </c>
      <c r="R511" s="6">
        <f t="shared" ca="1" si="41"/>
        <v>0</v>
      </c>
      <c r="U511" s="6" t="str">
        <f ca="1">IF(Q511&gt;0,"SELECT "&amp;COUNTIF($Q$1:$T510,"&gt;0")+1&amp;", "&amp;$A511&amp;", "&amp;Q511&amp;" UNION ALL","")</f>
        <v/>
      </c>
      <c r="V511" s="6" t="str">
        <f ca="1">IF(R511&gt;0,"SELECT "&amp;COUNTIF($Q$1:$T510,"&gt;0")+COUNTIF($Q511:Q511,"&gt;0")+1&amp;", "&amp;$A511&amp;", "&amp;R511&amp;" UNION ALL","")</f>
        <v/>
      </c>
      <c r="W511" s="6" t="str">
        <f>IF(S511&gt;0,"SELECT "&amp;COUNTIF($Q$1:$T510,"&gt;0")+COUNTIF($Q511:R511,"&gt;0")+1&amp;", "&amp;$A511&amp;", "&amp;S511&amp;" UNION ALL","")</f>
        <v/>
      </c>
      <c r="X511" s="6" t="str">
        <f>IF(T511&gt;0,"SELECT "&amp;COUNTIF($Q$1:$T510,"&gt;0")+COUNTIF($Q511:S511,"&gt;0")+1&amp;", "&amp;$A511&amp;", "&amp;T511&amp;" UNION ALL","")</f>
        <v/>
      </c>
      <c r="Y511" s="5" t="str">
        <f t="shared" ca="1" si="39"/>
        <v/>
      </c>
    </row>
    <row r="512" spans="1:25">
      <c r="A512" s="6">
        <f t="shared" si="43"/>
        <v>543</v>
      </c>
      <c r="B512" s="6" t="s">
        <v>1335</v>
      </c>
      <c r="C512" s="6">
        <v>1</v>
      </c>
      <c r="D512" s="6">
        <v>9</v>
      </c>
      <c r="L512" s="6" t="str">
        <f t="shared" si="42"/>
        <v>SELECT 543, N'portfel', 1, 9 UNION ALL</v>
      </c>
      <c r="M512" t="s">
        <v>550</v>
      </c>
      <c r="Q512" s="6">
        <f t="shared" ca="1" si="40"/>
        <v>72</v>
      </c>
      <c r="R512" s="6">
        <f t="shared" ca="1" si="41"/>
        <v>0</v>
      </c>
      <c r="U512" s="6" t="str">
        <f ca="1">IF(Q512&gt;0,"SELECT "&amp;COUNTIF($Q$1:$T511,"&gt;0")+1&amp;", "&amp;$A512&amp;", "&amp;Q512&amp;" UNION ALL","")</f>
        <v>SELECT 432, 543, 72 UNION ALL</v>
      </c>
      <c r="V512" s="6" t="str">
        <f ca="1">IF(R512&gt;0,"SELECT "&amp;COUNTIF($Q$1:$T511,"&gt;0")+COUNTIF($Q512:Q512,"&gt;0")+1&amp;", "&amp;$A512&amp;", "&amp;R512&amp;" UNION ALL","")</f>
        <v/>
      </c>
      <c r="W512" s="6" t="str">
        <f>IF(S512&gt;0,"SELECT "&amp;COUNTIF($Q$1:$T511,"&gt;0")+COUNTIF($Q512:R512,"&gt;0")+1&amp;", "&amp;$A512&amp;", "&amp;S512&amp;" UNION ALL","")</f>
        <v/>
      </c>
      <c r="X512" s="6" t="str">
        <f>IF(T512&gt;0,"SELECT "&amp;COUNTIF($Q$1:$T511,"&gt;0")+COUNTIF($Q512:S512,"&gt;0")+1&amp;", "&amp;$A512&amp;", "&amp;T512&amp;" UNION ALL","")</f>
        <v/>
      </c>
      <c r="Y512" s="5" t="str">
        <f t="shared" ca="1" si="39"/>
        <v>SELECT 432, 543, 72 UNION ALL</v>
      </c>
    </row>
    <row r="513" spans="1:25">
      <c r="A513" s="6">
        <f t="shared" si="43"/>
        <v>544</v>
      </c>
      <c r="B513" s="6" t="s">
        <v>1336</v>
      </c>
      <c r="C513" s="6">
        <v>1</v>
      </c>
      <c r="D513" s="6">
        <v>10</v>
      </c>
      <c r="L513" s="6" t="str">
        <f t="shared" si="42"/>
        <v>SELECT 544, N'klucz', 1, 10 UNION ALL</v>
      </c>
      <c r="M513" s="6" t="s">
        <v>550</v>
      </c>
      <c r="Q513" s="6">
        <f t="shared" ca="1" si="40"/>
        <v>72</v>
      </c>
      <c r="R513" s="6">
        <f t="shared" ca="1" si="41"/>
        <v>0</v>
      </c>
      <c r="U513" s="6" t="str">
        <f ca="1">IF(Q513&gt;0,"SELECT "&amp;COUNTIF($Q$1:$T512,"&gt;0")+1&amp;", "&amp;$A513&amp;", "&amp;Q513&amp;" UNION ALL","")</f>
        <v>SELECT 433, 544, 72 UNION ALL</v>
      </c>
      <c r="V513" s="6" t="str">
        <f ca="1">IF(R513&gt;0,"SELECT "&amp;COUNTIF($Q$1:$T512,"&gt;0")+COUNTIF($Q513:Q513,"&gt;0")+1&amp;", "&amp;$A513&amp;", "&amp;R513&amp;" UNION ALL","")</f>
        <v/>
      </c>
      <c r="W513" s="6" t="str">
        <f>IF(S513&gt;0,"SELECT "&amp;COUNTIF($Q$1:$T512,"&gt;0")+COUNTIF($Q513:R513,"&gt;0")+1&amp;", "&amp;$A513&amp;", "&amp;S513&amp;" UNION ALL","")</f>
        <v/>
      </c>
      <c r="X513" s="6" t="str">
        <f>IF(T513&gt;0,"SELECT "&amp;COUNTIF($Q$1:$T512,"&gt;0")+COUNTIF($Q513:S513,"&gt;0")+1&amp;", "&amp;$A513&amp;", "&amp;T513&amp;" UNION ALL","")</f>
        <v/>
      </c>
      <c r="Y513" s="5" t="str">
        <f t="shared" ca="1" si="39"/>
        <v>SELECT 433, 544, 72 UNION ALL</v>
      </c>
    </row>
    <row r="514" spans="1:25">
      <c r="A514" s="6">
        <f t="shared" si="43"/>
        <v>545</v>
      </c>
      <c r="B514" s="6" t="s">
        <v>1337</v>
      </c>
      <c r="C514" s="6">
        <v>1</v>
      </c>
      <c r="D514" s="6">
        <v>8</v>
      </c>
      <c r="L514" s="6" t="str">
        <f t="shared" si="42"/>
        <v>SELECT 545, N'karta kredytowa', 1, 8 UNION ALL</v>
      </c>
      <c r="M514" s="6" t="s">
        <v>550</v>
      </c>
      <c r="Q514" s="6">
        <f t="shared" ca="1" si="40"/>
        <v>72</v>
      </c>
      <c r="R514" s="6">
        <f t="shared" ca="1" si="41"/>
        <v>0</v>
      </c>
      <c r="U514" s="6" t="str">
        <f ca="1">IF(Q514&gt;0,"SELECT "&amp;COUNTIF($Q$1:$T513,"&gt;0")+1&amp;", "&amp;$A514&amp;", "&amp;Q514&amp;" UNION ALL","")</f>
        <v>SELECT 434, 545, 72 UNION ALL</v>
      </c>
      <c r="V514" s="6" t="str">
        <f ca="1">IF(R514&gt;0,"SELECT "&amp;COUNTIF($Q$1:$T513,"&gt;0")+COUNTIF($Q514:Q514,"&gt;0")+1&amp;", "&amp;$A514&amp;", "&amp;R514&amp;" UNION ALL","")</f>
        <v/>
      </c>
      <c r="W514" s="6" t="str">
        <f>IF(S514&gt;0,"SELECT "&amp;COUNTIF($Q$1:$T513,"&gt;0")+COUNTIF($Q514:R514,"&gt;0")+1&amp;", "&amp;$A514&amp;", "&amp;S514&amp;" UNION ALL","")</f>
        <v/>
      </c>
      <c r="X514" s="6" t="str">
        <f>IF(T514&gt;0,"SELECT "&amp;COUNTIF($Q$1:$T513,"&gt;0")+COUNTIF($Q514:S514,"&gt;0")+1&amp;", "&amp;$A514&amp;", "&amp;T514&amp;" UNION ALL","")</f>
        <v/>
      </c>
      <c r="Y514" s="5" t="str">
        <f t="shared" ca="1" si="39"/>
        <v>SELECT 434, 545, 72 UNION ALL</v>
      </c>
    </row>
    <row r="515" spans="1:25">
      <c r="A515" s="6">
        <f t="shared" si="43"/>
        <v>546</v>
      </c>
      <c r="B515" s="6" t="s">
        <v>1338</v>
      </c>
      <c r="C515" s="6">
        <v>1</v>
      </c>
      <c r="D515" s="6">
        <v>9</v>
      </c>
      <c r="L515" s="6" t="str">
        <f t="shared" si="42"/>
        <v>SELECT 546, N'lot', 1, 9 UNION ALL</v>
      </c>
      <c r="Q515" s="6">
        <f t="shared" ca="1" si="40"/>
        <v>0</v>
      </c>
      <c r="R515" s="6">
        <f t="shared" ca="1" si="41"/>
        <v>0</v>
      </c>
      <c r="U515" s="6" t="str">
        <f ca="1">IF(Q515&gt;0,"SELECT "&amp;COUNTIF($Q$1:$T514,"&gt;0")+1&amp;", "&amp;$A515&amp;", "&amp;Q515&amp;" UNION ALL","")</f>
        <v/>
      </c>
      <c r="V515" s="6" t="str">
        <f ca="1">IF(R515&gt;0,"SELECT "&amp;COUNTIF($Q$1:$T514,"&gt;0")+COUNTIF($Q515:Q515,"&gt;0")+1&amp;", "&amp;$A515&amp;", "&amp;R515&amp;" UNION ALL","")</f>
        <v/>
      </c>
      <c r="W515" s="6" t="str">
        <f>IF(S515&gt;0,"SELECT "&amp;COUNTIF($Q$1:$T514,"&gt;0")+COUNTIF($Q515:R515,"&gt;0")+1&amp;", "&amp;$A515&amp;", "&amp;S515&amp;" UNION ALL","")</f>
        <v/>
      </c>
      <c r="X515" s="6" t="str">
        <f>IF(T515&gt;0,"SELECT "&amp;COUNTIF($Q$1:$T514,"&gt;0")+COUNTIF($Q515:S515,"&gt;0")+1&amp;", "&amp;$A515&amp;", "&amp;T515&amp;" UNION ALL","")</f>
        <v/>
      </c>
      <c r="Y515" s="5" t="str">
        <f t="shared" ca="1" si="39"/>
        <v/>
      </c>
    </row>
    <row r="516" spans="1:25">
      <c r="A516" s="6">
        <f t="shared" si="43"/>
        <v>547</v>
      </c>
      <c r="B516" s="6" t="s">
        <v>1339</v>
      </c>
      <c r="C516" s="6">
        <v>1</v>
      </c>
      <c r="D516" s="6">
        <v>10</v>
      </c>
      <c r="L516" s="6" t="str">
        <f t="shared" si="42"/>
        <v>SELECT 547, N'prezent', 1, 10 UNION ALL</v>
      </c>
      <c r="M516" s="6" t="s">
        <v>550</v>
      </c>
      <c r="Q516" s="6">
        <f t="shared" ca="1" si="40"/>
        <v>72</v>
      </c>
      <c r="R516" s="6">
        <f t="shared" ca="1" si="41"/>
        <v>0</v>
      </c>
      <c r="U516" s="6" t="str">
        <f ca="1">IF(Q516&gt;0,"SELECT "&amp;COUNTIF($Q$1:$T515,"&gt;0")+1&amp;", "&amp;$A516&amp;", "&amp;Q516&amp;" UNION ALL","")</f>
        <v>SELECT 435, 547, 72 UNION ALL</v>
      </c>
      <c r="V516" s="6" t="str">
        <f ca="1">IF(R516&gt;0,"SELECT "&amp;COUNTIF($Q$1:$T515,"&gt;0")+COUNTIF($Q516:Q516,"&gt;0")+1&amp;", "&amp;$A516&amp;", "&amp;R516&amp;" UNION ALL","")</f>
        <v/>
      </c>
      <c r="W516" s="6" t="str">
        <f>IF(S516&gt;0,"SELECT "&amp;COUNTIF($Q$1:$T515,"&gt;0")+COUNTIF($Q516:R516,"&gt;0")+1&amp;", "&amp;$A516&amp;", "&amp;S516&amp;" UNION ALL","")</f>
        <v/>
      </c>
      <c r="X516" s="6" t="str">
        <f>IF(T516&gt;0,"SELECT "&amp;COUNTIF($Q$1:$T515,"&gt;0")+COUNTIF($Q516:S516,"&gt;0")+1&amp;", "&amp;$A516&amp;", "&amp;T516&amp;" UNION ALL","")</f>
        <v/>
      </c>
      <c r="Y516" s="5" t="str">
        <f t="shared" ref="Y516:Y579" ca="1" si="44">SUBSTITUTE(IF(LEN(U516)&gt;0,U516,"")&amp;IF(LEN(V516)&gt;0,CHAR(10)&amp;V516,"")&amp;IF(LEN(W516)&gt;0,CHAR(10)&amp;W516,"")&amp;IF(LEN(X516)&gt;0,CHAR(10)&amp;X516,""),CHAR(34),"")</f>
        <v>SELECT 435, 547, 72 UNION ALL</v>
      </c>
    </row>
    <row r="517" spans="1:25">
      <c r="A517" s="6">
        <f t="shared" si="43"/>
        <v>548</v>
      </c>
      <c r="B517" s="6" t="s">
        <v>1340</v>
      </c>
      <c r="C517" s="6">
        <v>1</v>
      </c>
      <c r="D517" s="6">
        <v>10</v>
      </c>
      <c r="L517" s="6" t="str">
        <f t="shared" si="42"/>
        <v>SELECT 548, N'odpowiedź', 1, 10 UNION ALL</v>
      </c>
      <c r="Q517" s="6">
        <f t="shared" ca="1" si="40"/>
        <v>0</v>
      </c>
      <c r="R517" s="6">
        <f t="shared" ca="1" si="41"/>
        <v>0</v>
      </c>
      <c r="U517" s="6" t="str">
        <f ca="1">IF(Q517&gt;0,"SELECT "&amp;COUNTIF($Q$1:$T516,"&gt;0")+1&amp;", "&amp;$A517&amp;", "&amp;Q517&amp;" UNION ALL","")</f>
        <v/>
      </c>
      <c r="V517" s="6" t="str">
        <f ca="1">IF(R517&gt;0,"SELECT "&amp;COUNTIF($Q$1:$T516,"&gt;0")+COUNTIF($Q517:Q517,"&gt;0")+1&amp;", "&amp;$A517&amp;", "&amp;R517&amp;" UNION ALL","")</f>
        <v/>
      </c>
      <c r="W517" s="6" t="str">
        <f>IF(S517&gt;0,"SELECT "&amp;COUNTIF($Q$1:$T516,"&gt;0")+COUNTIF($Q517:R517,"&gt;0")+1&amp;", "&amp;$A517&amp;", "&amp;S517&amp;" UNION ALL","")</f>
        <v/>
      </c>
      <c r="X517" s="6" t="str">
        <f>IF(T517&gt;0,"SELECT "&amp;COUNTIF($Q$1:$T516,"&gt;0")+COUNTIF($Q517:S517,"&gt;0")+1&amp;", "&amp;$A517&amp;", "&amp;T517&amp;" UNION ALL","")</f>
        <v/>
      </c>
      <c r="Y517" s="5" t="str">
        <f t="shared" ca="1" si="44"/>
        <v/>
      </c>
    </row>
    <row r="518" spans="1:25">
      <c r="A518" s="6">
        <f t="shared" si="43"/>
        <v>549</v>
      </c>
      <c r="B518" s="6" t="s">
        <v>1341</v>
      </c>
      <c r="C518" s="6">
        <v>1</v>
      </c>
      <c r="D518" s="6">
        <v>10</v>
      </c>
      <c r="L518" s="6" t="str">
        <f t="shared" si="42"/>
        <v>SELECT 549, N'to', 1, 10 UNION ALL</v>
      </c>
      <c r="Q518" s="6">
        <f t="shared" ca="1" si="40"/>
        <v>0</v>
      </c>
      <c r="R518" s="6">
        <f t="shared" ca="1" si="41"/>
        <v>0</v>
      </c>
      <c r="U518" s="6" t="str">
        <f ca="1">IF(Q518&gt;0,"SELECT "&amp;COUNTIF($Q$1:$T517,"&gt;0")+1&amp;", "&amp;$A518&amp;", "&amp;Q518&amp;" UNION ALL","")</f>
        <v/>
      </c>
      <c r="V518" s="6" t="str">
        <f ca="1">IF(R518&gt;0,"SELECT "&amp;COUNTIF($Q$1:$T517,"&gt;0")+COUNTIF($Q518:Q518,"&gt;0")+1&amp;", "&amp;$A518&amp;", "&amp;R518&amp;" UNION ALL","")</f>
        <v/>
      </c>
      <c r="W518" s="6" t="str">
        <f>IF(S518&gt;0,"SELECT "&amp;COUNTIF($Q$1:$T517,"&gt;0")+COUNTIF($Q518:R518,"&gt;0")+1&amp;", "&amp;$A518&amp;", "&amp;S518&amp;" UNION ALL","")</f>
        <v/>
      </c>
      <c r="X518" s="6" t="str">
        <f>IF(T518&gt;0,"SELECT "&amp;COUNTIF($Q$1:$T517,"&gt;0")+COUNTIF($Q518:S518,"&gt;0")+1&amp;", "&amp;$A518&amp;", "&amp;T518&amp;" UNION ALL","")</f>
        <v/>
      </c>
      <c r="Y518" s="5" t="str">
        <f t="shared" ca="1" si="44"/>
        <v/>
      </c>
    </row>
    <row r="519" spans="1:25">
      <c r="A519" s="6">
        <f t="shared" si="43"/>
        <v>550</v>
      </c>
      <c r="B519" s="6" t="s">
        <v>1342</v>
      </c>
      <c r="C519" s="6">
        <v>1</v>
      </c>
      <c r="D519" s="6">
        <v>10</v>
      </c>
      <c r="L519" s="6" t="str">
        <f t="shared" si="42"/>
        <v>SELECT 550, N'komputer', 1, 10 UNION ALL</v>
      </c>
      <c r="M519" s="6" t="s">
        <v>550</v>
      </c>
      <c r="Q519" s="6">
        <f t="shared" ca="1" si="40"/>
        <v>72</v>
      </c>
      <c r="R519" s="6">
        <f t="shared" ca="1" si="41"/>
        <v>0</v>
      </c>
      <c r="U519" s="6" t="str">
        <f ca="1">IF(Q519&gt;0,"SELECT "&amp;COUNTIF($Q$1:$T518,"&gt;0")+1&amp;", "&amp;$A519&amp;", "&amp;Q519&amp;" UNION ALL","")</f>
        <v>SELECT 436, 550, 72 UNION ALL</v>
      </c>
      <c r="V519" s="6" t="str">
        <f ca="1">IF(R519&gt;0,"SELECT "&amp;COUNTIF($Q$1:$T518,"&gt;0")+COUNTIF($Q519:Q519,"&gt;0")+1&amp;", "&amp;$A519&amp;", "&amp;R519&amp;" UNION ALL","")</f>
        <v/>
      </c>
      <c r="W519" s="6" t="str">
        <f>IF(S519&gt;0,"SELECT "&amp;COUNTIF($Q$1:$T518,"&gt;0")+COUNTIF($Q519:R519,"&gt;0")+1&amp;", "&amp;$A519&amp;", "&amp;S519&amp;" UNION ALL","")</f>
        <v/>
      </c>
      <c r="X519" s="6" t="str">
        <f>IF(T519&gt;0,"SELECT "&amp;COUNTIF($Q$1:$T518,"&gt;0")+COUNTIF($Q519:S519,"&gt;0")+1&amp;", "&amp;$A519&amp;", "&amp;T519&amp;" UNION ALL","")</f>
        <v/>
      </c>
      <c r="Y519" s="5" t="str">
        <f t="shared" ca="1" si="44"/>
        <v>SELECT 436, 550, 72 UNION ALL</v>
      </c>
    </row>
    <row r="520" spans="1:25">
      <c r="A520" s="6">
        <f t="shared" si="43"/>
        <v>551</v>
      </c>
      <c r="B520" s="6" t="s">
        <v>1343</v>
      </c>
      <c r="C520" s="6">
        <v>2</v>
      </c>
      <c r="D520" s="6">
        <v>10</v>
      </c>
      <c r="L520" s="6" t="str">
        <f t="shared" si="42"/>
        <v>SELECT 551, N'odzywać', 2, 10 UNION ALL</v>
      </c>
      <c r="Q520" s="6">
        <f t="shared" ca="1" si="40"/>
        <v>0</v>
      </c>
      <c r="R520" s="6">
        <f t="shared" ca="1" si="41"/>
        <v>0</v>
      </c>
      <c r="U520" s="6" t="str">
        <f ca="1">IF(Q520&gt;0,"SELECT "&amp;COUNTIF($Q$1:$T519,"&gt;0")+1&amp;", "&amp;$A520&amp;", "&amp;Q520&amp;" UNION ALL","")</f>
        <v/>
      </c>
      <c r="V520" s="6" t="str">
        <f ca="1">IF(R520&gt;0,"SELECT "&amp;COUNTIF($Q$1:$T519,"&gt;0")+COUNTIF($Q520:Q520,"&gt;0")+1&amp;", "&amp;$A520&amp;", "&amp;R520&amp;" UNION ALL","")</f>
        <v/>
      </c>
      <c r="W520" s="6" t="str">
        <f>IF(S520&gt;0,"SELECT "&amp;COUNTIF($Q$1:$T519,"&gt;0")+COUNTIF($Q520:R520,"&gt;0")+1&amp;", "&amp;$A520&amp;", "&amp;S520&amp;" UNION ALL","")</f>
        <v/>
      </c>
      <c r="X520" s="6" t="str">
        <f>IF(T520&gt;0,"SELECT "&amp;COUNTIF($Q$1:$T519,"&gt;0")+COUNTIF($Q520:S520,"&gt;0")+1&amp;", "&amp;$A520&amp;", "&amp;T520&amp;" UNION ALL","")</f>
        <v/>
      </c>
      <c r="Y520" s="5" t="str">
        <f t="shared" ca="1" si="44"/>
        <v/>
      </c>
    </row>
    <row r="521" spans="1:25">
      <c r="A521" s="6">
        <f t="shared" si="43"/>
        <v>552</v>
      </c>
      <c r="B521" s="6" t="s">
        <v>1344</v>
      </c>
      <c r="C521" s="6">
        <v>3</v>
      </c>
      <c r="D521" s="6">
        <v>10</v>
      </c>
      <c r="L521" s="6" t="str">
        <f t="shared" si="42"/>
        <v>SELECT 552, N'który', 3, 10 UNION ALL</v>
      </c>
      <c r="Q521" s="6">
        <f t="shared" ref="Q521:Q584" ca="1" si="45">IFERROR(VLOOKUP(M521,Kategorie,9,0),0)</f>
        <v>0</v>
      </c>
      <c r="R521" s="6">
        <f t="shared" ref="R521:R584" ca="1" si="46">IFERROR(VLOOKUP(N521,Kategorie,9,0),0)</f>
        <v>0</v>
      </c>
      <c r="U521" s="6" t="str">
        <f ca="1">IF(Q521&gt;0,"SELECT "&amp;COUNTIF($Q$1:$T520,"&gt;0")+1&amp;", "&amp;$A521&amp;", "&amp;Q521&amp;" UNION ALL","")</f>
        <v/>
      </c>
      <c r="V521" s="6" t="str">
        <f ca="1">IF(R521&gt;0,"SELECT "&amp;COUNTIF($Q$1:$T520,"&gt;0")+COUNTIF($Q521:Q521,"&gt;0")+1&amp;", "&amp;$A521&amp;", "&amp;R521&amp;" UNION ALL","")</f>
        <v/>
      </c>
      <c r="W521" s="6" t="str">
        <f>IF(S521&gt;0,"SELECT "&amp;COUNTIF($Q$1:$T520,"&gt;0")+COUNTIF($Q521:R521,"&gt;0")+1&amp;", "&amp;$A521&amp;", "&amp;S521&amp;" UNION ALL","")</f>
        <v/>
      </c>
      <c r="X521" s="6" t="str">
        <f>IF(T521&gt;0,"SELECT "&amp;COUNTIF($Q$1:$T520,"&gt;0")+COUNTIF($Q521:S521,"&gt;0")+1&amp;", "&amp;$A521&amp;", "&amp;T521&amp;" UNION ALL","")</f>
        <v/>
      </c>
      <c r="Y521" s="5" t="str">
        <f t="shared" ca="1" si="44"/>
        <v/>
      </c>
    </row>
    <row r="522" spans="1:25">
      <c r="A522" s="6">
        <f t="shared" si="43"/>
        <v>553</v>
      </c>
      <c r="B522" s="6" t="s">
        <v>1345</v>
      </c>
      <c r="C522" s="6">
        <v>2</v>
      </c>
      <c r="D522" s="6">
        <v>8</v>
      </c>
      <c r="L522" s="6" t="str">
        <f t="shared" si="42"/>
        <v>SELECT 553, N'przypuszczać', 2, 8 UNION ALL</v>
      </c>
      <c r="Q522" s="6">
        <f t="shared" ca="1" si="45"/>
        <v>0</v>
      </c>
      <c r="R522" s="6">
        <f t="shared" ca="1" si="46"/>
        <v>0</v>
      </c>
      <c r="U522" s="6" t="str">
        <f ca="1">IF(Q522&gt;0,"SELECT "&amp;COUNTIF($Q$1:$T521,"&gt;0")+1&amp;", "&amp;$A522&amp;", "&amp;Q522&amp;" UNION ALL","")</f>
        <v/>
      </c>
      <c r="V522" s="6" t="str">
        <f ca="1">IF(R522&gt;0,"SELECT "&amp;COUNTIF($Q$1:$T521,"&gt;0")+COUNTIF($Q522:Q522,"&gt;0")+1&amp;", "&amp;$A522&amp;", "&amp;R522&amp;" UNION ALL","")</f>
        <v/>
      </c>
      <c r="W522" s="6" t="str">
        <f>IF(S522&gt;0,"SELECT "&amp;COUNTIF($Q$1:$T521,"&gt;0")+COUNTIF($Q522:R522,"&gt;0")+1&amp;", "&amp;$A522&amp;", "&amp;S522&amp;" UNION ALL","")</f>
        <v/>
      </c>
      <c r="X522" s="6" t="str">
        <f>IF(T522&gt;0,"SELECT "&amp;COUNTIF($Q$1:$T521,"&gt;0")+COUNTIF($Q522:S522,"&gt;0")+1&amp;", "&amp;$A522&amp;", "&amp;T522&amp;" UNION ALL","")</f>
        <v/>
      </c>
      <c r="Y522" s="5" t="str">
        <f t="shared" ca="1" si="44"/>
        <v/>
      </c>
    </row>
    <row r="523" spans="1:25">
      <c r="A523" s="6">
        <f t="shared" si="43"/>
        <v>554</v>
      </c>
      <c r="B523" s="6" t="s">
        <v>1346</v>
      </c>
      <c r="C523" s="6">
        <v>1</v>
      </c>
      <c r="D523" s="6">
        <v>10</v>
      </c>
      <c r="L523" s="6" t="str">
        <f t="shared" si="42"/>
        <v>SELECT 554, N'gazeta', 1, 10 UNION ALL</v>
      </c>
      <c r="M523" s="6" t="s">
        <v>550</v>
      </c>
      <c r="Q523" s="6">
        <f t="shared" ca="1" si="45"/>
        <v>72</v>
      </c>
      <c r="R523" s="6">
        <f t="shared" ca="1" si="46"/>
        <v>0</v>
      </c>
      <c r="U523" s="6" t="str">
        <f ca="1">IF(Q523&gt;0,"SELECT "&amp;COUNTIF($Q$1:$T522,"&gt;0")+1&amp;", "&amp;$A523&amp;", "&amp;Q523&amp;" UNION ALL","")</f>
        <v>SELECT 437, 554, 72 UNION ALL</v>
      </c>
      <c r="V523" s="6" t="str">
        <f ca="1">IF(R523&gt;0,"SELECT "&amp;COUNTIF($Q$1:$T522,"&gt;0")+COUNTIF($Q523:Q523,"&gt;0")+1&amp;", "&amp;$A523&amp;", "&amp;R523&amp;" UNION ALL","")</f>
        <v/>
      </c>
      <c r="W523" s="6" t="str">
        <f>IF(S523&gt;0,"SELECT "&amp;COUNTIF($Q$1:$T522,"&gt;0")+COUNTIF($Q523:R523,"&gt;0")+1&amp;", "&amp;$A523&amp;", "&amp;S523&amp;" UNION ALL","")</f>
        <v/>
      </c>
      <c r="X523" s="6" t="str">
        <f>IF(T523&gt;0,"SELECT "&amp;COUNTIF($Q$1:$T522,"&gt;0")+COUNTIF($Q523:S523,"&gt;0")+1&amp;", "&amp;$A523&amp;", "&amp;T523&amp;" UNION ALL","")</f>
        <v/>
      </c>
      <c r="Y523" s="5" t="str">
        <f t="shared" ca="1" si="44"/>
        <v>SELECT 437, 554, 72 UNION ALL</v>
      </c>
    </row>
    <row r="524" spans="1:25">
      <c r="A524" s="6">
        <f t="shared" si="43"/>
        <v>555</v>
      </c>
      <c r="B524" s="6" t="s">
        <v>1347</v>
      </c>
      <c r="C524" s="6">
        <v>1</v>
      </c>
      <c r="D524" s="6">
        <v>9</v>
      </c>
      <c r="L524" s="6" t="str">
        <f t="shared" si="42"/>
        <v>SELECT 555, N'dokument', 1, 9 UNION ALL</v>
      </c>
      <c r="M524" s="6" t="s">
        <v>1480</v>
      </c>
      <c r="Q524" s="6">
        <f t="shared" ca="1" si="45"/>
        <v>77</v>
      </c>
      <c r="R524" s="6">
        <f t="shared" ca="1" si="46"/>
        <v>0</v>
      </c>
      <c r="U524" s="6" t="str">
        <f ca="1">IF(Q524&gt;0,"SELECT "&amp;COUNTIF($Q$1:$T523,"&gt;0")+1&amp;", "&amp;$A524&amp;", "&amp;Q524&amp;" UNION ALL","")</f>
        <v>SELECT 438, 555, 77 UNION ALL</v>
      </c>
      <c r="V524" s="6" t="str">
        <f ca="1">IF(R524&gt;0,"SELECT "&amp;COUNTIF($Q$1:$T523,"&gt;0")+COUNTIF($Q524:Q524,"&gt;0")+1&amp;", "&amp;$A524&amp;", "&amp;R524&amp;" UNION ALL","")</f>
        <v/>
      </c>
      <c r="W524" s="6" t="str">
        <f>IF(S524&gt;0,"SELECT "&amp;COUNTIF($Q$1:$T523,"&gt;0")+COUNTIF($Q524:R524,"&gt;0")+1&amp;", "&amp;$A524&amp;", "&amp;S524&amp;" UNION ALL","")</f>
        <v/>
      </c>
      <c r="X524" s="6" t="str">
        <f>IF(T524&gt;0,"SELECT "&amp;COUNTIF($Q$1:$T523,"&gt;0")+COUNTIF($Q524:S524,"&gt;0")+1&amp;", "&amp;$A524&amp;", "&amp;T524&amp;" UNION ALL","")</f>
        <v/>
      </c>
      <c r="Y524" s="5" t="str">
        <f t="shared" ca="1" si="44"/>
        <v>SELECT 438, 555, 77 UNION ALL</v>
      </c>
    </row>
    <row r="525" spans="1:25">
      <c r="A525" s="6">
        <f t="shared" si="43"/>
        <v>556</v>
      </c>
      <c r="B525" s="6" t="s">
        <v>1348</v>
      </c>
      <c r="C525" s="6">
        <v>1</v>
      </c>
      <c r="D525" s="6">
        <v>8</v>
      </c>
      <c r="L525" s="6" t="str">
        <f t="shared" si="42"/>
        <v>SELECT 556, N'wiersz', 1, 8 UNION ALL</v>
      </c>
      <c r="M525" s="6" t="s">
        <v>1435</v>
      </c>
      <c r="Q525" s="6">
        <f t="shared" ca="1" si="45"/>
        <v>67</v>
      </c>
      <c r="R525" s="6">
        <f t="shared" ca="1" si="46"/>
        <v>0</v>
      </c>
      <c r="U525" s="6" t="str">
        <f ca="1">IF(Q525&gt;0,"SELECT "&amp;COUNTIF($Q$1:$T524,"&gt;0")+1&amp;", "&amp;$A525&amp;", "&amp;Q525&amp;" UNION ALL","")</f>
        <v>SELECT 439, 556, 67 UNION ALL</v>
      </c>
      <c r="V525" s="6" t="str">
        <f ca="1">IF(R525&gt;0,"SELECT "&amp;COUNTIF($Q$1:$T524,"&gt;0")+COUNTIF($Q525:Q525,"&gt;0")+1&amp;", "&amp;$A525&amp;", "&amp;R525&amp;" UNION ALL","")</f>
        <v/>
      </c>
      <c r="W525" s="6" t="str">
        <f>IF(S525&gt;0,"SELECT "&amp;COUNTIF($Q$1:$T524,"&gt;0")+COUNTIF($Q525:R525,"&gt;0")+1&amp;", "&amp;$A525&amp;", "&amp;S525&amp;" UNION ALL","")</f>
        <v/>
      </c>
      <c r="X525" s="6" t="str">
        <f>IF(T525&gt;0,"SELECT "&amp;COUNTIF($Q$1:$T524,"&gt;0")+COUNTIF($Q525:S525,"&gt;0")+1&amp;", "&amp;$A525&amp;", "&amp;T525&amp;" UNION ALL","")</f>
        <v/>
      </c>
      <c r="Y525" s="5" t="str">
        <f t="shared" ca="1" si="44"/>
        <v>SELECT 439, 556, 67 UNION ALL</v>
      </c>
    </row>
    <row r="526" spans="1:25">
      <c r="A526" s="6">
        <f t="shared" si="43"/>
        <v>557</v>
      </c>
      <c r="B526" s="6" t="s">
        <v>1349</v>
      </c>
      <c r="C526" s="6">
        <v>2</v>
      </c>
      <c r="D526" s="6">
        <v>10</v>
      </c>
      <c r="L526" s="6" t="str">
        <f t="shared" si="42"/>
        <v>SELECT 557, N'pisać', 2, 10 UNION ALL</v>
      </c>
      <c r="Q526" s="6">
        <f t="shared" ca="1" si="45"/>
        <v>0</v>
      </c>
      <c r="R526" s="6">
        <f t="shared" ca="1" si="46"/>
        <v>0</v>
      </c>
      <c r="U526" s="6" t="str">
        <f ca="1">IF(Q526&gt;0,"SELECT "&amp;COUNTIF($Q$1:$T525,"&gt;0")+1&amp;", "&amp;$A526&amp;", "&amp;Q526&amp;" UNION ALL","")</f>
        <v/>
      </c>
      <c r="V526" s="6" t="str">
        <f ca="1">IF(R526&gt;0,"SELECT "&amp;COUNTIF($Q$1:$T525,"&gt;0")+COUNTIF($Q526:Q526,"&gt;0")+1&amp;", "&amp;$A526&amp;", "&amp;R526&amp;" UNION ALL","")</f>
        <v/>
      </c>
      <c r="W526" s="6" t="str">
        <f>IF(S526&gt;0,"SELECT "&amp;COUNTIF($Q$1:$T525,"&gt;0")+COUNTIF($Q526:R526,"&gt;0")+1&amp;", "&amp;$A526&amp;", "&amp;S526&amp;" UNION ALL","")</f>
        <v/>
      </c>
      <c r="X526" s="6" t="str">
        <f>IF(T526&gt;0,"SELECT "&amp;COUNTIF($Q$1:$T525,"&gt;0")+COUNTIF($Q526:S526,"&gt;0")+1&amp;", "&amp;$A526&amp;", "&amp;T526&amp;" UNION ALL","")</f>
        <v/>
      </c>
      <c r="Y526" s="5" t="str">
        <f t="shared" ca="1" si="44"/>
        <v/>
      </c>
    </row>
    <row r="527" spans="1:25" ht="30">
      <c r="A527" s="6">
        <f t="shared" si="43"/>
        <v>558</v>
      </c>
      <c r="B527" s="6" t="s">
        <v>1350</v>
      </c>
      <c r="C527" s="6">
        <v>1</v>
      </c>
      <c r="D527" s="6">
        <v>10</v>
      </c>
      <c r="L527" s="6" t="str">
        <f t="shared" si="42"/>
        <v>SELECT 558, N'stół', 1, 10 UNION ALL</v>
      </c>
      <c r="M527" s="6" t="s">
        <v>550</v>
      </c>
      <c r="N527" t="s">
        <v>1441</v>
      </c>
      <c r="Q527" s="6">
        <f t="shared" ca="1" si="45"/>
        <v>72</v>
      </c>
      <c r="R527" s="6">
        <f t="shared" ca="1" si="46"/>
        <v>56</v>
      </c>
      <c r="U527" s="6" t="str">
        <f ca="1">IF(Q527&gt;0,"SELECT "&amp;COUNTIF($Q$1:$T526,"&gt;0")+1&amp;", "&amp;$A527&amp;", "&amp;Q527&amp;" UNION ALL","")</f>
        <v>SELECT 440, 558, 72 UNION ALL</v>
      </c>
      <c r="V527" s="6" t="str">
        <f ca="1">IF(R527&gt;0,"SELECT "&amp;COUNTIF($Q$1:$T526,"&gt;0")+COUNTIF($Q527:Q527,"&gt;0")+1&amp;", "&amp;$A527&amp;", "&amp;R527&amp;" UNION ALL","")</f>
        <v>SELECT 441, 558, 56 UNION ALL</v>
      </c>
      <c r="W527" s="6" t="str">
        <f>IF(S527&gt;0,"SELECT "&amp;COUNTIF($Q$1:$T526,"&gt;0")+COUNTIF($Q527:R527,"&gt;0")+1&amp;", "&amp;$A527&amp;", "&amp;S527&amp;" UNION ALL","")</f>
        <v/>
      </c>
      <c r="X527" s="6" t="str">
        <f>IF(T527&gt;0,"SELECT "&amp;COUNTIF($Q$1:$T526,"&gt;0")+COUNTIF($Q527:S527,"&gt;0")+1&amp;", "&amp;$A527&amp;", "&amp;T527&amp;" UNION ALL","")</f>
        <v/>
      </c>
      <c r="Y527" s="5" t="str">
        <f t="shared" ca="1" si="44"/>
        <v>SELECT 440, 558, 72 UNION ALL
SELECT 441, 558, 56 UNION ALL</v>
      </c>
    </row>
    <row r="528" spans="1:25" ht="30">
      <c r="A528" s="6">
        <f t="shared" si="43"/>
        <v>559</v>
      </c>
      <c r="B528" s="6" t="s">
        <v>1351</v>
      </c>
      <c r="C528" s="6">
        <v>1</v>
      </c>
      <c r="D528" s="6">
        <v>10</v>
      </c>
      <c r="L528" s="6" t="str">
        <f t="shared" si="42"/>
        <v>SELECT 559, N'krzesło', 1, 10 UNION ALL</v>
      </c>
      <c r="M528" s="6" t="s">
        <v>550</v>
      </c>
      <c r="N528" s="6" t="s">
        <v>1443</v>
      </c>
      <c r="O528" s="6" t="s">
        <v>1441</v>
      </c>
      <c r="Q528" s="6">
        <f t="shared" ca="1" si="45"/>
        <v>72</v>
      </c>
      <c r="R528" s="6">
        <f t="shared" ca="1" si="46"/>
        <v>58</v>
      </c>
      <c r="U528" s="6" t="str">
        <f ca="1">IF(Q528&gt;0,"SELECT "&amp;COUNTIF($Q$1:$T527,"&gt;0")+1&amp;", "&amp;$A528&amp;", "&amp;Q528&amp;" UNION ALL","")</f>
        <v>SELECT 442, 559, 72 UNION ALL</v>
      </c>
      <c r="V528" s="6" t="str">
        <f ca="1">IF(R528&gt;0,"SELECT "&amp;COUNTIF($Q$1:$T527,"&gt;0")+COUNTIF($Q528:Q528,"&gt;0")+1&amp;", "&amp;$A528&amp;", "&amp;R528&amp;" UNION ALL","")</f>
        <v>SELECT 443, 559, 58 UNION ALL</v>
      </c>
      <c r="W528" s="6" t="str">
        <f>IF(S528&gt;0,"SELECT "&amp;COUNTIF($Q$1:$T527,"&gt;0")+COUNTIF($Q528:R528,"&gt;0")+1&amp;", "&amp;$A528&amp;", "&amp;S528&amp;" UNION ALL","")</f>
        <v/>
      </c>
      <c r="X528" s="6" t="str">
        <f>IF(T528&gt;0,"SELECT "&amp;COUNTIF($Q$1:$T527,"&gt;0")+COUNTIF($Q528:S528,"&gt;0")+1&amp;", "&amp;$A528&amp;", "&amp;T528&amp;" UNION ALL","")</f>
        <v/>
      </c>
      <c r="Y528" s="5" t="str">
        <f t="shared" ca="1" si="44"/>
        <v>SELECT 442, 559, 72 UNION ALL
SELECT 443, 559, 58 UNION ALL</v>
      </c>
    </row>
    <row r="529" spans="1:25" ht="30">
      <c r="A529" s="6">
        <f t="shared" si="43"/>
        <v>560</v>
      </c>
      <c r="B529" s="6" t="s">
        <v>1352</v>
      </c>
      <c r="C529" s="6">
        <v>1</v>
      </c>
      <c r="D529" s="6">
        <v>10</v>
      </c>
      <c r="L529" s="6" t="str">
        <f t="shared" si="42"/>
        <v>SELECT 560, N'podłoga', 1, 10 UNION ALL</v>
      </c>
      <c r="M529" s="6" t="s">
        <v>550</v>
      </c>
      <c r="N529" s="6" t="s">
        <v>1443</v>
      </c>
      <c r="Q529" s="6">
        <f t="shared" ca="1" si="45"/>
        <v>72</v>
      </c>
      <c r="R529" s="6">
        <f t="shared" ca="1" si="46"/>
        <v>58</v>
      </c>
      <c r="U529" s="6" t="str">
        <f ca="1">IF(Q529&gt;0,"SELECT "&amp;COUNTIF($Q$1:$T528,"&gt;0")+1&amp;", "&amp;$A529&amp;", "&amp;Q529&amp;" UNION ALL","")</f>
        <v>SELECT 444, 560, 72 UNION ALL</v>
      </c>
      <c r="V529" s="6" t="str">
        <f ca="1">IF(R529&gt;0,"SELECT "&amp;COUNTIF($Q$1:$T528,"&gt;0")+COUNTIF($Q529:Q529,"&gt;0")+1&amp;", "&amp;$A529&amp;", "&amp;R529&amp;" UNION ALL","")</f>
        <v>SELECT 445, 560, 58 UNION ALL</v>
      </c>
      <c r="W529" s="6" t="str">
        <f>IF(S529&gt;0,"SELECT "&amp;COUNTIF($Q$1:$T528,"&gt;0")+COUNTIF($Q529:R529,"&gt;0")+1&amp;", "&amp;$A529&amp;", "&amp;S529&amp;" UNION ALL","")</f>
        <v/>
      </c>
      <c r="X529" s="6" t="str">
        <f>IF(T529&gt;0,"SELECT "&amp;COUNTIF($Q$1:$T528,"&gt;0")+COUNTIF($Q529:S529,"&gt;0")+1&amp;", "&amp;$A529&amp;", "&amp;T529&amp;" UNION ALL","")</f>
        <v/>
      </c>
      <c r="Y529" s="5" t="str">
        <f t="shared" ca="1" si="44"/>
        <v>SELECT 444, 560, 72 UNION ALL
SELECT 445, 560, 58 UNION ALL</v>
      </c>
    </row>
    <row r="530" spans="1:25" ht="30">
      <c r="A530" s="6">
        <f t="shared" si="43"/>
        <v>561</v>
      </c>
      <c r="B530" s="6" t="s">
        <v>1353</v>
      </c>
      <c r="C530" s="6">
        <v>1</v>
      </c>
      <c r="D530" s="6">
        <v>10</v>
      </c>
      <c r="L530" s="6" t="str">
        <f t="shared" si="42"/>
        <v>SELECT 561, N'łóżko', 1, 10 UNION ALL</v>
      </c>
      <c r="M530" s="6" t="s">
        <v>550</v>
      </c>
      <c r="N530" t="s">
        <v>1443</v>
      </c>
      <c r="Q530" s="6">
        <f t="shared" ca="1" si="45"/>
        <v>72</v>
      </c>
      <c r="R530" s="6">
        <f t="shared" ca="1" si="46"/>
        <v>58</v>
      </c>
      <c r="U530" s="6" t="str">
        <f ca="1">IF(Q530&gt;0,"SELECT "&amp;COUNTIF($Q$1:$T529,"&gt;0")+1&amp;", "&amp;$A530&amp;", "&amp;Q530&amp;" UNION ALL","")</f>
        <v>SELECT 446, 561, 72 UNION ALL</v>
      </c>
      <c r="V530" s="6" t="str">
        <f ca="1">IF(R530&gt;0,"SELECT "&amp;COUNTIF($Q$1:$T529,"&gt;0")+COUNTIF($Q530:Q530,"&gt;0")+1&amp;", "&amp;$A530&amp;", "&amp;R530&amp;" UNION ALL","")</f>
        <v>SELECT 447, 561, 58 UNION ALL</v>
      </c>
      <c r="W530" s="6" t="str">
        <f>IF(S530&gt;0,"SELECT "&amp;COUNTIF($Q$1:$T529,"&gt;0")+COUNTIF($Q530:R530,"&gt;0")+1&amp;", "&amp;$A530&amp;", "&amp;S530&amp;" UNION ALL","")</f>
        <v/>
      </c>
      <c r="X530" s="6" t="str">
        <f>IF(T530&gt;0,"SELECT "&amp;COUNTIF($Q$1:$T529,"&gt;0")+COUNTIF($Q530:S530,"&gt;0")+1&amp;", "&amp;$A530&amp;", "&amp;T530&amp;" UNION ALL","")</f>
        <v/>
      </c>
      <c r="Y530" s="5" t="str">
        <f t="shared" ca="1" si="44"/>
        <v>SELECT 446, 561, 72 UNION ALL
SELECT 447, 561, 58 UNION ALL</v>
      </c>
    </row>
    <row r="531" spans="1:25">
      <c r="A531" s="6">
        <f t="shared" si="43"/>
        <v>562</v>
      </c>
      <c r="B531" s="6" t="s">
        <v>1354</v>
      </c>
      <c r="C531" s="6">
        <v>2</v>
      </c>
      <c r="D531" s="6">
        <v>8</v>
      </c>
      <c r="L531" s="6" t="str">
        <f t="shared" si="42"/>
        <v>SELECT 562, N'kontaktować', 2, 8 UNION ALL</v>
      </c>
      <c r="Q531" s="6">
        <f t="shared" ca="1" si="45"/>
        <v>0</v>
      </c>
      <c r="R531" s="6">
        <f t="shared" ca="1" si="46"/>
        <v>0</v>
      </c>
      <c r="U531" s="6" t="str">
        <f ca="1">IF(Q531&gt;0,"SELECT "&amp;COUNTIF($Q$1:$T530,"&gt;0")+1&amp;", "&amp;$A531&amp;", "&amp;Q531&amp;" UNION ALL","")</f>
        <v/>
      </c>
      <c r="V531" s="6" t="str">
        <f ca="1">IF(R531&gt;0,"SELECT "&amp;COUNTIF($Q$1:$T530,"&gt;0")+COUNTIF($Q531:Q531,"&gt;0")+1&amp;", "&amp;$A531&amp;", "&amp;R531&amp;" UNION ALL","")</f>
        <v/>
      </c>
      <c r="W531" s="6" t="str">
        <f>IF(S531&gt;0,"SELECT "&amp;COUNTIF($Q$1:$T530,"&gt;0")+COUNTIF($Q531:R531,"&gt;0")+1&amp;", "&amp;$A531&amp;", "&amp;S531&amp;" UNION ALL","")</f>
        <v/>
      </c>
      <c r="X531" s="6" t="str">
        <f>IF(T531&gt;0,"SELECT "&amp;COUNTIF($Q$1:$T530,"&gt;0")+COUNTIF($Q531:S531,"&gt;0")+1&amp;", "&amp;$A531&amp;", "&amp;T531&amp;" UNION ALL","")</f>
        <v/>
      </c>
      <c r="Y531" s="5" t="str">
        <f t="shared" ca="1" si="44"/>
        <v/>
      </c>
    </row>
    <row r="532" spans="1:25">
      <c r="A532" s="6">
        <f t="shared" si="43"/>
        <v>563</v>
      </c>
      <c r="B532" s="6" t="s">
        <v>1355</v>
      </c>
      <c r="C532" s="6">
        <v>2</v>
      </c>
      <c r="D532" s="6">
        <v>10</v>
      </c>
      <c r="L532" s="6" t="str">
        <f t="shared" si="42"/>
        <v>SELECT 563, N'spotykać', 2, 10 UNION ALL</v>
      </c>
      <c r="Q532" s="6">
        <f t="shared" ca="1" si="45"/>
        <v>0</v>
      </c>
      <c r="R532" s="6">
        <f t="shared" ca="1" si="46"/>
        <v>0</v>
      </c>
      <c r="U532" s="6" t="str">
        <f ca="1">IF(Q532&gt;0,"SELECT "&amp;COUNTIF($Q$1:$T531,"&gt;0")+1&amp;", "&amp;$A532&amp;", "&amp;Q532&amp;" UNION ALL","")</f>
        <v/>
      </c>
      <c r="V532" s="6" t="str">
        <f ca="1">IF(R532&gt;0,"SELECT "&amp;COUNTIF($Q$1:$T531,"&gt;0")+COUNTIF($Q532:Q532,"&gt;0")+1&amp;", "&amp;$A532&amp;", "&amp;R532&amp;" UNION ALL","")</f>
        <v/>
      </c>
      <c r="W532" s="6" t="str">
        <f>IF(S532&gt;0,"SELECT "&amp;COUNTIF($Q$1:$T531,"&gt;0")+COUNTIF($Q532:R532,"&gt;0")+1&amp;", "&amp;$A532&amp;", "&amp;S532&amp;" UNION ALL","")</f>
        <v/>
      </c>
      <c r="X532" s="6" t="str">
        <f>IF(T532&gt;0,"SELECT "&amp;COUNTIF($Q$1:$T531,"&gt;0")+COUNTIF($Q532:S532,"&gt;0")+1&amp;", "&amp;$A532&amp;", "&amp;T532&amp;" UNION ALL","")</f>
        <v/>
      </c>
      <c r="Y532" s="5" t="str">
        <f t="shared" ca="1" si="44"/>
        <v/>
      </c>
    </row>
    <row r="533" spans="1:25">
      <c r="A533" s="6">
        <f t="shared" si="43"/>
        <v>564</v>
      </c>
      <c r="B533" s="6" t="s">
        <v>1356</v>
      </c>
      <c r="C533" s="6">
        <v>2</v>
      </c>
      <c r="D533" s="6">
        <v>10</v>
      </c>
      <c r="L533" s="6" t="str">
        <f t="shared" si="42"/>
        <v>SELECT 564, N'uderzać', 2, 10 UNION ALL</v>
      </c>
      <c r="Q533" s="6">
        <f t="shared" ca="1" si="45"/>
        <v>0</v>
      </c>
      <c r="R533" s="6">
        <f t="shared" ca="1" si="46"/>
        <v>0</v>
      </c>
      <c r="U533" s="6" t="str">
        <f ca="1">IF(Q533&gt;0,"SELECT "&amp;COUNTIF($Q$1:$T532,"&gt;0")+1&amp;", "&amp;$A533&amp;", "&amp;Q533&amp;" UNION ALL","")</f>
        <v/>
      </c>
      <c r="V533" s="6" t="str">
        <f ca="1">IF(R533&gt;0,"SELECT "&amp;COUNTIF($Q$1:$T532,"&gt;0")+COUNTIF($Q533:Q533,"&gt;0")+1&amp;", "&amp;$A533&amp;", "&amp;R533&amp;" UNION ALL","")</f>
        <v/>
      </c>
      <c r="W533" s="6" t="str">
        <f>IF(S533&gt;0,"SELECT "&amp;COUNTIF($Q$1:$T532,"&gt;0")+COUNTIF($Q533:R533,"&gt;0")+1&amp;", "&amp;$A533&amp;", "&amp;S533&amp;" UNION ALL","")</f>
        <v/>
      </c>
      <c r="X533" s="6" t="str">
        <f>IF(T533&gt;0,"SELECT "&amp;COUNTIF($Q$1:$T532,"&gt;0")+COUNTIF($Q533:S533,"&gt;0")+1&amp;", "&amp;$A533&amp;", "&amp;T533&amp;" UNION ALL","")</f>
        <v/>
      </c>
      <c r="Y533" s="5" t="str">
        <f t="shared" ca="1" si="44"/>
        <v/>
      </c>
    </row>
    <row r="534" spans="1:25">
      <c r="A534" s="6">
        <f t="shared" si="43"/>
        <v>565</v>
      </c>
      <c r="B534" s="6" t="s">
        <v>1357</v>
      </c>
      <c r="C534" s="6">
        <v>2</v>
      </c>
      <c r="D534" s="6">
        <v>9</v>
      </c>
      <c r="L534" s="6" t="str">
        <f t="shared" si="42"/>
        <v>SELECT 565, N'dzielić', 2, 9 UNION ALL</v>
      </c>
      <c r="Q534" s="6">
        <f t="shared" ca="1" si="45"/>
        <v>0</v>
      </c>
      <c r="R534" s="6">
        <f t="shared" ca="1" si="46"/>
        <v>0</v>
      </c>
      <c r="U534" s="6" t="str">
        <f ca="1">IF(Q534&gt;0,"SELECT "&amp;COUNTIF($Q$1:$T533,"&gt;0")+1&amp;", "&amp;$A534&amp;", "&amp;Q534&amp;" UNION ALL","")</f>
        <v/>
      </c>
      <c r="V534" s="6" t="str">
        <f ca="1">IF(R534&gt;0,"SELECT "&amp;COUNTIF($Q$1:$T533,"&gt;0")+COUNTIF($Q534:Q534,"&gt;0")+1&amp;", "&amp;$A534&amp;", "&amp;R534&amp;" UNION ALL","")</f>
        <v/>
      </c>
      <c r="W534" s="6" t="str">
        <f>IF(S534&gt;0,"SELECT "&amp;COUNTIF($Q$1:$T533,"&gt;0")+COUNTIF($Q534:R534,"&gt;0")+1&amp;", "&amp;$A534&amp;", "&amp;S534&amp;" UNION ALL","")</f>
        <v/>
      </c>
      <c r="X534" s="6" t="str">
        <f>IF(T534&gt;0,"SELECT "&amp;COUNTIF($Q$1:$T533,"&gt;0")+COUNTIF($Q534:S534,"&gt;0")+1&amp;", "&amp;$A534&amp;", "&amp;T534&amp;" UNION ALL","")</f>
        <v/>
      </c>
      <c r="Y534" s="5" t="str">
        <f t="shared" ca="1" si="44"/>
        <v/>
      </c>
    </row>
    <row r="535" spans="1:25">
      <c r="A535" s="6">
        <f t="shared" si="43"/>
        <v>566</v>
      </c>
      <c r="B535" s="6" t="s">
        <v>1358</v>
      </c>
      <c r="C535" s="6">
        <v>2</v>
      </c>
      <c r="D535" s="6">
        <v>10</v>
      </c>
      <c r="L535" s="6" t="str">
        <f t="shared" si="42"/>
        <v>SELECT 566, N'czekać', 2, 10 UNION ALL</v>
      </c>
      <c r="Q535" s="6">
        <f t="shared" ca="1" si="45"/>
        <v>0</v>
      </c>
      <c r="R535" s="6">
        <f t="shared" ca="1" si="46"/>
        <v>0</v>
      </c>
      <c r="U535" s="6" t="str">
        <f ca="1">IF(Q535&gt;0,"SELECT "&amp;COUNTIF($Q$1:$T534,"&gt;0")+1&amp;", "&amp;$A535&amp;", "&amp;Q535&amp;" UNION ALL","")</f>
        <v/>
      </c>
      <c r="V535" s="6" t="str">
        <f ca="1">IF(R535&gt;0,"SELECT "&amp;COUNTIF($Q$1:$T534,"&gt;0")+COUNTIF($Q535:Q535,"&gt;0")+1&amp;", "&amp;$A535&amp;", "&amp;R535&amp;" UNION ALL","")</f>
        <v/>
      </c>
      <c r="W535" s="6" t="str">
        <f>IF(S535&gt;0,"SELECT "&amp;COUNTIF($Q$1:$T534,"&gt;0")+COUNTIF($Q535:R535,"&gt;0")+1&amp;", "&amp;$A535&amp;", "&amp;S535&amp;" UNION ALL","")</f>
        <v/>
      </c>
      <c r="X535" s="6" t="str">
        <f>IF(T535&gt;0,"SELECT "&amp;COUNTIF($Q$1:$T534,"&gt;0")+COUNTIF($Q535:S535,"&gt;0")+1&amp;", "&amp;$A535&amp;", "&amp;T535&amp;" UNION ALL","")</f>
        <v/>
      </c>
      <c r="Y535" s="5" t="str">
        <f t="shared" ca="1" si="44"/>
        <v/>
      </c>
    </row>
    <row r="536" spans="1:25">
      <c r="A536" s="6">
        <f t="shared" si="43"/>
        <v>567</v>
      </c>
      <c r="B536" s="6" t="s">
        <v>1359</v>
      </c>
      <c r="C536" s="6">
        <v>2</v>
      </c>
      <c r="D536" s="6">
        <v>10</v>
      </c>
      <c r="L536" s="6" t="str">
        <f t="shared" si="42"/>
        <v>SELECT 567, N'znać', 2, 10 UNION ALL</v>
      </c>
      <c r="Q536" s="6">
        <f t="shared" ca="1" si="45"/>
        <v>0</v>
      </c>
      <c r="R536" s="6">
        <f t="shared" ca="1" si="46"/>
        <v>0</v>
      </c>
      <c r="U536" s="6" t="str">
        <f ca="1">IF(Q536&gt;0,"SELECT "&amp;COUNTIF($Q$1:$T535,"&gt;0")+1&amp;", "&amp;$A536&amp;", "&amp;Q536&amp;" UNION ALL","")</f>
        <v/>
      </c>
      <c r="V536" s="6" t="str">
        <f ca="1">IF(R536&gt;0,"SELECT "&amp;COUNTIF($Q$1:$T535,"&gt;0")+COUNTIF($Q536:Q536,"&gt;0")+1&amp;", "&amp;$A536&amp;", "&amp;R536&amp;" UNION ALL","")</f>
        <v/>
      </c>
      <c r="W536" s="6" t="str">
        <f>IF(S536&gt;0,"SELECT "&amp;COUNTIF($Q$1:$T535,"&gt;0")+COUNTIF($Q536:R536,"&gt;0")+1&amp;", "&amp;$A536&amp;", "&amp;S536&amp;" UNION ALL","")</f>
        <v/>
      </c>
      <c r="X536" s="6" t="str">
        <f>IF(T536&gt;0,"SELECT "&amp;COUNTIF($Q$1:$T535,"&gt;0")+COUNTIF($Q536:S536,"&gt;0")+1&amp;", "&amp;$A536&amp;", "&amp;T536&amp;" UNION ALL","")</f>
        <v/>
      </c>
      <c r="Y536" s="5" t="str">
        <f t="shared" ca="1" si="44"/>
        <v/>
      </c>
    </row>
    <row r="537" spans="1:25">
      <c r="A537" s="6">
        <f t="shared" si="43"/>
        <v>568</v>
      </c>
      <c r="B537" s="6" t="s">
        <v>1360</v>
      </c>
      <c r="C537" s="6">
        <v>2</v>
      </c>
      <c r="D537" s="6">
        <v>10</v>
      </c>
      <c r="L537" s="6" t="str">
        <f t="shared" ref="L537:L600" si="47">"SELECT "&amp;A537&amp;", N'"&amp;B537&amp;"', "&amp;C537&amp;", "&amp;D537&amp;" UNION ALL"</f>
        <v>SELECT 568, N'wyjeżdżać', 2, 10 UNION ALL</v>
      </c>
      <c r="Q537" s="6">
        <f t="shared" ca="1" si="45"/>
        <v>0</v>
      </c>
      <c r="R537" s="6">
        <f t="shared" ca="1" si="46"/>
        <v>0</v>
      </c>
      <c r="U537" s="6" t="str">
        <f ca="1">IF(Q537&gt;0,"SELECT "&amp;COUNTIF($Q$1:$T536,"&gt;0")+1&amp;", "&amp;$A537&amp;", "&amp;Q537&amp;" UNION ALL","")</f>
        <v/>
      </c>
      <c r="V537" s="6" t="str">
        <f ca="1">IF(R537&gt;0,"SELECT "&amp;COUNTIF($Q$1:$T536,"&gt;0")+COUNTIF($Q537:Q537,"&gt;0")+1&amp;", "&amp;$A537&amp;", "&amp;R537&amp;" UNION ALL","")</f>
        <v/>
      </c>
      <c r="W537" s="6" t="str">
        <f>IF(S537&gt;0,"SELECT "&amp;COUNTIF($Q$1:$T536,"&gt;0")+COUNTIF($Q537:R537,"&gt;0")+1&amp;", "&amp;$A537&amp;", "&amp;S537&amp;" UNION ALL","")</f>
        <v/>
      </c>
      <c r="X537" s="6" t="str">
        <f>IF(T537&gt;0,"SELECT "&amp;COUNTIF($Q$1:$T536,"&gt;0")+COUNTIF($Q537:S537,"&gt;0")+1&amp;", "&amp;$A537&amp;", "&amp;T537&amp;" UNION ALL","")</f>
        <v/>
      </c>
      <c r="Y537" s="5" t="str">
        <f t="shared" ca="1" si="44"/>
        <v/>
      </c>
    </row>
    <row r="538" spans="1:25">
      <c r="A538" s="6">
        <f t="shared" si="43"/>
        <v>569</v>
      </c>
      <c r="B538" s="6" t="s">
        <v>1361</v>
      </c>
      <c r="C538" s="6">
        <v>2</v>
      </c>
      <c r="D538" s="6">
        <v>8</v>
      </c>
      <c r="L538" s="6" t="str">
        <f t="shared" si="47"/>
        <v>SELECT 569, N'gadać', 2, 8 UNION ALL</v>
      </c>
      <c r="Q538" s="6">
        <f t="shared" ca="1" si="45"/>
        <v>0</v>
      </c>
      <c r="R538" s="6">
        <f t="shared" ca="1" si="46"/>
        <v>0</v>
      </c>
      <c r="U538" s="6" t="str">
        <f ca="1">IF(Q538&gt;0,"SELECT "&amp;COUNTIF($Q$1:$T537,"&gt;0")+1&amp;", "&amp;$A538&amp;", "&amp;Q538&amp;" UNION ALL","")</f>
        <v/>
      </c>
      <c r="V538" s="6" t="str">
        <f ca="1">IF(R538&gt;0,"SELECT "&amp;COUNTIF($Q$1:$T537,"&gt;0")+COUNTIF($Q538:Q538,"&gt;0")+1&amp;", "&amp;$A538&amp;", "&amp;R538&amp;" UNION ALL","")</f>
        <v/>
      </c>
      <c r="W538" s="6" t="str">
        <f>IF(S538&gt;0,"SELECT "&amp;COUNTIF($Q$1:$T537,"&gt;0")+COUNTIF($Q538:R538,"&gt;0")+1&amp;", "&amp;$A538&amp;", "&amp;S538&amp;" UNION ALL","")</f>
        <v/>
      </c>
      <c r="X538" s="6" t="str">
        <f>IF(T538&gt;0,"SELECT "&amp;COUNTIF($Q$1:$T537,"&gt;0")+COUNTIF($Q538:S538,"&gt;0")+1&amp;", "&amp;$A538&amp;", "&amp;T538&amp;" UNION ALL","")</f>
        <v/>
      </c>
      <c r="Y538" s="5" t="str">
        <f t="shared" ca="1" si="44"/>
        <v/>
      </c>
    </row>
    <row r="539" spans="1:25">
      <c r="A539" s="6">
        <f t="shared" si="43"/>
        <v>570</v>
      </c>
      <c r="B539" s="6" t="s">
        <v>1362</v>
      </c>
      <c r="C539" s="6">
        <v>2</v>
      </c>
      <c r="D539" s="6">
        <v>9</v>
      </c>
      <c r="L539" s="6" t="str">
        <f t="shared" si="47"/>
        <v>SELECT 570, N'nosić', 2, 9 UNION ALL</v>
      </c>
      <c r="Q539" s="6">
        <f t="shared" ca="1" si="45"/>
        <v>0</v>
      </c>
      <c r="R539" s="6">
        <f t="shared" ca="1" si="46"/>
        <v>0</v>
      </c>
      <c r="U539" s="6" t="str">
        <f ca="1">IF(Q539&gt;0,"SELECT "&amp;COUNTIF($Q$1:$T538,"&gt;0")+1&amp;", "&amp;$A539&amp;", "&amp;Q539&amp;" UNION ALL","")</f>
        <v/>
      </c>
      <c r="V539" s="6" t="str">
        <f ca="1">IF(R539&gt;0,"SELECT "&amp;COUNTIF($Q$1:$T538,"&gt;0")+COUNTIF($Q539:Q539,"&gt;0")+1&amp;", "&amp;$A539&amp;", "&amp;R539&amp;" UNION ALL","")</f>
        <v/>
      </c>
      <c r="W539" s="6" t="str">
        <f>IF(S539&gt;0,"SELECT "&amp;COUNTIF($Q$1:$T538,"&gt;0")+COUNTIF($Q539:R539,"&gt;0")+1&amp;", "&amp;$A539&amp;", "&amp;S539&amp;" UNION ALL","")</f>
        <v/>
      </c>
      <c r="X539" s="6" t="str">
        <f>IF(T539&gt;0,"SELECT "&amp;COUNTIF($Q$1:$T538,"&gt;0")+COUNTIF($Q539:S539,"&gt;0")+1&amp;", "&amp;$A539&amp;", "&amp;T539&amp;" UNION ALL","")</f>
        <v/>
      </c>
      <c r="Y539" s="5" t="str">
        <f t="shared" ca="1" si="44"/>
        <v/>
      </c>
    </row>
    <row r="540" spans="1:25">
      <c r="A540" s="6">
        <f t="shared" si="43"/>
        <v>571</v>
      </c>
      <c r="B540" s="6" t="s">
        <v>1363</v>
      </c>
      <c r="C540" s="6">
        <v>2</v>
      </c>
      <c r="D540" s="6">
        <v>9</v>
      </c>
      <c r="L540" s="6" t="str">
        <f t="shared" si="47"/>
        <v>SELECT 571, N'brakować', 2, 9 UNION ALL</v>
      </c>
      <c r="Q540" s="6">
        <f t="shared" ca="1" si="45"/>
        <v>0</v>
      </c>
      <c r="R540" s="6">
        <f t="shared" ca="1" si="46"/>
        <v>0</v>
      </c>
      <c r="U540" s="6" t="str">
        <f ca="1">IF(Q540&gt;0,"SELECT "&amp;COUNTIF($Q$1:$T539,"&gt;0")+1&amp;", "&amp;$A540&amp;", "&amp;Q540&amp;" UNION ALL","")</f>
        <v/>
      </c>
      <c r="V540" s="6" t="str">
        <f ca="1">IF(R540&gt;0,"SELECT "&amp;COUNTIF($Q$1:$T539,"&gt;0")+COUNTIF($Q540:Q540,"&gt;0")+1&amp;", "&amp;$A540&amp;", "&amp;R540&amp;" UNION ALL","")</f>
        <v/>
      </c>
      <c r="W540" s="6" t="str">
        <f>IF(S540&gt;0,"SELECT "&amp;COUNTIF($Q$1:$T539,"&gt;0")+COUNTIF($Q540:R540,"&gt;0")+1&amp;", "&amp;$A540&amp;", "&amp;S540&amp;" UNION ALL","")</f>
        <v/>
      </c>
      <c r="X540" s="6" t="str">
        <f>IF(T540&gt;0,"SELECT "&amp;COUNTIF($Q$1:$T539,"&gt;0")+COUNTIF($Q540:S540,"&gt;0")+1&amp;", "&amp;$A540&amp;", "&amp;T540&amp;" UNION ALL","")</f>
        <v/>
      </c>
      <c r="Y540" s="5" t="str">
        <f t="shared" ca="1" si="44"/>
        <v/>
      </c>
    </row>
    <row r="541" spans="1:25">
      <c r="A541" s="6">
        <f t="shared" si="43"/>
        <v>572</v>
      </c>
      <c r="B541" s="6" t="s">
        <v>1364</v>
      </c>
      <c r="C541" s="6">
        <v>2</v>
      </c>
      <c r="D541" s="6">
        <v>10</v>
      </c>
      <c r="L541" s="6" t="str">
        <f t="shared" si="47"/>
        <v>SELECT 572, N'podobać', 2, 10 UNION ALL</v>
      </c>
      <c r="Q541" s="6">
        <f t="shared" ca="1" si="45"/>
        <v>0</v>
      </c>
      <c r="R541" s="6">
        <f t="shared" ca="1" si="46"/>
        <v>0</v>
      </c>
      <c r="U541" s="6" t="str">
        <f ca="1">IF(Q541&gt;0,"SELECT "&amp;COUNTIF($Q$1:$T540,"&gt;0")+1&amp;", "&amp;$A541&amp;", "&amp;Q541&amp;" UNION ALL","")</f>
        <v/>
      </c>
      <c r="V541" s="6" t="str">
        <f ca="1">IF(R541&gt;0,"SELECT "&amp;COUNTIF($Q$1:$T540,"&gt;0")+COUNTIF($Q541:Q541,"&gt;0")+1&amp;", "&amp;$A541&amp;", "&amp;R541&amp;" UNION ALL","")</f>
        <v/>
      </c>
      <c r="W541" s="6" t="str">
        <f>IF(S541&gt;0,"SELECT "&amp;COUNTIF($Q$1:$T540,"&gt;0")+COUNTIF($Q541:R541,"&gt;0")+1&amp;", "&amp;$A541&amp;", "&amp;S541&amp;" UNION ALL","")</f>
        <v/>
      </c>
      <c r="X541" s="6" t="str">
        <f>IF(T541&gt;0,"SELECT "&amp;COUNTIF($Q$1:$T540,"&gt;0")+COUNTIF($Q541:S541,"&gt;0")+1&amp;", "&amp;$A541&amp;", "&amp;T541&amp;" UNION ALL","")</f>
        <v/>
      </c>
      <c r="Y541" s="5" t="str">
        <f t="shared" ca="1" si="44"/>
        <v/>
      </c>
    </row>
    <row r="542" spans="1:25">
      <c r="A542" s="6">
        <f t="shared" si="43"/>
        <v>573</v>
      </c>
      <c r="B542" s="6" t="s">
        <v>1365</v>
      </c>
      <c r="C542" s="6">
        <v>2</v>
      </c>
      <c r="D542" s="6">
        <v>7</v>
      </c>
      <c r="L542" s="6" t="str">
        <f t="shared" si="47"/>
        <v>SELECT 573, N'porabiać', 2, 7 UNION ALL</v>
      </c>
      <c r="Q542" s="6">
        <f t="shared" ca="1" si="45"/>
        <v>0</v>
      </c>
      <c r="R542" s="6">
        <f t="shared" ca="1" si="46"/>
        <v>0</v>
      </c>
      <c r="U542" s="6" t="str">
        <f ca="1">IF(Q542&gt;0,"SELECT "&amp;COUNTIF($Q$1:$T541,"&gt;0")+1&amp;", "&amp;$A542&amp;", "&amp;Q542&amp;" UNION ALL","")</f>
        <v/>
      </c>
      <c r="V542" s="6" t="str">
        <f ca="1">IF(R542&gt;0,"SELECT "&amp;COUNTIF($Q$1:$T541,"&gt;0")+COUNTIF($Q542:Q542,"&gt;0")+1&amp;", "&amp;$A542&amp;", "&amp;R542&amp;" UNION ALL","")</f>
        <v/>
      </c>
      <c r="W542" s="6" t="str">
        <f>IF(S542&gt;0,"SELECT "&amp;COUNTIF($Q$1:$T541,"&gt;0")+COUNTIF($Q542:R542,"&gt;0")+1&amp;", "&amp;$A542&amp;", "&amp;S542&amp;" UNION ALL","")</f>
        <v/>
      </c>
      <c r="X542" s="6" t="str">
        <f>IF(T542&gt;0,"SELECT "&amp;COUNTIF($Q$1:$T541,"&gt;0")+COUNTIF($Q542:S542,"&gt;0")+1&amp;", "&amp;$A542&amp;", "&amp;T542&amp;" UNION ALL","")</f>
        <v/>
      </c>
      <c r="Y542" s="5" t="str">
        <f t="shared" ca="1" si="44"/>
        <v/>
      </c>
    </row>
    <row r="543" spans="1:25">
      <c r="A543" s="6">
        <f t="shared" si="43"/>
        <v>574</v>
      </c>
      <c r="B543" s="6" t="s">
        <v>1366</v>
      </c>
      <c r="C543" s="6">
        <v>3</v>
      </c>
      <c r="D543" s="6">
        <v>10</v>
      </c>
      <c r="L543" s="6" t="str">
        <f t="shared" si="47"/>
        <v>SELECT 574, N'jakiś', 3, 10 UNION ALL</v>
      </c>
      <c r="Q543" s="6">
        <f t="shared" ca="1" si="45"/>
        <v>0</v>
      </c>
      <c r="R543" s="6">
        <f t="shared" ca="1" si="46"/>
        <v>0</v>
      </c>
      <c r="U543" s="6" t="str">
        <f ca="1">IF(Q543&gt;0,"SELECT "&amp;COUNTIF($Q$1:$T542,"&gt;0")+1&amp;", "&amp;$A543&amp;", "&amp;Q543&amp;" UNION ALL","")</f>
        <v/>
      </c>
      <c r="V543" s="6" t="str">
        <f ca="1">IF(R543&gt;0,"SELECT "&amp;COUNTIF($Q$1:$T542,"&gt;0")+COUNTIF($Q543:Q543,"&gt;0")+1&amp;", "&amp;$A543&amp;", "&amp;R543&amp;" UNION ALL","")</f>
        <v/>
      </c>
      <c r="W543" s="6" t="str">
        <f>IF(S543&gt;0,"SELECT "&amp;COUNTIF($Q$1:$T542,"&gt;0")+COUNTIF($Q543:R543,"&gt;0")+1&amp;", "&amp;$A543&amp;", "&amp;S543&amp;" UNION ALL","")</f>
        <v/>
      </c>
      <c r="X543" s="6" t="str">
        <f>IF(T543&gt;0,"SELECT "&amp;COUNTIF($Q$1:$T542,"&gt;0")+COUNTIF($Q543:S543,"&gt;0")+1&amp;", "&amp;$A543&amp;", "&amp;T543&amp;" UNION ALL","")</f>
        <v/>
      </c>
      <c r="Y543" s="5" t="str">
        <f t="shared" ca="1" si="44"/>
        <v/>
      </c>
    </row>
    <row r="544" spans="1:25">
      <c r="A544" s="6">
        <f t="shared" si="43"/>
        <v>575</v>
      </c>
      <c r="B544" s="6" t="s">
        <v>1367</v>
      </c>
      <c r="C544" s="6">
        <v>1</v>
      </c>
      <c r="D544" s="6">
        <v>9</v>
      </c>
      <c r="L544" s="6" t="str">
        <f t="shared" si="47"/>
        <v>SELECT 575, N'zbrodnia', 1, 9 UNION ALL</v>
      </c>
      <c r="Q544" s="6">
        <f t="shared" ca="1" si="45"/>
        <v>0</v>
      </c>
      <c r="R544" s="6">
        <f t="shared" ca="1" si="46"/>
        <v>0</v>
      </c>
      <c r="U544" s="6" t="str">
        <f ca="1">IF(Q544&gt;0,"SELECT "&amp;COUNTIF($Q$1:$T543,"&gt;0")+1&amp;", "&amp;$A544&amp;", "&amp;Q544&amp;" UNION ALL","")</f>
        <v/>
      </c>
      <c r="V544" s="6" t="str">
        <f ca="1">IF(R544&gt;0,"SELECT "&amp;COUNTIF($Q$1:$T543,"&gt;0")+COUNTIF($Q544:Q544,"&gt;0")+1&amp;", "&amp;$A544&amp;", "&amp;R544&amp;" UNION ALL","")</f>
        <v/>
      </c>
      <c r="W544" s="6" t="str">
        <f>IF(S544&gt;0,"SELECT "&amp;COUNTIF($Q$1:$T543,"&gt;0")+COUNTIF($Q544:R544,"&gt;0")+1&amp;", "&amp;$A544&amp;", "&amp;S544&amp;" UNION ALL","")</f>
        <v/>
      </c>
      <c r="X544" s="6" t="str">
        <f>IF(T544&gt;0,"SELECT "&amp;COUNTIF($Q$1:$T543,"&gt;0")+COUNTIF($Q544:S544,"&gt;0")+1&amp;", "&amp;$A544&amp;", "&amp;T544&amp;" UNION ALL","")</f>
        <v/>
      </c>
      <c r="Y544" s="5" t="str">
        <f t="shared" ca="1" si="44"/>
        <v/>
      </c>
    </row>
    <row r="545" spans="1:25">
      <c r="A545" s="6">
        <f t="shared" si="43"/>
        <v>576</v>
      </c>
      <c r="B545" s="6" t="s">
        <v>1368</v>
      </c>
      <c r="C545" s="6">
        <v>1</v>
      </c>
      <c r="D545" s="6">
        <v>10</v>
      </c>
      <c r="L545" s="6" t="str">
        <f t="shared" si="47"/>
        <v>SELECT 576, N'przestępstwo', 1, 10 UNION ALL</v>
      </c>
      <c r="M545" s="6" t="s">
        <v>1483</v>
      </c>
      <c r="Q545" s="6">
        <f t="shared" ca="1" si="45"/>
        <v>80</v>
      </c>
      <c r="R545" s="6">
        <f t="shared" ca="1" si="46"/>
        <v>0</v>
      </c>
      <c r="U545" s="6" t="str">
        <f ca="1">IF(Q545&gt;0,"SELECT "&amp;COUNTIF($Q$1:$T544,"&gt;0")+1&amp;", "&amp;$A545&amp;", "&amp;Q545&amp;" UNION ALL","")</f>
        <v>SELECT 448, 576, 80 UNION ALL</v>
      </c>
      <c r="V545" s="6" t="str">
        <f ca="1">IF(R545&gt;0,"SELECT "&amp;COUNTIF($Q$1:$T544,"&gt;0")+COUNTIF($Q545:Q545,"&gt;0")+1&amp;", "&amp;$A545&amp;", "&amp;R545&amp;" UNION ALL","")</f>
        <v/>
      </c>
      <c r="W545" s="6" t="str">
        <f>IF(S545&gt;0,"SELECT "&amp;COUNTIF($Q$1:$T544,"&gt;0")+COUNTIF($Q545:R545,"&gt;0")+1&amp;", "&amp;$A545&amp;", "&amp;S545&amp;" UNION ALL","")</f>
        <v/>
      </c>
      <c r="X545" s="6" t="str">
        <f>IF(T545&gt;0,"SELECT "&amp;COUNTIF($Q$1:$T544,"&gt;0")+COUNTIF($Q545:S545,"&gt;0")+1&amp;", "&amp;$A545&amp;", "&amp;T545&amp;" UNION ALL","")</f>
        <v/>
      </c>
      <c r="Y545" s="5" t="str">
        <f t="shared" ca="1" si="44"/>
        <v>SELECT 448, 576, 80 UNION ALL</v>
      </c>
    </row>
    <row r="546" spans="1:25">
      <c r="A546" s="6">
        <f t="shared" si="43"/>
        <v>577</v>
      </c>
      <c r="B546" s="6" t="s">
        <v>1369</v>
      </c>
      <c r="C546" s="6">
        <v>1</v>
      </c>
      <c r="D546" s="6">
        <v>10</v>
      </c>
      <c r="L546" s="6" t="str">
        <f t="shared" si="47"/>
        <v>SELECT 577, N'groźba', 1, 10 UNION ALL</v>
      </c>
      <c r="M546" s="6" t="s">
        <v>1483</v>
      </c>
      <c r="Q546" s="6">
        <f t="shared" ca="1" si="45"/>
        <v>80</v>
      </c>
      <c r="R546" s="6">
        <f t="shared" ca="1" si="46"/>
        <v>0</v>
      </c>
      <c r="U546" s="6" t="str">
        <f ca="1">IF(Q546&gt;0,"SELECT "&amp;COUNTIF($Q$1:$T545,"&gt;0")+1&amp;", "&amp;$A546&amp;", "&amp;Q546&amp;" UNION ALL","")</f>
        <v>SELECT 449, 577, 80 UNION ALL</v>
      </c>
      <c r="V546" s="6" t="str">
        <f ca="1">IF(R546&gt;0,"SELECT "&amp;COUNTIF($Q$1:$T545,"&gt;0")+COUNTIF($Q546:Q546,"&gt;0")+1&amp;", "&amp;$A546&amp;", "&amp;R546&amp;" UNION ALL","")</f>
        <v/>
      </c>
      <c r="W546" s="6" t="str">
        <f>IF(S546&gt;0,"SELECT "&amp;COUNTIF($Q$1:$T545,"&gt;0")+COUNTIF($Q546:R546,"&gt;0")+1&amp;", "&amp;$A546&amp;", "&amp;S546&amp;" UNION ALL","")</f>
        <v/>
      </c>
      <c r="X546" s="6" t="str">
        <f>IF(T546&gt;0,"SELECT "&amp;COUNTIF($Q$1:$T545,"&gt;0")+COUNTIF($Q546:S546,"&gt;0")+1&amp;", "&amp;$A546&amp;", "&amp;T546&amp;" UNION ALL","")</f>
        <v/>
      </c>
      <c r="Y546" s="5" t="str">
        <f t="shared" ca="1" si="44"/>
        <v>SELECT 449, 577, 80 UNION ALL</v>
      </c>
    </row>
    <row r="547" spans="1:25">
      <c r="A547" s="6">
        <f t="shared" si="43"/>
        <v>578</v>
      </c>
      <c r="B547" s="6" t="s">
        <v>1370</v>
      </c>
      <c r="C547" s="6">
        <v>1</v>
      </c>
      <c r="D547" s="6">
        <v>8</v>
      </c>
      <c r="L547" s="6" t="str">
        <f t="shared" si="47"/>
        <v>SELECT 578, N'podpucha', 1, 8 UNION ALL</v>
      </c>
      <c r="Q547" s="6">
        <f t="shared" ca="1" si="45"/>
        <v>0</v>
      </c>
      <c r="R547" s="6">
        <f t="shared" ca="1" si="46"/>
        <v>0</v>
      </c>
      <c r="U547" s="6" t="str">
        <f ca="1">IF(Q547&gt;0,"SELECT "&amp;COUNTIF($Q$1:$T546,"&gt;0")+1&amp;", "&amp;$A547&amp;", "&amp;Q547&amp;" UNION ALL","")</f>
        <v/>
      </c>
      <c r="V547" s="6" t="str">
        <f ca="1">IF(R547&gt;0,"SELECT "&amp;COUNTIF($Q$1:$T546,"&gt;0")+COUNTIF($Q547:Q547,"&gt;0")+1&amp;", "&amp;$A547&amp;", "&amp;R547&amp;" UNION ALL","")</f>
        <v/>
      </c>
      <c r="W547" s="6" t="str">
        <f>IF(S547&gt;0,"SELECT "&amp;COUNTIF($Q$1:$T546,"&gt;0")+COUNTIF($Q547:R547,"&gt;0")+1&amp;", "&amp;$A547&amp;", "&amp;S547&amp;" UNION ALL","")</f>
        <v/>
      </c>
      <c r="X547" s="6" t="str">
        <f>IF(T547&gt;0,"SELECT "&amp;COUNTIF($Q$1:$T546,"&gt;0")+COUNTIF($Q547:S547,"&gt;0")+1&amp;", "&amp;$A547&amp;", "&amp;T547&amp;" UNION ALL","")</f>
        <v/>
      </c>
      <c r="Y547" s="5" t="str">
        <f t="shared" ca="1" si="44"/>
        <v/>
      </c>
    </row>
    <row r="548" spans="1:25">
      <c r="A548" s="6">
        <f t="shared" si="43"/>
        <v>579</v>
      </c>
      <c r="B548" s="6" t="s">
        <v>1371</v>
      </c>
      <c r="C548" s="6">
        <v>1</v>
      </c>
      <c r="D548" s="6">
        <v>10</v>
      </c>
      <c r="L548" s="6" t="str">
        <f t="shared" si="47"/>
        <v>SELECT 579, N'żart', 1, 10 UNION ALL</v>
      </c>
      <c r="M548" t="s">
        <v>1432</v>
      </c>
      <c r="Q548" s="6">
        <f t="shared" ca="1" si="45"/>
        <v>65</v>
      </c>
      <c r="R548" s="6">
        <f t="shared" ca="1" si="46"/>
        <v>0</v>
      </c>
      <c r="U548" s="6" t="str">
        <f ca="1">IF(Q548&gt;0,"SELECT "&amp;COUNTIF($Q$1:$T547,"&gt;0")+1&amp;", "&amp;$A548&amp;", "&amp;Q548&amp;" UNION ALL","")</f>
        <v>SELECT 450, 579, 65 UNION ALL</v>
      </c>
      <c r="V548" s="6" t="str">
        <f ca="1">IF(R548&gt;0,"SELECT "&amp;COUNTIF($Q$1:$T547,"&gt;0")+COUNTIF($Q548:Q548,"&gt;0")+1&amp;", "&amp;$A548&amp;", "&amp;R548&amp;" UNION ALL","")</f>
        <v/>
      </c>
      <c r="W548" s="6" t="str">
        <f>IF(S548&gt;0,"SELECT "&amp;COUNTIF($Q$1:$T547,"&gt;0")+COUNTIF($Q548:R548,"&gt;0")+1&amp;", "&amp;$A548&amp;", "&amp;S548&amp;" UNION ALL","")</f>
        <v/>
      </c>
      <c r="X548" s="6" t="str">
        <f>IF(T548&gt;0,"SELECT "&amp;COUNTIF($Q$1:$T547,"&gt;0")+COUNTIF($Q548:S548,"&gt;0")+1&amp;", "&amp;$A548&amp;", "&amp;T548&amp;" UNION ALL","")</f>
        <v/>
      </c>
      <c r="Y548" s="5" t="str">
        <f t="shared" ca="1" si="44"/>
        <v>SELECT 450, 579, 65 UNION ALL</v>
      </c>
    </row>
    <row r="549" spans="1:25">
      <c r="A549" s="6">
        <f t="shared" si="43"/>
        <v>580</v>
      </c>
      <c r="B549" s="6" t="s">
        <v>1372</v>
      </c>
      <c r="C549" s="6">
        <v>1</v>
      </c>
      <c r="D549" s="6">
        <v>9</v>
      </c>
      <c r="L549" s="6" t="str">
        <f t="shared" si="47"/>
        <v>SELECT 580, N'koncert', 1, 9 UNION ALL</v>
      </c>
      <c r="M549" s="6" t="s">
        <v>1435</v>
      </c>
      <c r="Q549" s="6">
        <f t="shared" ca="1" si="45"/>
        <v>67</v>
      </c>
      <c r="R549" s="6">
        <f t="shared" ca="1" si="46"/>
        <v>0</v>
      </c>
      <c r="U549" s="6" t="str">
        <f ca="1">IF(Q549&gt;0,"SELECT "&amp;COUNTIF($Q$1:$T548,"&gt;0")+1&amp;", "&amp;$A549&amp;", "&amp;Q549&amp;" UNION ALL","")</f>
        <v>SELECT 451, 580, 67 UNION ALL</v>
      </c>
      <c r="V549" s="6" t="str">
        <f ca="1">IF(R549&gt;0,"SELECT "&amp;COUNTIF($Q$1:$T548,"&gt;0")+COUNTIF($Q549:Q549,"&gt;0")+1&amp;", "&amp;$A549&amp;", "&amp;R549&amp;" UNION ALL","")</f>
        <v/>
      </c>
      <c r="W549" s="6" t="str">
        <f>IF(S549&gt;0,"SELECT "&amp;COUNTIF($Q$1:$T548,"&gt;0")+COUNTIF($Q549:R549,"&gt;0")+1&amp;", "&amp;$A549&amp;", "&amp;S549&amp;" UNION ALL","")</f>
        <v/>
      </c>
      <c r="X549" s="6" t="str">
        <f>IF(T549&gt;0,"SELECT "&amp;COUNTIF($Q$1:$T548,"&gt;0")+COUNTIF($Q549:S549,"&gt;0")+1&amp;", "&amp;$A549&amp;", "&amp;T549&amp;" UNION ALL","")</f>
        <v/>
      </c>
      <c r="Y549" s="5" t="str">
        <f t="shared" ca="1" si="44"/>
        <v>SELECT 451, 580, 67 UNION ALL</v>
      </c>
    </row>
    <row r="550" spans="1:25">
      <c r="A550" s="6">
        <f t="shared" si="43"/>
        <v>581</v>
      </c>
      <c r="B550" s="6" t="s">
        <v>1373</v>
      </c>
      <c r="C550" s="6">
        <v>1</v>
      </c>
      <c r="D550" s="6">
        <v>9</v>
      </c>
      <c r="L550" s="6" t="str">
        <f t="shared" si="47"/>
        <v>SELECT 581, N'Średniowiecze', 1, 9 UNION ALL</v>
      </c>
      <c r="Q550" s="6">
        <f t="shared" ca="1" si="45"/>
        <v>0</v>
      </c>
      <c r="R550" s="6">
        <f t="shared" ca="1" si="46"/>
        <v>0</v>
      </c>
      <c r="U550" s="6" t="str">
        <f ca="1">IF(Q550&gt;0,"SELECT "&amp;COUNTIF($Q$1:$T549,"&gt;0")+1&amp;", "&amp;$A550&amp;", "&amp;Q550&amp;" UNION ALL","")</f>
        <v/>
      </c>
      <c r="V550" s="6" t="str">
        <f ca="1">IF(R550&gt;0,"SELECT "&amp;COUNTIF($Q$1:$T549,"&gt;0")+COUNTIF($Q550:Q550,"&gt;0")+1&amp;", "&amp;$A550&amp;", "&amp;R550&amp;" UNION ALL","")</f>
        <v/>
      </c>
      <c r="W550" s="6" t="str">
        <f>IF(S550&gt;0,"SELECT "&amp;COUNTIF($Q$1:$T549,"&gt;0")+COUNTIF($Q550:R550,"&gt;0")+1&amp;", "&amp;$A550&amp;", "&amp;S550&amp;" UNION ALL","")</f>
        <v/>
      </c>
      <c r="X550" s="6" t="str">
        <f>IF(T550&gt;0,"SELECT "&amp;COUNTIF($Q$1:$T549,"&gt;0")+COUNTIF($Q550:S550,"&gt;0")+1&amp;", "&amp;$A550&amp;", "&amp;T550&amp;" UNION ALL","")</f>
        <v/>
      </c>
      <c r="Y550" s="5" t="str">
        <f t="shared" ca="1" si="44"/>
        <v/>
      </c>
    </row>
    <row r="551" spans="1:25">
      <c r="A551" s="6">
        <f t="shared" si="43"/>
        <v>582</v>
      </c>
      <c r="B551" s="6" t="s">
        <v>1374</v>
      </c>
      <c r="C551" s="6">
        <v>1</v>
      </c>
      <c r="D551" s="6">
        <v>8</v>
      </c>
      <c r="L551" s="6" t="str">
        <f t="shared" si="47"/>
        <v>SELECT 582, N'wojna domowa', 1, 8 UNION ALL</v>
      </c>
      <c r="Q551" s="6">
        <f t="shared" ca="1" si="45"/>
        <v>0</v>
      </c>
      <c r="R551" s="6">
        <f t="shared" ca="1" si="46"/>
        <v>0</v>
      </c>
      <c r="U551" s="6" t="str">
        <f ca="1">IF(Q551&gt;0,"SELECT "&amp;COUNTIF($Q$1:$T550,"&gt;0")+1&amp;", "&amp;$A551&amp;", "&amp;Q551&amp;" UNION ALL","")</f>
        <v/>
      </c>
      <c r="V551" s="6" t="str">
        <f ca="1">IF(R551&gt;0,"SELECT "&amp;COUNTIF($Q$1:$T550,"&gt;0")+COUNTIF($Q551:Q551,"&gt;0")+1&amp;", "&amp;$A551&amp;", "&amp;R551&amp;" UNION ALL","")</f>
        <v/>
      </c>
      <c r="W551" s="6" t="str">
        <f>IF(S551&gt;0,"SELECT "&amp;COUNTIF($Q$1:$T550,"&gt;0")+COUNTIF($Q551:R551,"&gt;0")+1&amp;", "&amp;$A551&amp;", "&amp;S551&amp;" UNION ALL","")</f>
        <v/>
      </c>
      <c r="X551" s="6" t="str">
        <f>IF(T551&gt;0,"SELECT "&amp;COUNTIF($Q$1:$T550,"&gt;0")+COUNTIF($Q551:S551,"&gt;0")+1&amp;", "&amp;$A551&amp;", "&amp;T551&amp;" UNION ALL","")</f>
        <v/>
      </c>
      <c r="Y551" s="5" t="str">
        <f t="shared" ca="1" si="44"/>
        <v/>
      </c>
    </row>
    <row r="552" spans="1:25">
      <c r="A552" s="6">
        <f t="shared" si="43"/>
        <v>583</v>
      </c>
      <c r="B552" s="6" t="s">
        <v>1375</v>
      </c>
      <c r="C552" s="6">
        <v>1</v>
      </c>
      <c r="D552" s="6">
        <v>9</v>
      </c>
      <c r="L552" s="6" t="str">
        <f t="shared" si="47"/>
        <v>SELECT 583, N'finał', 1, 9 UNION ALL</v>
      </c>
      <c r="Q552" s="6">
        <f t="shared" ca="1" si="45"/>
        <v>0</v>
      </c>
      <c r="R552" s="6">
        <f t="shared" ca="1" si="46"/>
        <v>0</v>
      </c>
      <c r="U552" s="6" t="str">
        <f ca="1">IF(Q552&gt;0,"SELECT "&amp;COUNTIF($Q$1:$T551,"&gt;0")+1&amp;", "&amp;$A552&amp;", "&amp;Q552&amp;" UNION ALL","")</f>
        <v/>
      </c>
      <c r="V552" s="6" t="str">
        <f ca="1">IF(R552&gt;0,"SELECT "&amp;COUNTIF($Q$1:$T551,"&gt;0")+COUNTIF($Q552:Q552,"&gt;0")+1&amp;", "&amp;$A552&amp;", "&amp;R552&amp;" UNION ALL","")</f>
        <v/>
      </c>
      <c r="W552" s="6" t="str">
        <f>IF(S552&gt;0,"SELECT "&amp;COUNTIF($Q$1:$T551,"&gt;0")+COUNTIF($Q552:R552,"&gt;0")+1&amp;", "&amp;$A552&amp;", "&amp;S552&amp;" UNION ALL","")</f>
        <v/>
      </c>
      <c r="X552" s="6" t="str">
        <f>IF(T552&gt;0,"SELECT "&amp;COUNTIF($Q$1:$T551,"&gt;0")+COUNTIF($Q552:S552,"&gt;0")+1&amp;", "&amp;$A552&amp;", "&amp;T552&amp;" UNION ALL","")</f>
        <v/>
      </c>
      <c r="Y552" s="5" t="str">
        <f t="shared" ca="1" si="44"/>
        <v/>
      </c>
    </row>
    <row r="553" spans="1:25">
      <c r="A553" s="6">
        <f t="shared" ref="A553:A616" si="48">A552+1</f>
        <v>584</v>
      </c>
      <c r="B553" s="6" t="s">
        <v>1376</v>
      </c>
      <c r="C553" s="6">
        <v>3</v>
      </c>
      <c r="D553" s="6">
        <v>10</v>
      </c>
      <c r="L553" s="6" t="str">
        <f t="shared" si="47"/>
        <v>SELECT 584, N'ten (osobowy)', 3, 10 UNION ALL</v>
      </c>
      <c r="Q553" s="6">
        <f t="shared" ca="1" si="45"/>
        <v>0</v>
      </c>
      <c r="R553" s="6">
        <f t="shared" ca="1" si="46"/>
        <v>0</v>
      </c>
      <c r="U553" s="6" t="str">
        <f ca="1">IF(Q553&gt;0,"SELECT "&amp;COUNTIF($Q$1:$T552,"&gt;0")+1&amp;", "&amp;$A553&amp;", "&amp;Q553&amp;" UNION ALL","")</f>
        <v/>
      </c>
      <c r="V553" s="6" t="str">
        <f ca="1">IF(R553&gt;0,"SELECT "&amp;COUNTIF($Q$1:$T552,"&gt;0")+COUNTIF($Q553:Q553,"&gt;0")+1&amp;", "&amp;$A553&amp;", "&amp;R553&amp;" UNION ALL","")</f>
        <v/>
      </c>
      <c r="W553" s="6" t="str">
        <f>IF(S553&gt;0,"SELECT "&amp;COUNTIF($Q$1:$T552,"&gt;0")+COUNTIF($Q553:R553,"&gt;0")+1&amp;", "&amp;$A553&amp;", "&amp;S553&amp;" UNION ALL","")</f>
        <v/>
      </c>
      <c r="X553" s="6" t="str">
        <f>IF(T553&gt;0,"SELECT "&amp;COUNTIF($Q$1:$T552,"&gt;0")+COUNTIF($Q553:S553,"&gt;0")+1&amp;", "&amp;$A553&amp;", "&amp;T553&amp;" UNION ALL","")</f>
        <v/>
      </c>
      <c r="Y553" s="5" t="str">
        <f t="shared" ca="1" si="44"/>
        <v/>
      </c>
    </row>
    <row r="554" spans="1:25">
      <c r="A554" s="6">
        <f t="shared" si="48"/>
        <v>585</v>
      </c>
      <c r="B554" s="6" t="s">
        <v>1377</v>
      </c>
      <c r="C554" s="6">
        <v>1</v>
      </c>
      <c r="D554" s="6">
        <v>10</v>
      </c>
      <c r="L554" s="6" t="str">
        <f t="shared" si="47"/>
        <v>SELECT 585, N'życie', 1, 10 UNION ALL</v>
      </c>
      <c r="Q554" s="6">
        <f t="shared" ca="1" si="45"/>
        <v>0</v>
      </c>
      <c r="R554" s="6">
        <f t="shared" ca="1" si="46"/>
        <v>0</v>
      </c>
      <c r="U554" s="6" t="str">
        <f ca="1">IF(Q554&gt;0,"SELECT "&amp;COUNTIF($Q$1:$T553,"&gt;0")+1&amp;", "&amp;$A554&amp;", "&amp;Q554&amp;" UNION ALL","")</f>
        <v/>
      </c>
      <c r="V554" s="6" t="str">
        <f ca="1">IF(R554&gt;0,"SELECT "&amp;COUNTIF($Q$1:$T553,"&gt;0")+COUNTIF($Q554:Q554,"&gt;0")+1&amp;", "&amp;$A554&amp;", "&amp;R554&amp;" UNION ALL","")</f>
        <v/>
      </c>
      <c r="W554" s="6" t="str">
        <f>IF(S554&gt;0,"SELECT "&amp;COUNTIF($Q$1:$T553,"&gt;0")+COUNTIF($Q554:R554,"&gt;0")+1&amp;", "&amp;$A554&amp;", "&amp;S554&amp;" UNION ALL","")</f>
        <v/>
      </c>
      <c r="X554" s="6" t="str">
        <f>IF(T554&gt;0,"SELECT "&amp;COUNTIF($Q$1:$T553,"&gt;0")+COUNTIF($Q554:S554,"&gt;0")+1&amp;", "&amp;$A554&amp;", "&amp;T554&amp;" UNION ALL","")</f>
        <v/>
      </c>
      <c r="Y554" s="5" t="str">
        <f t="shared" ca="1" si="44"/>
        <v/>
      </c>
    </row>
    <row r="555" spans="1:25">
      <c r="A555" s="6">
        <f t="shared" si="48"/>
        <v>586</v>
      </c>
      <c r="B555" s="6" t="s">
        <v>1378</v>
      </c>
      <c r="C555" s="6">
        <v>2</v>
      </c>
      <c r="D555" s="6">
        <v>8</v>
      </c>
      <c r="L555" s="6" t="str">
        <f t="shared" si="47"/>
        <v>SELECT 586, N'przybywać', 2, 8 UNION ALL</v>
      </c>
      <c r="Q555" s="6">
        <f t="shared" ca="1" si="45"/>
        <v>0</v>
      </c>
      <c r="R555" s="6">
        <f t="shared" ca="1" si="46"/>
        <v>0</v>
      </c>
      <c r="U555" s="6" t="str">
        <f ca="1">IF(Q555&gt;0,"SELECT "&amp;COUNTIF($Q$1:$T554,"&gt;0")+1&amp;", "&amp;$A555&amp;", "&amp;Q555&amp;" UNION ALL","")</f>
        <v/>
      </c>
      <c r="V555" s="6" t="str">
        <f ca="1">IF(R555&gt;0,"SELECT "&amp;COUNTIF($Q$1:$T554,"&gt;0")+COUNTIF($Q555:Q555,"&gt;0")+1&amp;", "&amp;$A555&amp;", "&amp;R555&amp;" UNION ALL","")</f>
        <v/>
      </c>
      <c r="W555" s="6" t="str">
        <f>IF(S555&gt;0,"SELECT "&amp;COUNTIF($Q$1:$T554,"&gt;0")+COUNTIF($Q555:R555,"&gt;0")+1&amp;", "&amp;$A555&amp;", "&amp;S555&amp;" UNION ALL","")</f>
        <v/>
      </c>
      <c r="X555" s="6" t="str">
        <f>IF(T555&gt;0,"SELECT "&amp;COUNTIF($Q$1:$T554,"&gt;0")+COUNTIF($Q555:S555,"&gt;0")+1&amp;", "&amp;$A555&amp;", "&amp;T555&amp;" UNION ALL","")</f>
        <v/>
      </c>
      <c r="Y555" s="5" t="str">
        <f t="shared" ca="1" si="44"/>
        <v/>
      </c>
    </row>
    <row r="556" spans="1:25">
      <c r="A556" s="6">
        <f t="shared" si="48"/>
        <v>587</v>
      </c>
      <c r="B556" s="6" t="s">
        <v>1379</v>
      </c>
      <c r="C556" s="6">
        <v>1</v>
      </c>
      <c r="D556" s="6">
        <v>8</v>
      </c>
      <c r="L556" s="6" t="str">
        <f t="shared" si="47"/>
        <v>SELECT 587, N'skorpion', 1, 8 UNION ALL</v>
      </c>
      <c r="M556" t="s">
        <v>564</v>
      </c>
      <c r="Q556" s="6">
        <f t="shared" ca="1" si="45"/>
        <v>21</v>
      </c>
      <c r="R556" s="6">
        <f t="shared" ca="1" si="46"/>
        <v>0</v>
      </c>
      <c r="U556" s="6" t="str">
        <f ca="1">IF(Q556&gt;0,"SELECT "&amp;COUNTIF($Q$1:$T555,"&gt;0")+1&amp;", "&amp;$A556&amp;", "&amp;Q556&amp;" UNION ALL","")</f>
        <v>SELECT 452, 587, 21 UNION ALL</v>
      </c>
      <c r="V556" s="6" t="str">
        <f ca="1">IF(R556&gt;0,"SELECT "&amp;COUNTIF($Q$1:$T555,"&gt;0")+COUNTIF($Q556:Q556,"&gt;0")+1&amp;", "&amp;$A556&amp;", "&amp;R556&amp;" UNION ALL","")</f>
        <v/>
      </c>
      <c r="W556" s="6" t="str">
        <f>IF(S556&gt;0,"SELECT "&amp;COUNTIF($Q$1:$T555,"&gt;0")+COUNTIF($Q556:R556,"&gt;0")+1&amp;", "&amp;$A556&amp;", "&amp;S556&amp;" UNION ALL","")</f>
        <v/>
      </c>
      <c r="X556" s="6" t="str">
        <f>IF(T556&gt;0,"SELECT "&amp;COUNTIF($Q$1:$T555,"&gt;0")+COUNTIF($Q556:S556,"&gt;0")+1&amp;", "&amp;$A556&amp;", "&amp;T556&amp;" UNION ALL","")</f>
        <v/>
      </c>
      <c r="Y556" s="5" t="str">
        <f t="shared" ca="1" si="44"/>
        <v>SELECT 452, 587, 21 UNION ALL</v>
      </c>
    </row>
    <row r="557" spans="1:25">
      <c r="A557" s="6">
        <f t="shared" si="48"/>
        <v>588</v>
      </c>
      <c r="B557" s="6" t="s">
        <v>1380</v>
      </c>
      <c r="C557" s="6">
        <v>1</v>
      </c>
      <c r="D557" s="6">
        <v>7</v>
      </c>
      <c r="L557" s="6" t="str">
        <f t="shared" si="47"/>
        <v>SELECT 588, N'płaszczka', 1, 7 UNION ALL</v>
      </c>
      <c r="M557" t="s">
        <v>563</v>
      </c>
      <c r="Q557" s="6">
        <f t="shared" ca="1" si="45"/>
        <v>20</v>
      </c>
      <c r="R557" s="6">
        <f t="shared" ca="1" si="46"/>
        <v>0</v>
      </c>
      <c r="U557" s="6" t="str">
        <f ca="1">IF(Q557&gt;0,"SELECT "&amp;COUNTIF($Q$1:$T556,"&gt;0")+1&amp;", "&amp;$A557&amp;", "&amp;Q557&amp;" UNION ALL","")</f>
        <v>SELECT 453, 588, 20 UNION ALL</v>
      </c>
      <c r="V557" s="6" t="str">
        <f ca="1">IF(R557&gt;0,"SELECT "&amp;COUNTIF($Q$1:$T556,"&gt;0")+COUNTIF($Q557:Q557,"&gt;0")+1&amp;", "&amp;$A557&amp;", "&amp;R557&amp;" UNION ALL","")</f>
        <v/>
      </c>
      <c r="W557" s="6" t="str">
        <f>IF(S557&gt;0,"SELECT "&amp;COUNTIF($Q$1:$T556,"&gt;0")+COUNTIF($Q557:R557,"&gt;0")+1&amp;", "&amp;$A557&amp;", "&amp;S557&amp;" UNION ALL","")</f>
        <v/>
      </c>
      <c r="X557" s="6" t="str">
        <f>IF(T557&gt;0,"SELECT "&amp;COUNTIF($Q$1:$T556,"&gt;0")+COUNTIF($Q557:S557,"&gt;0")+1&amp;", "&amp;$A557&amp;", "&amp;T557&amp;" UNION ALL","")</f>
        <v/>
      </c>
      <c r="Y557" s="5" t="str">
        <f t="shared" ca="1" si="44"/>
        <v>SELECT 453, 588, 20 UNION ALL</v>
      </c>
    </row>
    <row r="558" spans="1:25">
      <c r="A558" s="6">
        <f t="shared" si="48"/>
        <v>589</v>
      </c>
      <c r="B558" s="6" t="s">
        <v>1381</v>
      </c>
      <c r="C558" s="6">
        <v>1</v>
      </c>
      <c r="D558" s="6">
        <v>8</v>
      </c>
      <c r="L558" s="6" t="str">
        <f t="shared" si="47"/>
        <v>SELECT 589, N'meduza', 1, 8 UNION ALL</v>
      </c>
      <c r="M558" s="6" t="s">
        <v>564</v>
      </c>
      <c r="Q558" s="6">
        <f t="shared" ca="1" si="45"/>
        <v>21</v>
      </c>
      <c r="R558" s="6">
        <f t="shared" ca="1" si="46"/>
        <v>0</v>
      </c>
      <c r="U558" s="6" t="str">
        <f ca="1">IF(Q558&gt;0,"SELECT "&amp;COUNTIF($Q$1:$T557,"&gt;0")+1&amp;", "&amp;$A558&amp;", "&amp;Q558&amp;" UNION ALL","")</f>
        <v>SELECT 454, 589, 21 UNION ALL</v>
      </c>
      <c r="V558" s="6" t="str">
        <f ca="1">IF(R558&gt;0,"SELECT "&amp;COUNTIF($Q$1:$T557,"&gt;0")+COUNTIF($Q558:Q558,"&gt;0")+1&amp;", "&amp;$A558&amp;", "&amp;R558&amp;" UNION ALL","")</f>
        <v/>
      </c>
      <c r="W558" s="6" t="str">
        <f>IF(S558&gt;0,"SELECT "&amp;COUNTIF($Q$1:$T557,"&gt;0")+COUNTIF($Q558:R558,"&gt;0")+1&amp;", "&amp;$A558&amp;", "&amp;S558&amp;" UNION ALL","")</f>
        <v/>
      </c>
      <c r="X558" s="6" t="str">
        <f>IF(T558&gt;0,"SELECT "&amp;COUNTIF($Q$1:$T557,"&gt;0")+COUNTIF($Q558:S558,"&gt;0")+1&amp;", "&amp;$A558&amp;", "&amp;T558&amp;" UNION ALL","")</f>
        <v/>
      </c>
      <c r="Y558" s="5" t="str">
        <f t="shared" ca="1" si="44"/>
        <v>SELECT 454, 589, 21 UNION ALL</v>
      </c>
    </row>
    <row r="559" spans="1:25">
      <c r="A559" s="6">
        <f t="shared" si="48"/>
        <v>590</v>
      </c>
      <c r="B559" s="6" t="s">
        <v>1382</v>
      </c>
      <c r="C559" s="6">
        <v>1</v>
      </c>
      <c r="D559" s="6">
        <v>8</v>
      </c>
      <c r="L559" s="6" t="str">
        <f t="shared" si="47"/>
        <v>SELECT 590, N'szerszeń', 1, 8 UNION ALL</v>
      </c>
      <c r="M559" s="6" t="s">
        <v>564</v>
      </c>
      <c r="Q559" s="6">
        <f t="shared" ca="1" si="45"/>
        <v>21</v>
      </c>
      <c r="R559" s="6">
        <f t="shared" ca="1" si="46"/>
        <v>0</v>
      </c>
      <c r="U559" s="6" t="str">
        <f ca="1">IF(Q559&gt;0,"SELECT "&amp;COUNTIF($Q$1:$T558,"&gt;0")+1&amp;", "&amp;$A559&amp;", "&amp;Q559&amp;" UNION ALL","")</f>
        <v>SELECT 455, 590, 21 UNION ALL</v>
      </c>
      <c r="V559" s="6" t="str">
        <f ca="1">IF(R559&gt;0,"SELECT "&amp;COUNTIF($Q$1:$T558,"&gt;0")+COUNTIF($Q559:Q559,"&gt;0")+1&amp;", "&amp;$A559&amp;", "&amp;R559&amp;" UNION ALL","")</f>
        <v/>
      </c>
      <c r="W559" s="6" t="str">
        <f>IF(S559&gt;0,"SELECT "&amp;COUNTIF($Q$1:$T558,"&gt;0")+COUNTIF($Q559:R559,"&gt;0")+1&amp;", "&amp;$A559&amp;", "&amp;S559&amp;" UNION ALL","")</f>
        <v/>
      </c>
      <c r="X559" s="6" t="str">
        <f>IF(T559&gt;0,"SELECT "&amp;COUNTIF($Q$1:$T558,"&gt;0")+COUNTIF($Q559:S559,"&gt;0")+1&amp;", "&amp;$A559&amp;", "&amp;T559&amp;" UNION ALL","")</f>
        <v/>
      </c>
      <c r="Y559" s="5" t="str">
        <f t="shared" ca="1" si="44"/>
        <v>SELECT 455, 590, 21 UNION ALL</v>
      </c>
    </row>
    <row r="560" spans="1:25">
      <c r="A560" s="6">
        <f t="shared" si="48"/>
        <v>591</v>
      </c>
      <c r="B560" s="6" t="s">
        <v>1383</v>
      </c>
      <c r="C560" s="6">
        <v>1</v>
      </c>
      <c r="D560" s="6">
        <v>8</v>
      </c>
      <c r="L560" s="6" t="str">
        <f t="shared" si="47"/>
        <v>SELECT 591, N'kleszcz', 1, 8 UNION ALL</v>
      </c>
      <c r="M560" s="6" t="s">
        <v>564</v>
      </c>
      <c r="Q560" s="6">
        <f t="shared" ca="1" si="45"/>
        <v>21</v>
      </c>
      <c r="R560" s="6">
        <f t="shared" ca="1" si="46"/>
        <v>0</v>
      </c>
      <c r="U560" s="6" t="str">
        <f ca="1">IF(Q560&gt;0,"SELECT "&amp;COUNTIF($Q$1:$T559,"&gt;0")+1&amp;", "&amp;$A560&amp;", "&amp;Q560&amp;" UNION ALL","")</f>
        <v>SELECT 456, 591, 21 UNION ALL</v>
      </c>
      <c r="V560" s="6" t="str">
        <f ca="1">IF(R560&gt;0,"SELECT "&amp;COUNTIF($Q$1:$T559,"&gt;0")+COUNTIF($Q560:Q560,"&gt;0")+1&amp;", "&amp;$A560&amp;", "&amp;R560&amp;" UNION ALL","")</f>
        <v/>
      </c>
      <c r="W560" s="6" t="str">
        <f>IF(S560&gt;0,"SELECT "&amp;COUNTIF($Q$1:$T559,"&gt;0")+COUNTIF($Q560:R560,"&gt;0")+1&amp;", "&amp;$A560&amp;", "&amp;S560&amp;" UNION ALL","")</f>
        <v/>
      </c>
      <c r="X560" s="6" t="str">
        <f>IF(T560&gt;0,"SELECT "&amp;COUNTIF($Q$1:$T559,"&gt;0")+COUNTIF($Q560:S560,"&gt;0")+1&amp;", "&amp;$A560&amp;", "&amp;T560&amp;" UNION ALL","")</f>
        <v/>
      </c>
      <c r="Y560" s="5" t="str">
        <f t="shared" ca="1" si="44"/>
        <v>SELECT 456, 591, 21 UNION ALL</v>
      </c>
    </row>
    <row r="561" spans="1:25">
      <c r="A561" s="6">
        <f t="shared" si="48"/>
        <v>592</v>
      </c>
      <c r="B561" s="6" t="s">
        <v>1384</v>
      </c>
      <c r="C561" s="6">
        <v>1</v>
      </c>
      <c r="D561" s="6">
        <v>6</v>
      </c>
      <c r="L561" s="6" t="str">
        <f t="shared" si="47"/>
        <v>SELECT 592, N'grzechotnik', 1, 6 UNION ALL</v>
      </c>
      <c r="M561" s="6" t="s">
        <v>565</v>
      </c>
      <c r="Q561" s="6">
        <f t="shared" ca="1" si="45"/>
        <v>22</v>
      </c>
      <c r="R561" s="6">
        <f t="shared" ca="1" si="46"/>
        <v>0</v>
      </c>
      <c r="U561" s="6" t="str">
        <f ca="1">IF(Q561&gt;0,"SELECT "&amp;COUNTIF($Q$1:$T560,"&gt;0")+1&amp;", "&amp;$A561&amp;", "&amp;Q561&amp;" UNION ALL","")</f>
        <v>SELECT 457, 592, 22 UNION ALL</v>
      </c>
      <c r="V561" s="6" t="str">
        <f ca="1">IF(R561&gt;0,"SELECT "&amp;COUNTIF($Q$1:$T560,"&gt;0")+COUNTIF($Q561:Q561,"&gt;0")+1&amp;", "&amp;$A561&amp;", "&amp;R561&amp;" UNION ALL","")</f>
        <v/>
      </c>
      <c r="W561" s="6" t="str">
        <f>IF(S561&gt;0,"SELECT "&amp;COUNTIF($Q$1:$T560,"&gt;0")+COUNTIF($Q561:R561,"&gt;0")+1&amp;", "&amp;$A561&amp;", "&amp;S561&amp;" UNION ALL","")</f>
        <v/>
      </c>
      <c r="X561" s="6" t="str">
        <f>IF(T561&gt;0,"SELECT "&amp;COUNTIF($Q$1:$T560,"&gt;0")+COUNTIF($Q561:S561,"&gt;0")+1&amp;", "&amp;$A561&amp;", "&amp;T561&amp;" UNION ALL","")</f>
        <v/>
      </c>
      <c r="Y561" s="5" t="str">
        <f t="shared" ca="1" si="44"/>
        <v>SELECT 457, 592, 22 UNION ALL</v>
      </c>
    </row>
    <row r="562" spans="1:25">
      <c r="A562" s="6">
        <f t="shared" si="48"/>
        <v>593</v>
      </c>
      <c r="B562" s="6" t="s">
        <v>1385</v>
      </c>
      <c r="C562" s="6">
        <v>1</v>
      </c>
      <c r="D562" s="6">
        <v>9</v>
      </c>
      <c r="L562" s="6" t="str">
        <f t="shared" si="47"/>
        <v>SELECT 593, N'żmija', 1, 9 UNION ALL</v>
      </c>
      <c r="M562" t="s">
        <v>565</v>
      </c>
      <c r="Q562" s="6">
        <f t="shared" ca="1" si="45"/>
        <v>22</v>
      </c>
      <c r="R562" s="6">
        <f t="shared" ca="1" si="46"/>
        <v>0</v>
      </c>
      <c r="U562" s="6" t="str">
        <f ca="1">IF(Q562&gt;0,"SELECT "&amp;COUNTIF($Q$1:$T561,"&gt;0")+1&amp;", "&amp;$A562&amp;", "&amp;Q562&amp;" UNION ALL","")</f>
        <v>SELECT 458, 593, 22 UNION ALL</v>
      </c>
      <c r="V562" s="6" t="str">
        <f ca="1">IF(R562&gt;0,"SELECT "&amp;COUNTIF($Q$1:$T561,"&gt;0")+COUNTIF($Q562:Q562,"&gt;0")+1&amp;", "&amp;$A562&amp;", "&amp;R562&amp;" UNION ALL","")</f>
        <v/>
      </c>
      <c r="W562" s="6" t="str">
        <f>IF(S562&gt;0,"SELECT "&amp;COUNTIF($Q$1:$T561,"&gt;0")+COUNTIF($Q562:R562,"&gt;0")+1&amp;", "&amp;$A562&amp;", "&amp;S562&amp;" UNION ALL","")</f>
        <v/>
      </c>
      <c r="X562" s="6" t="str">
        <f>IF(T562&gt;0,"SELECT "&amp;COUNTIF($Q$1:$T561,"&gt;0")+COUNTIF($Q562:S562,"&gt;0")+1&amp;", "&amp;$A562&amp;", "&amp;T562&amp;" UNION ALL","")</f>
        <v/>
      </c>
      <c r="Y562" s="5" t="str">
        <f t="shared" ca="1" si="44"/>
        <v>SELECT 458, 593, 22 UNION ALL</v>
      </c>
    </row>
    <row r="563" spans="1:25">
      <c r="A563" s="6">
        <f t="shared" si="48"/>
        <v>594</v>
      </c>
      <c r="B563" s="6" t="s">
        <v>1386</v>
      </c>
      <c r="C563" s="6">
        <v>1</v>
      </c>
      <c r="D563" s="6">
        <v>10</v>
      </c>
      <c r="L563" s="6" t="str">
        <f t="shared" si="47"/>
        <v>SELECT 594, N'dowód', 1, 10 UNION ALL</v>
      </c>
      <c r="M563" s="6" t="s">
        <v>1480</v>
      </c>
      <c r="Q563" s="6">
        <f t="shared" ca="1" si="45"/>
        <v>77</v>
      </c>
      <c r="R563" s="6">
        <f t="shared" ca="1" si="46"/>
        <v>0</v>
      </c>
      <c r="U563" s="6" t="str">
        <f ca="1">IF(Q563&gt;0,"SELECT "&amp;COUNTIF($Q$1:$T562,"&gt;0")+1&amp;", "&amp;$A563&amp;", "&amp;Q563&amp;" UNION ALL","")</f>
        <v>SELECT 459, 594, 77 UNION ALL</v>
      </c>
      <c r="V563" s="6" t="str">
        <f ca="1">IF(R563&gt;0,"SELECT "&amp;COUNTIF($Q$1:$T562,"&gt;0")+COUNTIF($Q563:Q563,"&gt;0")+1&amp;", "&amp;$A563&amp;", "&amp;R563&amp;" UNION ALL","")</f>
        <v/>
      </c>
      <c r="W563" s="6" t="str">
        <f>IF(S563&gt;0,"SELECT "&amp;COUNTIF($Q$1:$T562,"&gt;0")+COUNTIF($Q563:R563,"&gt;0")+1&amp;", "&amp;$A563&amp;", "&amp;S563&amp;" UNION ALL","")</f>
        <v/>
      </c>
      <c r="X563" s="6" t="str">
        <f>IF(T563&gt;0,"SELECT "&amp;COUNTIF($Q$1:$T562,"&gt;0")+COUNTIF($Q563:S563,"&gt;0")+1&amp;", "&amp;$A563&amp;", "&amp;T563&amp;" UNION ALL","")</f>
        <v/>
      </c>
      <c r="Y563" s="5" t="str">
        <f t="shared" ca="1" si="44"/>
        <v>SELECT 459, 594, 77 UNION ALL</v>
      </c>
    </row>
    <row r="564" spans="1:25">
      <c r="A564" s="6">
        <f t="shared" si="48"/>
        <v>595</v>
      </c>
      <c r="B564" s="6" t="s">
        <v>1387</v>
      </c>
      <c r="C564" s="6">
        <v>1</v>
      </c>
      <c r="D564" s="6">
        <v>9</v>
      </c>
      <c r="L564" s="6" t="str">
        <f t="shared" si="47"/>
        <v>SELECT 595, N'dane', 1, 9 UNION ALL</v>
      </c>
      <c r="M564" s="6" t="s">
        <v>1480</v>
      </c>
      <c r="Q564" s="6">
        <f t="shared" ca="1" si="45"/>
        <v>77</v>
      </c>
      <c r="R564" s="6">
        <f t="shared" ca="1" si="46"/>
        <v>0</v>
      </c>
      <c r="U564" s="6" t="str">
        <f ca="1">IF(Q564&gt;0,"SELECT "&amp;COUNTIF($Q$1:$T563,"&gt;0")+1&amp;", "&amp;$A564&amp;", "&amp;Q564&amp;" UNION ALL","")</f>
        <v>SELECT 460, 595, 77 UNION ALL</v>
      </c>
      <c r="V564" s="6" t="str">
        <f ca="1">IF(R564&gt;0,"SELECT "&amp;COUNTIF($Q$1:$T563,"&gt;0")+COUNTIF($Q564:Q564,"&gt;0")+1&amp;", "&amp;$A564&amp;", "&amp;R564&amp;" UNION ALL","")</f>
        <v/>
      </c>
      <c r="W564" s="6" t="str">
        <f>IF(S564&gt;0,"SELECT "&amp;COUNTIF($Q$1:$T563,"&gt;0")+COUNTIF($Q564:R564,"&gt;0")+1&amp;", "&amp;$A564&amp;", "&amp;S564&amp;" UNION ALL","")</f>
        <v/>
      </c>
      <c r="X564" s="6" t="str">
        <f>IF(T564&gt;0,"SELECT "&amp;COUNTIF($Q$1:$T563,"&gt;0")+COUNTIF($Q564:S564,"&gt;0")+1&amp;", "&amp;$A564&amp;", "&amp;T564&amp;" UNION ALL","")</f>
        <v/>
      </c>
      <c r="Y564" s="5" t="str">
        <f t="shared" ca="1" si="44"/>
        <v>SELECT 460, 595, 77 UNION ALL</v>
      </c>
    </row>
    <row r="565" spans="1:25">
      <c r="A565" s="6">
        <f t="shared" si="48"/>
        <v>596</v>
      </c>
      <c r="B565" s="6" t="s">
        <v>1388</v>
      </c>
      <c r="C565" s="6">
        <v>1</v>
      </c>
      <c r="D565" s="6">
        <v>9</v>
      </c>
      <c r="L565" s="6" t="str">
        <f t="shared" si="47"/>
        <v>SELECT 596, N'statystyka', 1, 9 UNION ALL</v>
      </c>
      <c r="M565" s="6" t="s">
        <v>1480</v>
      </c>
      <c r="Q565" s="6">
        <f t="shared" ca="1" si="45"/>
        <v>77</v>
      </c>
      <c r="R565" s="6">
        <f t="shared" ca="1" si="46"/>
        <v>0</v>
      </c>
      <c r="U565" s="6" t="str">
        <f ca="1">IF(Q565&gt;0,"SELECT "&amp;COUNTIF($Q$1:$T564,"&gt;0")+1&amp;", "&amp;$A565&amp;", "&amp;Q565&amp;" UNION ALL","")</f>
        <v>SELECT 461, 596, 77 UNION ALL</v>
      </c>
      <c r="V565" s="6" t="str">
        <f ca="1">IF(R565&gt;0,"SELECT "&amp;COUNTIF($Q$1:$T564,"&gt;0")+COUNTIF($Q565:Q565,"&gt;0")+1&amp;", "&amp;$A565&amp;", "&amp;R565&amp;" UNION ALL","")</f>
        <v/>
      </c>
      <c r="W565" s="6" t="str">
        <f>IF(S565&gt;0,"SELECT "&amp;COUNTIF($Q$1:$T564,"&gt;0")+COUNTIF($Q565:R565,"&gt;0")+1&amp;", "&amp;$A565&amp;", "&amp;S565&amp;" UNION ALL","")</f>
        <v/>
      </c>
      <c r="X565" s="6" t="str">
        <f>IF(T565&gt;0,"SELECT "&amp;COUNTIF($Q$1:$T564,"&gt;0")+COUNTIF($Q565:S565,"&gt;0")+1&amp;", "&amp;$A565&amp;", "&amp;T565&amp;" UNION ALL","")</f>
        <v/>
      </c>
      <c r="Y565" s="5" t="str">
        <f t="shared" ca="1" si="44"/>
        <v>SELECT 461, 596, 77 UNION ALL</v>
      </c>
    </row>
    <row r="566" spans="1:25">
      <c r="A566" s="6">
        <f t="shared" si="48"/>
        <v>597</v>
      </c>
      <c r="B566" s="6" t="s">
        <v>1389</v>
      </c>
      <c r="C566" s="6">
        <v>3</v>
      </c>
      <c r="D566" s="6">
        <v>10</v>
      </c>
      <c r="L566" s="6" t="str">
        <f t="shared" si="47"/>
        <v>SELECT 597, N'siedem', 3, 10 UNION ALL</v>
      </c>
      <c r="Q566" s="6">
        <f t="shared" ca="1" si="45"/>
        <v>0</v>
      </c>
      <c r="R566" s="6">
        <f t="shared" ca="1" si="46"/>
        <v>0</v>
      </c>
      <c r="U566" s="6" t="str">
        <f ca="1">IF(Q566&gt;0,"SELECT "&amp;COUNTIF($Q$1:$T565,"&gt;0")+1&amp;", "&amp;$A566&amp;", "&amp;Q566&amp;" UNION ALL","")</f>
        <v/>
      </c>
      <c r="V566" s="6" t="str">
        <f ca="1">IF(R566&gt;0,"SELECT "&amp;COUNTIF($Q$1:$T565,"&gt;0")+COUNTIF($Q566:Q566,"&gt;0")+1&amp;", "&amp;$A566&amp;", "&amp;R566&amp;" UNION ALL","")</f>
        <v/>
      </c>
      <c r="W566" s="6" t="str">
        <f>IF(S566&gt;0,"SELECT "&amp;COUNTIF($Q$1:$T565,"&gt;0")+COUNTIF($Q566:R566,"&gt;0")+1&amp;", "&amp;$A566&amp;", "&amp;S566&amp;" UNION ALL","")</f>
        <v/>
      </c>
      <c r="X566" s="6" t="str">
        <f>IF(T566&gt;0,"SELECT "&amp;COUNTIF($Q$1:$T565,"&gt;0")+COUNTIF($Q566:S566,"&gt;0")+1&amp;", "&amp;$A566&amp;", "&amp;T566&amp;" UNION ALL","")</f>
        <v/>
      </c>
      <c r="Y566" s="5" t="str">
        <f t="shared" ca="1" si="44"/>
        <v/>
      </c>
    </row>
    <row r="567" spans="1:25">
      <c r="A567" s="6">
        <f t="shared" si="48"/>
        <v>598</v>
      </c>
      <c r="B567" s="6" t="s">
        <v>1390</v>
      </c>
      <c r="C567" s="6">
        <v>3</v>
      </c>
      <c r="D567" s="6">
        <v>10</v>
      </c>
      <c r="L567" s="6" t="str">
        <f t="shared" si="47"/>
        <v>SELECT 598, N'osiem', 3, 10 UNION ALL</v>
      </c>
      <c r="Q567" s="6">
        <f t="shared" ca="1" si="45"/>
        <v>0</v>
      </c>
      <c r="R567" s="6">
        <f t="shared" ca="1" si="46"/>
        <v>0</v>
      </c>
      <c r="U567" s="6" t="str">
        <f ca="1">IF(Q567&gt;0,"SELECT "&amp;COUNTIF($Q$1:$T566,"&gt;0")+1&amp;", "&amp;$A567&amp;", "&amp;Q567&amp;" UNION ALL","")</f>
        <v/>
      </c>
      <c r="V567" s="6" t="str">
        <f ca="1">IF(R567&gt;0,"SELECT "&amp;COUNTIF($Q$1:$T566,"&gt;0")+COUNTIF($Q567:Q567,"&gt;0")+1&amp;", "&amp;$A567&amp;", "&amp;R567&amp;" UNION ALL","")</f>
        <v/>
      </c>
      <c r="W567" s="6" t="str">
        <f>IF(S567&gt;0,"SELECT "&amp;COUNTIF($Q$1:$T566,"&gt;0")+COUNTIF($Q567:R567,"&gt;0")+1&amp;", "&amp;$A567&amp;", "&amp;S567&amp;" UNION ALL","")</f>
        <v/>
      </c>
      <c r="X567" s="6" t="str">
        <f>IF(T567&gt;0,"SELECT "&amp;COUNTIF($Q$1:$T566,"&gt;0")+COUNTIF($Q567:S567,"&gt;0")+1&amp;", "&amp;$A567&amp;", "&amp;T567&amp;" UNION ALL","")</f>
        <v/>
      </c>
      <c r="Y567" s="5" t="str">
        <f t="shared" ca="1" si="44"/>
        <v/>
      </c>
    </row>
    <row r="568" spans="1:25">
      <c r="A568" s="6">
        <f t="shared" si="48"/>
        <v>599</v>
      </c>
      <c r="B568" s="6" t="s">
        <v>1391</v>
      </c>
      <c r="C568" s="6">
        <v>1</v>
      </c>
      <c r="D568" s="6">
        <v>10</v>
      </c>
      <c r="L568" s="6" t="str">
        <f t="shared" si="47"/>
        <v>SELECT 599, N'skóra', 1, 10 UNION ALL</v>
      </c>
      <c r="M568" t="s">
        <v>1446</v>
      </c>
      <c r="Q568" s="6">
        <f t="shared" ca="1" si="45"/>
        <v>75</v>
      </c>
      <c r="R568" s="6">
        <f t="shared" ca="1" si="46"/>
        <v>0</v>
      </c>
      <c r="U568" s="6" t="str">
        <f ca="1">IF(Q568&gt;0,"SELECT "&amp;COUNTIF($Q$1:$T567,"&gt;0")+1&amp;", "&amp;$A568&amp;", "&amp;Q568&amp;" UNION ALL","")</f>
        <v>SELECT 462, 599, 75 UNION ALL</v>
      </c>
      <c r="V568" s="6" t="str">
        <f ca="1">IF(R568&gt;0,"SELECT "&amp;COUNTIF($Q$1:$T567,"&gt;0")+COUNTIF($Q568:Q568,"&gt;0")+1&amp;", "&amp;$A568&amp;", "&amp;R568&amp;" UNION ALL","")</f>
        <v/>
      </c>
      <c r="W568" s="6" t="str">
        <f>IF(S568&gt;0,"SELECT "&amp;COUNTIF($Q$1:$T567,"&gt;0")+COUNTIF($Q568:R568,"&gt;0")+1&amp;", "&amp;$A568&amp;", "&amp;S568&amp;" UNION ALL","")</f>
        <v/>
      </c>
      <c r="X568" s="6" t="str">
        <f>IF(T568&gt;0,"SELECT "&amp;COUNTIF($Q$1:$T567,"&gt;0")+COUNTIF($Q568:S568,"&gt;0")+1&amp;", "&amp;$A568&amp;", "&amp;T568&amp;" UNION ALL","")</f>
        <v/>
      </c>
      <c r="Y568" s="5" t="str">
        <f t="shared" ca="1" si="44"/>
        <v>SELECT 462, 599, 75 UNION ALL</v>
      </c>
    </row>
    <row r="569" spans="1:25">
      <c r="A569" s="6">
        <f t="shared" si="48"/>
        <v>600</v>
      </c>
      <c r="B569" s="6" t="s">
        <v>1392</v>
      </c>
      <c r="C569" s="6">
        <v>1</v>
      </c>
      <c r="D569" s="6">
        <v>10</v>
      </c>
      <c r="L569" s="6" t="str">
        <f t="shared" si="47"/>
        <v>SELECT 600, N'miejsce', 1, 10 UNION ALL</v>
      </c>
      <c r="Q569" s="6">
        <f t="shared" ca="1" si="45"/>
        <v>0</v>
      </c>
      <c r="R569" s="6">
        <f t="shared" ca="1" si="46"/>
        <v>0</v>
      </c>
      <c r="U569" s="6" t="str">
        <f ca="1">IF(Q569&gt;0,"SELECT "&amp;COUNTIF($Q$1:$T568,"&gt;0")+1&amp;", "&amp;$A569&amp;", "&amp;Q569&amp;" UNION ALL","")</f>
        <v/>
      </c>
      <c r="V569" s="6" t="str">
        <f ca="1">IF(R569&gt;0,"SELECT "&amp;COUNTIF($Q$1:$T568,"&gt;0")+COUNTIF($Q569:Q569,"&gt;0")+1&amp;", "&amp;$A569&amp;", "&amp;R569&amp;" UNION ALL","")</f>
        <v/>
      </c>
      <c r="W569" s="6" t="str">
        <f>IF(S569&gt;0,"SELECT "&amp;COUNTIF($Q$1:$T568,"&gt;0")+COUNTIF($Q569:R569,"&gt;0")+1&amp;", "&amp;$A569&amp;", "&amp;S569&amp;" UNION ALL","")</f>
        <v/>
      </c>
      <c r="X569" s="6" t="str">
        <f>IF(T569&gt;0,"SELECT "&amp;COUNTIF($Q$1:$T568,"&gt;0")+COUNTIF($Q569:S569,"&gt;0")+1&amp;", "&amp;$A569&amp;", "&amp;T569&amp;" UNION ALL","")</f>
        <v/>
      </c>
      <c r="Y569" s="5" t="str">
        <f t="shared" ca="1" si="44"/>
        <v/>
      </c>
    </row>
    <row r="570" spans="1:25">
      <c r="A570" s="6">
        <f t="shared" si="48"/>
        <v>601</v>
      </c>
      <c r="B570" s="6" t="s">
        <v>1393</v>
      </c>
      <c r="C570" s="6">
        <v>2</v>
      </c>
      <c r="D570" s="6">
        <v>10</v>
      </c>
      <c r="L570" s="6" t="str">
        <f t="shared" si="47"/>
        <v>SELECT 601, N'wpadać', 2, 10 UNION ALL</v>
      </c>
      <c r="Q570" s="6">
        <f t="shared" ca="1" si="45"/>
        <v>0</v>
      </c>
      <c r="R570" s="6">
        <f t="shared" ca="1" si="46"/>
        <v>0</v>
      </c>
      <c r="U570" s="6" t="str">
        <f ca="1">IF(Q570&gt;0,"SELECT "&amp;COUNTIF($Q$1:$T569,"&gt;0")+1&amp;", "&amp;$A570&amp;", "&amp;Q570&amp;" UNION ALL","")</f>
        <v/>
      </c>
      <c r="V570" s="6" t="str">
        <f ca="1">IF(R570&gt;0,"SELECT "&amp;COUNTIF($Q$1:$T569,"&gt;0")+COUNTIF($Q570:Q570,"&gt;0")+1&amp;", "&amp;$A570&amp;", "&amp;R570&amp;" UNION ALL","")</f>
        <v/>
      </c>
      <c r="W570" s="6" t="str">
        <f>IF(S570&gt;0,"SELECT "&amp;COUNTIF($Q$1:$T569,"&gt;0")+COUNTIF($Q570:R570,"&gt;0")+1&amp;", "&amp;$A570&amp;", "&amp;S570&amp;" UNION ALL","")</f>
        <v/>
      </c>
      <c r="X570" s="6" t="str">
        <f>IF(T570&gt;0,"SELECT "&amp;COUNTIF($Q$1:$T569,"&gt;0")+COUNTIF($Q570:S570,"&gt;0")+1&amp;", "&amp;$A570&amp;", "&amp;T570&amp;" UNION ALL","")</f>
        <v/>
      </c>
      <c r="Y570" s="5" t="str">
        <f t="shared" ca="1" si="44"/>
        <v/>
      </c>
    </row>
    <row r="571" spans="1:25">
      <c r="A571" s="6">
        <f t="shared" si="48"/>
        <v>602</v>
      </c>
      <c r="B571" s="6" t="s">
        <v>1394</v>
      </c>
      <c r="C571" s="6">
        <v>2</v>
      </c>
      <c r="D571" s="6">
        <v>10</v>
      </c>
      <c r="L571" s="6" t="str">
        <f t="shared" si="47"/>
        <v>SELECT 602, N'wierzyć', 2, 10 UNION ALL</v>
      </c>
      <c r="Q571" s="6">
        <f t="shared" ca="1" si="45"/>
        <v>0</v>
      </c>
      <c r="R571" s="6">
        <f t="shared" ca="1" si="46"/>
        <v>0</v>
      </c>
      <c r="U571" s="6" t="str">
        <f ca="1">IF(Q571&gt;0,"SELECT "&amp;COUNTIF($Q$1:$T570,"&gt;0")+1&amp;", "&amp;$A571&amp;", "&amp;Q571&amp;" UNION ALL","")</f>
        <v/>
      </c>
      <c r="V571" s="6" t="str">
        <f ca="1">IF(R571&gt;0,"SELECT "&amp;COUNTIF($Q$1:$T570,"&gt;0")+COUNTIF($Q571:Q571,"&gt;0")+1&amp;", "&amp;$A571&amp;", "&amp;R571&amp;" UNION ALL","")</f>
        <v/>
      </c>
      <c r="W571" s="6" t="str">
        <f>IF(S571&gt;0,"SELECT "&amp;COUNTIF($Q$1:$T570,"&gt;0")+COUNTIF($Q571:R571,"&gt;0")+1&amp;", "&amp;$A571&amp;", "&amp;S571&amp;" UNION ALL","")</f>
        <v/>
      </c>
      <c r="X571" s="6" t="str">
        <f>IF(T571&gt;0,"SELECT "&amp;COUNTIF($Q$1:$T570,"&gt;0")+COUNTIF($Q571:S571,"&gt;0")+1&amp;", "&amp;$A571&amp;", "&amp;T571&amp;" UNION ALL","")</f>
        <v/>
      </c>
      <c r="Y571" s="5" t="str">
        <f t="shared" ca="1" si="44"/>
        <v/>
      </c>
    </row>
    <row r="572" spans="1:25">
      <c r="A572" s="6">
        <f t="shared" si="48"/>
        <v>603</v>
      </c>
      <c r="B572" s="6" t="s">
        <v>1395</v>
      </c>
      <c r="C572" s="6">
        <v>2</v>
      </c>
      <c r="D572" s="6">
        <v>10</v>
      </c>
      <c r="L572" s="6" t="str">
        <f t="shared" si="47"/>
        <v>SELECT 603, N'potrzebować', 2, 10 UNION ALL</v>
      </c>
      <c r="Q572" s="6">
        <f t="shared" ca="1" si="45"/>
        <v>0</v>
      </c>
      <c r="R572" s="6">
        <f t="shared" ca="1" si="46"/>
        <v>0</v>
      </c>
      <c r="U572" s="6" t="str">
        <f ca="1">IF(Q572&gt;0,"SELECT "&amp;COUNTIF($Q$1:$T571,"&gt;0")+1&amp;", "&amp;$A572&amp;", "&amp;Q572&amp;" UNION ALL","")</f>
        <v/>
      </c>
      <c r="V572" s="6" t="str">
        <f ca="1">IF(R572&gt;0,"SELECT "&amp;COUNTIF($Q$1:$T571,"&gt;0")+COUNTIF($Q572:Q572,"&gt;0")+1&amp;", "&amp;$A572&amp;", "&amp;R572&amp;" UNION ALL","")</f>
        <v/>
      </c>
      <c r="W572" s="6" t="str">
        <f>IF(S572&gt;0,"SELECT "&amp;COUNTIF($Q$1:$T571,"&gt;0")+COUNTIF($Q572:R572,"&gt;0")+1&amp;", "&amp;$A572&amp;", "&amp;S572&amp;" UNION ALL","")</f>
        <v/>
      </c>
      <c r="X572" s="6" t="str">
        <f>IF(T572&gt;0,"SELECT "&amp;COUNTIF($Q$1:$T571,"&gt;0")+COUNTIF($Q572:S572,"&gt;0")+1&amp;", "&amp;$A572&amp;", "&amp;T572&amp;" UNION ALL","")</f>
        <v/>
      </c>
      <c r="Y572" s="5" t="str">
        <f t="shared" ca="1" si="44"/>
        <v/>
      </c>
    </row>
    <row r="573" spans="1:25">
      <c r="A573" s="6">
        <f t="shared" si="48"/>
        <v>604</v>
      </c>
      <c r="B573" s="6" t="s">
        <v>1396</v>
      </c>
      <c r="C573" s="6">
        <v>2</v>
      </c>
      <c r="D573" s="6">
        <v>10</v>
      </c>
      <c r="L573" s="6" t="str">
        <f t="shared" si="47"/>
        <v>SELECT 604, N'lubić', 2, 10 UNION ALL</v>
      </c>
      <c r="Q573" s="6">
        <f t="shared" ca="1" si="45"/>
        <v>0</v>
      </c>
      <c r="R573" s="6">
        <f t="shared" ca="1" si="46"/>
        <v>0</v>
      </c>
      <c r="U573" s="6" t="str">
        <f ca="1">IF(Q573&gt;0,"SELECT "&amp;COUNTIF($Q$1:$T572,"&gt;0")+1&amp;", "&amp;$A573&amp;", "&amp;Q573&amp;" UNION ALL","")</f>
        <v/>
      </c>
      <c r="V573" s="6" t="str">
        <f ca="1">IF(R573&gt;0,"SELECT "&amp;COUNTIF($Q$1:$T572,"&gt;0")+COUNTIF($Q573:Q573,"&gt;0")+1&amp;", "&amp;$A573&amp;", "&amp;R573&amp;" UNION ALL","")</f>
        <v/>
      </c>
      <c r="W573" s="6" t="str">
        <f>IF(S573&gt;0,"SELECT "&amp;COUNTIF($Q$1:$T572,"&gt;0")+COUNTIF($Q573:R573,"&gt;0")+1&amp;", "&amp;$A573&amp;", "&amp;S573&amp;" UNION ALL","")</f>
        <v/>
      </c>
      <c r="X573" s="6" t="str">
        <f>IF(T573&gt;0,"SELECT "&amp;COUNTIF($Q$1:$T572,"&gt;0")+COUNTIF($Q573:S573,"&gt;0")+1&amp;", "&amp;$A573&amp;", "&amp;T573&amp;" UNION ALL","")</f>
        <v/>
      </c>
      <c r="Y573" s="5" t="str">
        <f t="shared" ca="1" si="44"/>
        <v/>
      </c>
    </row>
    <row r="574" spans="1:25">
      <c r="A574" s="6">
        <f t="shared" si="48"/>
        <v>605</v>
      </c>
      <c r="B574" s="6" t="s">
        <v>1397</v>
      </c>
      <c r="C574" s="6">
        <v>3</v>
      </c>
      <c r="D574" s="6">
        <v>10</v>
      </c>
      <c r="L574" s="6" t="str">
        <f t="shared" si="47"/>
        <v>SELECT 605, N'jedyny', 3, 10 UNION ALL</v>
      </c>
      <c r="Q574" s="6">
        <f t="shared" ca="1" si="45"/>
        <v>0</v>
      </c>
      <c r="R574" s="6">
        <f t="shared" ca="1" si="46"/>
        <v>0</v>
      </c>
      <c r="U574" s="6" t="str">
        <f ca="1">IF(Q574&gt;0,"SELECT "&amp;COUNTIF($Q$1:$T573,"&gt;0")+1&amp;", "&amp;$A574&amp;", "&amp;Q574&amp;" UNION ALL","")</f>
        <v/>
      </c>
      <c r="V574" s="6" t="str">
        <f ca="1">IF(R574&gt;0,"SELECT "&amp;COUNTIF($Q$1:$T573,"&gt;0")+COUNTIF($Q574:Q574,"&gt;0")+1&amp;", "&amp;$A574&amp;", "&amp;R574&amp;" UNION ALL","")</f>
        <v/>
      </c>
      <c r="W574" s="6" t="str">
        <f>IF(S574&gt;0,"SELECT "&amp;COUNTIF($Q$1:$T573,"&gt;0")+COUNTIF($Q574:R574,"&gt;0")+1&amp;", "&amp;$A574&amp;", "&amp;S574&amp;" UNION ALL","")</f>
        <v/>
      </c>
      <c r="X574" s="6" t="str">
        <f>IF(T574&gt;0,"SELECT "&amp;COUNTIF($Q$1:$T573,"&gt;0")+COUNTIF($Q574:S574,"&gt;0")+1&amp;", "&amp;$A574&amp;", "&amp;T574&amp;" UNION ALL","")</f>
        <v/>
      </c>
      <c r="Y574" s="5" t="str">
        <f t="shared" ca="1" si="44"/>
        <v/>
      </c>
    </row>
    <row r="575" spans="1:25">
      <c r="A575" s="6">
        <f t="shared" si="48"/>
        <v>606</v>
      </c>
      <c r="B575" s="6" t="s">
        <v>1398</v>
      </c>
      <c r="C575" s="6">
        <v>1</v>
      </c>
      <c r="D575" s="6">
        <v>8</v>
      </c>
      <c r="L575" s="6" t="str">
        <f t="shared" si="47"/>
        <v>SELECT 606, N'ujęcie (zdjęcia)', 1, 8 UNION ALL</v>
      </c>
      <c r="Q575" s="6">
        <f t="shared" ca="1" si="45"/>
        <v>0</v>
      </c>
      <c r="R575" s="6">
        <f t="shared" ca="1" si="46"/>
        <v>0</v>
      </c>
      <c r="U575" s="6" t="str">
        <f ca="1">IF(Q575&gt;0,"SELECT "&amp;COUNTIF($Q$1:$T574,"&gt;0")+1&amp;", "&amp;$A575&amp;", "&amp;Q575&amp;" UNION ALL","")</f>
        <v/>
      </c>
      <c r="V575" s="6" t="str">
        <f ca="1">IF(R575&gt;0,"SELECT "&amp;COUNTIF($Q$1:$T574,"&gt;0")+COUNTIF($Q575:Q575,"&gt;0")+1&amp;", "&amp;$A575&amp;", "&amp;R575&amp;" UNION ALL","")</f>
        <v/>
      </c>
      <c r="W575" s="6" t="str">
        <f>IF(S575&gt;0,"SELECT "&amp;COUNTIF($Q$1:$T574,"&gt;0")+COUNTIF($Q575:R575,"&gt;0")+1&amp;", "&amp;$A575&amp;", "&amp;S575&amp;" UNION ALL","")</f>
        <v/>
      </c>
      <c r="X575" s="6" t="str">
        <f>IF(T575&gt;0,"SELECT "&amp;COUNTIF($Q$1:$T574,"&gt;0")+COUNTIF($Q575:S575,"&gt;0")+1&amp;", "&amp;$A575&amp;", "&amp;T575&amp;" UNION ALL","")</f>
        <v/>
      </c>
      <c r="Y575" s="5" t="str">
        <f t="shared" ca="1" si="44"/>
        <v/>
      </c>
    </row>
    <row r="576" spans="1:25">
      <c r="A576" s="6">
        <f t="shared" si="48"/>
        <v>607</v>
      </c>
      <c r="B576" s="6" t="s">
        <v>1399</v>
      </c>
      <c r="C576" s="6">
        <v>1</v>
      </c>
      <c r="D576" s="6">
        <v>10</v>
      </c>
      <c r="L576" s="6" t="str">
        <f t="shared" si="47"/>
        <v>SELECT 607, N'wyjaśnienie', 1, 10 UNION ALL</v>
      </c>
      <c r="Q576" s="6">
        <f t="shared" ca="1" si="45"/>
        <v>0</v>
      </c>
      <c r="R576" s="6">
        <f t="shared" ca="1" si="46"/>
        <v>0</v>
      </c>
      <c r="U576" s="6" t="str">
        <f ca="1">IF(Q576&gt;0,"SELECT "&amp;COUNTIF($Q$1:$T575,"&gt;0")+1&amp;", "&amp;$A576&amp;", "&amp;Q576&amp;" UNION ALL","")</f>
        <v/>
      </c>
      <c r="V576" s="6" t="str">
        <f ca="1">IF(R576&gt;0,"SELECT "&amp;COUNTIF($Q$1:$T575,"&gt;0")+COUNTIF($Q576:Q576,"&gt;0")+1&amp;", "&amp;$A576&amp;", "&amp;R576&amp;" UNION ALL","")</f>
        <v/>
      </c>
      <c r="W576" s="6" t="str">
        <f>IF(S576&gt;0,"SELECT "&amp;COUNTIF($Q$1:$T575,"&gt;0")+COUNTIF($Q576:R576,"&gt;0")+1&amp;", "&amp;$A576&amp;", "&amp;S576&amp;" UNION ALL","")</f>
        <v/>
      </c>
      <c r="X576" s="6" t="str">
        <f>IF(T576&gt;0,"SELECT "&amp;COUNTIF($Q$1:$T575,"&gt;0")+COUNTIF($Q576:S576,"&gt;0")+1&amp;", "&amp;$A576&amp;", "&amp;T576&amp;" UNION ALL","")</f>
        <v/>
      </c>
      <c r="Y576" s="5" t="str">
        <f t="shared" ca="1" si="44"/>
        <v/>
      </c>
    </row>
    <row r="577" spans="1:25">
      <c r="A577" s="6">
        <f t="shared" si="48"/>
        <v>608</v>
      </c>
      <c r="B577" s="6" t="s">
        <v>1400</v>
      </c>
      <c r="C577" s="6">
        <v>1</v>
      </c>
      <c r="D577" s="6">
        <v>10</v>
      </c>
      <c r="L577" s="6" t="str">
        <f t="shared" si="47"/>
        <v>SELECT 608, N'powód', 1, 10 UNION ALL</v>
      </c>
      <c r="Q577" s="6">
        <f t="shared" ca="1" si="45"/>
        <v>0</v>
      </c>
      <c r="R577" s="6">
        <f t="shared" ca="1" si="46"/>
        <v>0</v>
      </c>
      <c r="U577" s="6" t="str">
        <f ca="1">IF(Q577&gt;0,"SELECT "&amp;COUNTIF($Q$1:$T576,"&gt;0")+1&amp;", "&amp;$A577&amp;", "&amp;Q577&amp;" UNION ALL","")</f>
        <v/>
      </c>
      <c r="V577" s="6" t="str">
        <f ca="1">IF(R577&gt;0,"SELECT "&amp;COUNTIF($Q$1:$T576,"&gt;0")+COUNTIF($Q577:Q577,"&gt;0")+1&amp;", "&amp;$A577&amp;", "&amp;R577&amp;" UNION ALL","")</f>
        <v/>
      </c>
      <c r="W577" s="6" t="str">
        <f>IF(S577&gt;0,"SELECT "&amp;COUNTIF($Q$1:$T576,"&gt;0")+COUNTIF($Q577:R577,"&gt;0")+1&amp;", "&amp;$A577&amp;", "&amp;S577&amp;" UNION ALL","")</f>
        <v/>
      </c>
      <c r="X577" s="6" t="str">
        <f>IF(T577&gt;0,"SELECT "&amp;COUNTIF($Q$1:$T576,"&gt;0")+COUNTIF($Q577:S577,"&gt;0")+1&amp;", "&amp;$A577&amp;", "&amp;T577&amp;" UNION ALL","")</f>
        <v/>
      </c>
      <c r="Y577" s="5" t="str">
        <f t="shared" ca="1" si="44"/>
        <v/>
      </c>
    </row>
    <row r="578" spans="1:25">
      <c r="A578" s="6">
        <f t="shared" si="48"/>
        <v>609</v>
      </c>
      <c r="B578" s="6" t="s">
        <v>1401</v>
      </c>
      <c r="C578" s="6">
        <v>1</v>
      </c>
      <c r="D578" s="6">
        <v>10</v>
      </c>
      <c r="L578" s="6" t="str">
        <f t="shared" si="47"/>
        <v>SELECT 609, N'szansa', 1, 10 UNION ALL</v>
      </c>
      <c r="Q578" s="6">
        <f t="shared" ca="1" si="45"/>
        <v>0</v>
      </c>
      <c r="R578" s="6">
        <f t="shared" ca="1" si="46"/>
        <v>0</v>
      </c>
      <c r="U578" s="6" t="str">
        <f ca="1">IF(Q578&gt;0,"SELECT "&amp;COUNTIF($Q$1:$T577,"&gt;0")+1&amp;", "&amp;$A578&amp;", "&amp;Q578&amp;" UNION ALL","")</f>
        <v/>
      </c>
      <c r="V578" s="6" t="str">
        <f ca="1">IF(R578&gt;0,"SELECT "&amp;COUNTIF($Q$1:$T577,"&gt;0")+COUNTIF($Q578:Q578,"&gt;0")+1&amp;", "&amp;$A578&amp;", "&amp;R578&amp;" UNION ALL","")</f>
        <v/>
      </c>
      <c r="W578" s="6" t="str">
        <f>IF(S578&gt;0,"SELECT "&amp;COUNTIF($Q$1:$T577,"&gt;0")+COUNTIF($Q578:R578,"&gt;0")+1&amp;", "&amp;$A578&amp;", "&amp;S578&amp;" UNION ALL","")</f>
        <v/>
      </c>
      <c r="X578" s="6" t="str">
        <f>IF(T578&gt;0,"SELECT "&amp;COUNTIF($Q$1:$T577,"&gt;0")+COUNTIF($Q578:S578,"&gt;0")+1&amp;", "&amp;$A578&amp;", "&amp;T578&amp;" UNION ALL","")</f>
        <v/>
      </c>
      <c r="Y578" s="5" t="str">
        <f t="shared" ca="1" si="44"/>
        <v/>
      </c>
    </row>
    <row r="579" spans="1:25">
      <c r="A579" s="6">
        <f t="shared" si="48"/>
        <v>610</v>
      </c>
      <c r="B579" s="6" t="s">
        <v>1402</v>
      </c>
      <c r="C579" s="6">
        <v>1</v>
      </c>
      <c r="D579" s="6">
        <v>10</v>
      </c>
      <c r="L579" s="6" t="str">
        <f t="shared" si="47"/>
        <v>SELECT 610, N'osoba', 1, 10 UNION ALL</v>
      </c>
      <c r="Q579" s="6">
        <f t="shared" ca="1" si="45"/>
        <v>0</v>
      </c>
      <c r="R579" s="6">
        <f t="shared" ca="1" si="46"/>
        <v>0</v>
      </c>
      <c r="U579" s="6" t="str">
        <f ca="1">IF(Q579&gt;0,"SELECT "&amp;COUNTIF($Q$1:$T578,"&gt;0")+1&amp;", "&amp;$A579&amp;", "&amp;Q579&amp;" UNION ALL","")</f>
        <v/>
      </c>
      <c r="V579" s="6" t="str">
        <f ca="1">IF(R579&gt;0,"SELECT "&amp;COUNTIF($Q$1:$T578,"&gt;0")+COUNTIF($Q579:Q579,"&gt;0")+1&amp;", "&amp;$A579&amp;", "&amp;R579&amp;" UNION ALL","")</f>
        <v/>
      </c>
      <c r="W579" s="6" t="str">
        <f>IF(S579&gt;0,"SELECT "&amp;COUNTIF($Q$1:$T578,"&gt;0")+COUNTIF($Q579:R579,"&gt;0")+1&amp;", "&amp;$A579&amp;", "&amp;S579&amp;" UNION ALL","")</f>
        <v/>
      </c>
      <c r="X579" s="6" t="str">
        <f>IF(T579&gt;0,"SELECT "&amp;COUNTIF($Q$1:$T578,"&gt;0")+COUNTIF($Q579:S579,"&gt;0")+1&amp;", "&amp;$A579&amp;", "&amp;T579&amp;" UNION ALL","")</f>
        <v/>
      </c>
      <c r="Y579" s="5" t="str">
        <f t="shared" ca="1" si="44"/>
        <v/>
      </c>
    </row>
    <row r="580" spans="1:25">
      <c r="A580" s="6">
        <f t="shared" si="48"/>
        <v>611</v>
      </c>
      <c r="B580" s="6" t="s">
        <v>1403</v>
      </c>
      <c r="C580" s="6">
        <v>1</v>
      </c>
      <c r="D580" s="6">
        <v>10</v>
      </c>
      <c r="L580" s="6" t="str">
        <f t="shared" si="47"/>
        <v>SELECT 611, N'pytanie', 1, 10 UNION ALL</v>
      </c>
      <c r="Q580" s="6">
        <f t="shared" ca="1" si="45"/>
        <v>0</v>
      </c>
      <c r="R580" s="6">
        <f t="shared" ca="1" si="46"/>
        <v>0</v>
      </c>
      <c r="U580" s="6" t="str">
        <f ca="1">IF(Q580&gt;0,"SELECT "&amp;COUNTIF($Q$1:$T579,"&gt;0")+1&amp;", "&amp;$A580&amp;", "&amp;Q580&amp;" UNION ALL","")</f>
        <v/>
      </c>
      <c r="V580" s="6" t="str">
        <f ca="1">IF(R580&gt;0,"SELECT "&amp;COUNTIF($Q$1:$T579,"&gt;0")+COUNTIF($Q580:Q580,"&gt;0")+1&amp;", "&amp;$A580&amp;", "&amp;R580&amp;" UNION ALL","")</f>
        <v/>
      </c>
      <c r="W580" s="6" t="str">
        <f>IF(S580&gt;0,"SELECT "&amp;COUNTIF($Q$1:$T579,"&gt;0")+COUNTIF($Q580:R580,"&gt;0")+1&amp;", "&amp;$A580&amp;", "&amp;S580&amp;" UNION ALL","")</f>
        <v/>
      </c>
      <c r="X580" s="6" t="str">
        <f>IF(T580&gt;0,"SELECT "&amp;COUNTIF($Q$1:$T579,"&gt;0")+COUNTIF($Q580:S580,"&gt;0")+1&amp;", "&amp;$A580&amp;", "&amp;T580&amp;" UNION ALL","")</f>
        <v/>
      </c>
      <c r="Y580" s="5" t="str">
        <f t="shared" ref="Y580:Y629" ca="1" si="49">SUBSTITUTE(IF(LEN(U580)&gt;0,U580,"")&amp;IF(LEN(V580)&gt;0,CHAR(10)&amp;V580,"")&amp;IF(LEN(W580)&gt;0,CHAR(10)&amp;W580,"")&amp;IF(LEN(X580)&gt;0,CHAR(10)&amp;X580,""),CHAR(34),"")</f>
        <v/>
      </c>
    </row>
    <row r="581" spans="1:25">
      <c r="A581" s="6">
        <f t="shared" si="48"/>
        <v>612</v>
      </c>
      <c r="B581" s="6" t="s">
        <v>1404</v>
      </c>
      <c r="C581" s="6">
        <v>1</v>
      </c>
      <c r="D581" s="6">
        <v>9</v>
      </c>
      <c r="L581" s="6" t="str">
        <f t="shared" si="47"/>
        <v>SELECT 612, N'wymóg', 1, 9 UNION ALL</v>
      </c>
      <c r="Q581" s="6">
        <f t="shared" ca="1" si="45"/>
        <v>0</v>
      </c>
      <c r="R581" s="6">
        <f t="shared" ca="1" si="46"/>
        <v>0</v>
      </c>
      <c r="U581" s="6" t="str">
        <f ca="1">IF(Q581&gt;0,"SELECT "&amp;COUNTIF($Q$1:$T580,"&gt;0")+1&amp;", "&amp;$A581&amp;", "&amp;Q581&amp;" UNION ALL","")</f>
        <v/>
      </c>
      <c r="V581" s="6" t="str">
        <f ca="1">IF(R581&gt;0,"SELECT "&amp;COUNTIF($Q$1:$T580,"&gt;0")+COUNTIF($Q581:Q581,"&gt;0")+1&amp;", "&amp;$A581&amp;", "&amp;R581&amp;" UNION ALL","")</f>
        <v/>
      </c>
      <c r="W581" s="6" t="str">
        <f>IF(S581&gt;0,"SELECT "&amp;COUNTIF($Q$1:$T580,"&gt;0")+COUNTIF($Q581:R581,"&gt;0")+1&amp;", "&amp;$A581&amp;", "&amp;S581&amp;" UNION ALL","")</f>
        <v/>
      </c>
      <c r="X581" s="6" t="str">
        <f>IF(T581&gt;0,"SELECT "&amp;COUNTIF($Q$1:$T580,"&gt;0")+COUNTIF($Q581:S581,"&gt;0")+1&amp;", "&amp;$A581&amp;", "&amp;T581&amp;" UNION ALL","")</f>
        <v/>
      </c>
      <c r="Y581" s="5" t="str">
        <f t="shared" ca="1" si="49"/>
        <v/>
      </c>
    </row>
    <row r="582" spans="1:25">
      <c r="A582" s="6">
        <f t="shared" si="48"/>
        <v>613</v>
      </c>
      <c r="B582" s="6" t="s">
        <v>1405</v>
      </c>
      <c r="C582" s="6">
        <v>1</v>
      </c>
      <c r="D582" s="6">
        <v>10</v>
      </c>
      <c r="L582" s="6" t="str">
        <f t="shared" si="47"/>
        <v>SELECT 613, N'różnica', 1, 10 UNION ALL</v>
      </c>
      <c r="Q582" s="6">
        <f t="shared" ca="1" si="45"/>
        <v>0</v>
      </c>
      <c r="R582" s="6">
        <f t="shared" ca="1" si="46"/>
        <v>0</v>
      </c>
      <c r="U582" s="6" t="str">
        <f ca="1">IF(Q582&gt;0,"SELECT "&amp;COUNTIF($Q$1:$T581,"&gt;0")+1&amp;", "&amp;$A582&amp;", "&amp;Q582&amp;" UNION ALL","")</f>
        <v/>
      </c>
      <c r="V582" s="6" t="str">
        <f ca="1">IF(R582&gt;0,"SELECT "&amp;COUNTIF($Q$1:$T581,"&gt;0")+COUNTIF($Q582:Q582,"&gt;0")+1&amp;", "&amp;$A582&amp;", "&amp;R582&amp;" UNION ALL","")</f>
        <v/>
      </c>
      <c r="W582" s="6" t="str">
        <f>IF(S582&gt;0,"SELECT "&amp;COUNTIF($Q$1:$T581,"&gt;0")+COUNTIF($Q582:R582,"&gt;0")+1&amp;", "&amp;$A582&amp;", "&amp;S582&amp;" UNION ALL","")</f>
        <v/>
      </c>
      <c r="X582" s="6" t="str">
        <f>IF(T582&gt;0,"SELECT "&amp;COUNTIF($Q$1:$T581,"&gt;0")+COUNTIF($Q582:S582,"&gt;0")+1&amp;", "&amp;$A582&amp;", "&amp;T582&amp;" UNION ALL","")</f>
        <v/>
      </c>
      <c r="Y582" s="5" t="str">
        <f t="shared" ca="1" si="49"/>
        <v/>
      </c>
    </row>
    <row r="583" spans="1:25">
      <c r="A583" s="6">
        <f t="shared" si="48"/>
        <v>614</v>
      </c>
      <c r="B583" s="6" t="s">
        <v>1406</v>
      </c>
      <c r="C583" s="6">
        <v>1</v>
      </c>
      <c r="D583" s="6">
        <v>10</v>
      </c>
      <c r="L583" s="6" t="str">
        <f t="shared" si="47"/>
        <v>SELECT 614, N'problem', 1, 10 UNION ALL</v>
      </c>
      <c r="Q583" s="6">
        <f t="shared" ca="1" si="45"/>
        <v>0</v>
      </c>
      <c r="R583" s="6">
        <f t="shared" ca="1" si="46"/>
        <v>0</v>
      </c>
      <c r="U583" s="6" t="str">
        <f ca="1">IF(Q583&gt;0,"SELECT "&amp;COUNTIF($Q$1:$T582,"&gt;0")+1&amp;", "&amp;$A583&amp;", "&amp;Q583&amp;" UNION ALL","")</f>
        <v/>
      </c>
      <c r="V583" s="6" t="str">
        <f ca="1">IF(R583&gt;0,"SELECT "&amp;COUNTIF($Q$1:$T582,"&gt;0")+COUNTIF($Q583:Q583,"&gt;0")+1&amp;", "&amp;$A583&amp;", "&amp;R583&amp;" UNION ALL","")</f>
        <v/>
      </c>
      <c r="W583" s="6" t="str">
        <f>IF(S583&gt;0,"SELECT "&amp;COUNTIF($Q$1:$T582,"&gt;0")+COUNTIF($Q583:R583,"&gt;0")+1&amp;", "&amp;$A583&amp;", "&amp;S583&amp;" UNION ALL","")</f>
        <v/>
      </c>
      <c r="X583" s="6" t="str">
        <f>IF(T583&gt;0,"SELECT "&amp;COUNTIF($Q$1:$T582,"&gt;0")+COUNTIF($Q583:S583,"&gt;0")+1&amp;", "&amp;$A583&amp;", "&amp;T583&amp;" UNION ALL","")</f>
        <v/>
      </c>
      <c r="Y583" s="5" t="str">
        <f t="shared" ca="1" si="49"/>
        <v/>
      </c>
    </row>
    <row r="584" spans="1:25">
      <c r="A584" s="6">
        <f t="shared" si="48"/>
        <v>615</v>
      </c>
      <c r="B584" s="6" t="s">
        <v>1407</v>
      </c>
      <c r="C584" s="6">
        <v>1</v>
      </c>
      <c r="D584" s="6">
        <v>10</v>
      </c>
      <c r="L584" s="6" t="str">
        <f t="shared" si="47"/>
        <v>SELECT 615, N'wybór', 1, 10 UNION ALL</v>
      </c>
      <c r="Q584" s="6">
        <f t="shared" ca="1" si="45"/>
        <v>0</v>
      </c>
      <c r="R584" s="6">
        <f t="shared" ca="1" si="46"/>
        <v>0</v>
      </c>
      <c r="U584" s="6" t="str">
        <f ca="1">IF(Q584&gt;0,"SELECT "&amp;COUNTIF($Q$1:$T583,"&gt;0")+1&amp;", "&amp;$A584&amp;", "&amp;Q584&amp;" UNION ALL","")</f>
        <v/>
      </c>
      <c r="V584" s="6" t="str">
        <f ca="1">IF(R584&gt;0,"SELECT "&amp;COUNTIF($Q$1:$T583,"&gt;0")+COUNTIF($Q584:Q584,"&gt;0")+1&amp;", "&amp;$A584&amp;", "&amp;R584&amp;" UNION ALL","")</f>
        <v/>
      </c>
      <c r="W584" s="6" t="str">
        <f>IF(S584&gt;0,"SELECT "&amp;COUNTIF($Q$1:$T583,"&gt;0")+COUNTIF($Q584:R584,"&gt;0")+1&amp;", "&amp;$A584&amp;", "&amp;S584&amp;" UNION ALL","")</f>
        <v/>
      </c>
      <c r="X584" s="6" t="str">
        <f>IF(T584&gt;0,"SELECT "&amp;COUNTIF($Q$1:$T583,"&gt;0")+COUNTIF($Q584:S584,"&gt;0")+1&amp;", "&amp;$A584&amp;", "&amp;T584&amp;" UNION ALL","")</f>
        <v/>
      </c>
      <c r="Y584" s="5" t="str">
        <f t="shared" ca="1" si="49"/>
        <v/>
      </c>
    </row>
    <row r="585" spans="1:25">
      <c r="A585" s="6">
        <f t="shared" si="48"/>
        <v>616</v>
      </c>
      <c r="B585" s="6" t="s">
        <v>1408</v>
      </c>
      <c r="C585" s="6">
        <v>1</v>
      </c>
      <c r="D585" s="6">
        <v>10</v>
      </c>
      <c r="L585" s="6" t="str">
        <f t="shared" si="47"/>
        <v>SELECT 616, N'mapa', 1, 10 UNION ALL</v>
      </c>
      <c r="M585" t="s">
        <v>1445</v>
      </c>
      <c r="Q585" s="6">
        <f t="shared" ref="Q585:Q597" ca="1" si="50">IFERROR(VLOOKUP(M585,Kategorie,9,0),0)</f>
        <v>74</v>
      </c>
      <c r="R585" s="6">
        <f t="shared" ref="R585:R597" ca="1" si="51">IFERROR(VLOOKUP(N585,Kategorie,9,0),0)</f>
        <v>0</v>
      </c>
      <c r="U585" s="6" t="str">
        <f ca="1">IF(Q585&gt;0,"SELECT "&amp;COUNTIF($Q$1:$T584,"&gt;0")+1&amp;", "&amp;$A585&amp;", "&amp;Q585&amp;" UNION ALL","")</f>
        <v>SELECT 463, 616, 74 UNION ALL</v>
      </c>
      <c r="V585" s="6" t="str">
        <f ca="1">IF(R585&gt;0,"SELECT "&amp;COUNTIF($Q$1:$T584,"&gt;0")+COUNTIF($Q585:Q585,"&gt;0")+1&amp;", "&amp;$A585&amp;", "&amp;R585&amp;" UNION ALL","")</f>
        <v/>
      </c>
      <c r="W585" s="6" t="str">
        <f>IF(S585&gt;0,"SELECT "&amp;COUNTIF($Q$1:$T584,"&gt;0")+COUNTIF($Q585:R585,"&gt;0")+1&amp;", "&amp;$A585&amp;", "&amp;S585&amp;" UNION ALL","")</f>
        <v/>
      </c>
      <c r="X585" s="6" t="str">
        <f>IF(T585&gt;0,"SELECT "&amp;COUNTIF($Q$1:$T584,"&gt;0")+COUNTIF($Q585:S585,"&gt;0")+1&amp;", "&amp;$A585&amp;", "&amp;T585&amp;" UNION ALL","")</f>
        <v/>
      </c>
      <c r="Y585" s="5" t="str">
        <f t="shared" ca="1" si="49"/>
        <v>SELECT 463, 616, 74 UNION ALL</v>
      </c>
    </row>
    <row r="586" spans="1:25">
      <c r="A586" s="6">
        <f t="shared" si="48"/>
        <v>617</v>
      </c>
      <c r="B586" s="6" t="s">
        <v>1409</v>
      </c>
      <c r="C586" s="6">
        <v>1</v>
      </c>
      <c r="D586" s="6">
        <v>10</v>
      </c>
      <c r="L586" s="6" t="str">
        <f t="shared" si="47"/>
        <v>SELECT 617, N'wykres', 1, 10 UNION ALL</v>
      </c>
      <c r="M586" t="s">
        <v>1480</v>
      </c>
      <c r="Q586" s="6">
        <f t="shared" ca="1" si="50"/>
        <v>77</v>
      </c>
      <c r="R586" s="6">
        <f t="shared" ca="1" si="51"/>
        <v>0</v>
      </c>
      <c r="U586" s="6" t="str">
        <f ca="1">IF(Q586&gt;0,"SELECT "&amp;COUNTIF($Q$1:$T585,"&gt;0")+1&amp;", "&amp;$A586&amp;", "&amp;Q586&amp;" UNION ALL","")</f>
        <v>SELECT 464, 617, 77 UNION ALL</v>
      </c>
      <c r="V586" s="6" t="str">
        <f ca="1">IF(R586&gt;0,"SELECT "&amp;COUNTIF($Q$1:$T585,"&gt;0")+COUNTIF($Q586:Q586,"&gt;0")+1&amp;", "&amp;$A586&amp;", "&amp;R586&amp;" UNION ALL","")</f>
        <v/>
      </c>
      <c r="W586" s="6" t="str">
        <f>IF(S586&gt;0,"SELECT "&amp;COUNTIF($Q$1:$T585,"&gt;0")+COUNTIF($Q586:R586,"&gt;0")+1&amp;", "&amp;$A586&amp;", "&amp;S586&amp;" UNION ALL","")</f>
        <v/>
      </c>
      <c r="X586" s="6" t="str">
        <f>IF(T586&gt;0,"SELECT "&amp;COUNTIF($Q$1:$T585,"&gt;0")+COUNTIF($Q586:S586,"&gt;0")+1&amp;", "&amp;$A586&amp;", "&amp;T586&amp;" UNION ALL","")</f>
        <v/>
      </c>
      <c r="Y586" s="5" t="str">
        <f t="shared" ca="1" si="49"/>
        <v>SELECT 464, 617, 77 UNION ALL</v>
      </c>
    </row>
    <row r="587" spans="1:25">
      <c r="A587" s="6">
        <f t="shared" si="48"/>
        <v>618</v>
      </c>
      <c r="B587" s="6" t="s">
        <v>1410</v>
      </c>
      <c r="C587" s="6">
        <v>1</v>
      </c>
      <c r="D587" s="6">
        <v>9</v>
      </c>
      <c r="L587" s="6" t="str">
        <f t="shared" si="47"/>
        <v>SELECT 618, N'założenie', 1, 9 UNION ALL</v>
      </c>
      <c r="Q587" s="6">
        <f t="shared" ca="1" si="50"/>
        <v>0</v>
      </c>
      <c r="R587" s="6">
        <f t="shared" ca="1" si="51"/>
        <v>0</v>
      </c>
      <c r="U587" s="6" t="str">
        <f ca="1">IF(Q587&gt;0,"SELECT "&amp;COUNTIF($Q$1:$T586,"&gt;0")+1&amp;", "&amp;$A587&amp;", "&amp;Q587&amp;" UNION ALL","")</f>
        <v/>
      </c>
      <c r="V587" s="6" t="str">
        <f ca="1">IF(R587&gt;0,"SELECT "&amp;COUNTIF($Q$1:$T586,"&gt;0")+COUNTIF($Q587:Q587,"&gt;0")+1&amp;", "&amp;$A587&amp;", "&amp;R587&amp;" UNION ALL","")</f>
        <v/>
      </c>
      <c r="W587" s="6" t="str">
        <f>IF(S587&gt;0,"SELECT "&amp;COUNTIF($Q$1:$T586,"&gt;0")+COUNTIF($Q587:R587,"&gt;0")+1&amp;", "&amp;$A587&amp;", "&amp;S587&amp;" UNION ALL","")</f>
        <v/>
      </c>
      <c r="X587" s="6" t="str">
        <f>IF(T587&gt;0,"SELECT "&amp;COUNTIF($Q$1:$T586,"&gt;0")+COUNTIF($Q587:S587,"&gt;0")+1&amp;", "&amp;$A587&amp;", "&amp;T587&amp;" UNION ALL","")</f>
        <v/>
      </c>
      <c r="Y587" s="5" t="str">
        <f t="shared" ca="1" si="49"/>
        <v/>
      </c>
    </row>
    <row r="588" spans="1:25">
      <c r="A588" s="6">
        <f t="shared" si="48"/>
        <v>619</v>
      </c>
      <c r="B588" s="6" t="s">
        <v>1411</v>
      </c>
      <c r="C588" s="6">
        <v>1</v>
      </c>
      <c r="D588" s="6">
        <v>9</v>
      </c>
      <c r="L588" s="6" t="str">
        <f t="shared" si="47"/>
        <v>SELECT 619, N'wynik (gry, meczu)', 1, 9 UNION ALL</v>
      </c>
      <c r="M588" s="6" t="s">
        <v>1480</v>
      </c>
      <c r="Q588" s="6">
        <f t="shared" ca="1" si="50"/>
        <v>77</v>
      </c>
      <c r="R588" s="6">
        <f t="shared" ca="1" si="51"/>
        <v>0</v>
      </c>
      <c r="U588" s="6" t="str">
        <f ca="1">IF(Q588&gt;0,"SELECT "&amp;COUNTIF($Q$1:$T587,"&gt;0")+1&amp;", "&amp;$A588&amp;", "&amp;Q588&amp;" UNION ALL","")</f>
        <v>SELECT 465, 619, 77 UNION ALL</v>
      </c>
      <c r="V588" s="6" t="str">
        <f ca="1">IF(R588&gt;0,"SELECT "&amp;COUNTIF($Q$1:$T587,"&gt;0")+COUNTIF($Q588:Q588,"&gt;0")+1&amp;", "&amp;$A588&amp;", "&amp;R588&amp;" UNION ALL","")</f>
        <v/>
      </c>
      <c r="W588" s="6" t="str">
        <f>IF(S588&gt;0,"SELECT "&amp;COUNTIF($Q$1:$T587,"&gt;0")+COUNTIF($Q588:R588,"&gt;0")+1&amp;", "&amp;$A588&amp;", "&amp;S588&amp;" UNION ALL","")</f>
        <v/>
      </c>
      <c r="X588" s="6" t="str">
        <f>IF(T588&gt;0,"SELECT "&amp;COUNTIF($Q$1:$T587,"&gt;0")+COUNTIF($Q588:S588,"&gt;0")+1&amp;", "&amp;$A588&amp;", "&amp;T588&amp;" UNION ALL","")</f>
        <v/>
      </c>
      <c r="Y588" s="5" t="str">
        <f t="shared" ca="1" si="49"/>
        <v>SELECT 465, 619, 77 UNION ALL</v>
      </c>
    </row>
    <row r="589" spans="1:25">
      <c r="A589" s="6">
        <f t="shared" si="48"/>
        <v>620</v>
      </c>
      <c r="B589" s="6" t="s">
        <v>1412</v>
      </c>
      <c r="C589" s="6">
        <v>1</v>
      </c>
      <c r="D589" s="6">
        <v>10</v>
      </c>
      <c r="L589" s="6" t="str">
        <f t="shared" si="47"/>
        <v>SELECT 620, N'wynik (badania, pomiaru)', 1, 10 UNION ALL</v>
      </c>
      <c r="M589" s="6" t="s">
        <v>1480</v>
      </c>
      <c r="Q589" s="6">
        <f t="shared" ca="1" si="50"/>
        <v>77</v>
      </c>
      <c r="R589" s="6">
        <f t="shared" ca="1" si="51"/>
        <v>0</v>
      </c>
      <c r="U589" s="6" t="str">
        <f ca="1">IF(Q589&gt;0,"SELECT "&amp;COUNTIF($Q$1:$T588,"&gt;0")+1&amp;", "&amp;$A589&amp;", "&amp;Q589&amp;" UNION ALL","")</f>
        <v>SELECT 466, 620, 77 UNION ALL</v>
      </c>
      <c r="V589" s="6" t="str">
        <f ca="1">IF(R589&gt;0,"SELECT "&amp;COUNTIF($Q$1:$T588,"&gt;0")+COUNTIF($Q589:Q589,"&gt;0")+1&amp;", "&amp;$A589&amp;", "&amp;R589&amp;" UNION ALL","")</f>
        <v/>
      </c>
      <c r="W589" s="6" t="str">
        <f>IF(S589&gt;0,"SELECT "&amp;COUNTIF($Q$1:$T588,"&gt;0")+COUNTIF($Q589:R589,"&gt;0")+1&amp;", "&amp;$A589&amp;", "&amp;S589&amp;" UNION ALL","")</f>
        <v/>
      </c>
      <c r="X589" s="6" t="str">
        <f>IF(T589&gt;0,"SELECT "&amp;COUNTIF($Q$1:$T588,"&gt;0")+COUNTIF($Q589:S589,"&gt;0")+1&amp;", "&amp;$A589&amp;", "&amp;T589&amp;" UNION ALL","")</f>
        <v/>
      </c>
      <c r="Y589" s="5" t="str">
        <f t="shared" ca="1" si="49"/>
        <v>SELECT 466, 620, 77 UNION ALL</v>
      </c>
    </row>
    <row r="590" spans="1:25">
      <c r="A590" s="6">
        <f t="shared" si="48"/>
        <v>621</v>
      </c>
      <c r="B590" s="6" t="s">
        <v>1413</v>
      </c>
      <c r="C590" s="6">
        <v>1</v>
      </c>
      <c r="D590" s="6">
        <v>10</v>
      </c>
      <c r="L590" s="6" t="str">
        <f t="shared" si="47"/>
        <v>SELECT 621, N'zdjęcie', 1, 10 UNION ALL</v>
      </c>
      <c r="M590" s="6" t="s">
        <v>550</v>
      </c>
      <c r="Q590" s="6">
        <f t="shared" ca="1" si="50"/>
        <v>72</v>
      </c>
      <c r="R590" s="6">
        <f t="shared" ca="1" si="51"/>
        <v>0</v>
      </c>
      <c r="U590" s="6" t="str">
        <f ca="1">IF(Q590&gt;0,"SELECT "&amp;COUNTIF($Q$1:$T589,"&gt;0")+1&amp;", "&amp;$A590&amp;", "&amp;Q590&amp;" UNION ALL","")</f>
        <v>SELECT 467, 621, 72 UNION ALL</v>
      </c>
      <c r="V590" s="6" t="str">
        <f ca="1">IF(R590&gt;0,"SELECT "&amp;COUNTIF($Q$1:$T589,"&gt;0")+COUNTIF($Q590:Q590,"&gt;0")+1&amp;", "&amp;$A590&amp;", "&amp;R590&amp;" UNION ALL","")</f>
        <v/>
      </c>
      <c r="W590" s="6" t="str">
        <f>IF(S590&gt;0,"SELECT "&amp;COUNTIF($Q$1:$T589,"&gt;0")+COUNTIF($Q590:R590,"&gt;0")+1&amp;", "&amp;$A590&amp;", "&amp;S590&amp;" UNION ALL","")</f>
        <v/>
      </c>
      <c r="X590" s="6" t="str">
        <f>IF(T590&gt;0,"SELECT "&amp;COUNTIF($Q$1:$T589,"&gt;0")+COUNTIF($Q590:S590,"&gt;0")+1&amp;", "&amp;$A590&amp;", "&amp;T590&amp;" UNION ALL","")</f>
        <v/>
      </c>
      <c r="Y590" s="5" t="str">
        <f t="shared" ca="1" si="49"/>
        <v>SELECT 467, 621, 72 UNION ALL</v>
      </c>
    </row>
    <row r="591" spans="1:25">
      <c r="A591" s="6">
        <f t="shared" si="48"/>
        <v>622</v>
      </c>
      <c r="B591" s="6" t="s">
        <v>1414</v>
      </c>
      <c r="C591" s="6">
        <v>1</v>
      </c>
      <c r="D591" s="6">
        <v>9</v>
      </c>
      <c r="L591" s="6" t="str">
        <f t="shared" si="47"/>
        <v>SELECT 622, N'młotek', 1, 9 UNION ALL</v>
      </c>
      <c r="M591" s="6" t="s">
        <v>1444</v>
      </c>
      <c r="Q591" s="6">
        <f t="shared" ca="1" si="50"/>
        <v>73</v>
      </c>
      <c r="R591" s="6">
        <f t="shared" ca="1" si="51"/>
        <v>0</v>
      </c>
      <c r="U591" s="6" t="str">
        <f ca="1">IF(Q591&gt;0,"SELECT "&amp;COUNTIF($Q$1:$T590,"&gt;0")+1&amp;", "&amp;$A591&amp;", "&amp;Q591&amp;" UNION ALL","")</f>
        <v>SELECT 468, 622, 73 UNION ALL</v>
      </c>
      <c r="V591" s="6" t="str">
        <f ca="1">IF(R591&gt;0,"SELECT "&amp;COUNTIF($Q$1:$T590,"&gt;0")+COUNTIF($Q591:Q591,"&gt;0")+1&amp;", "&amp;$A591&amp;", "&amp;R591&amp;" UNION ALL","")</f>
        <v/>
      </c>
      <c r="W591" s="6" t="str">
        <f>IF(S591&gt;0,"SELECT "&amp;COUNTIF($Q$1:$T590,"&gt;0")+COUNTIF($Q591:R591,"&gt;0")+1&amp;", "&amp;$A591&amp;", "&amp;S591&amp;" UNION ALL","")</f>
        <v/>
      </c>
      <c r="X591" s="6" t="str">
        <f>IF(T591&gt;0,"SELECT "&amp;COUNTIF($Q$1:$T590,"&gt;0")+COUNTIF($Q591:S591,"&gt;0")+1&amp;", "&amp;$A591&amp;", "&amp;T591&amp;" UNION ALL","")</f>
        <v/>
      </c>
      <c r="Y591" s="5" t="str">
        <f t="shared" ca="1" si="49"/>
        <v>SELECT 468, 622, 73 UNION ALL</v>
      </c>
    </row>
    <row r="592" spans="1:25">
      <c r="A592" s="6">
        <f t="shared" si="48"/>
        <v>623</v>
      </c>
      <c r="B592" s="6" t="s">
        <v>1415</v>
      </c>
      <c r="C592" s="6">
        <v>1</v>
      </c>
      <c r="D592" s="6">
        <v>9</v>
      </c>
      <c r="L592" s="6" t="str">
        <f t="shared" si="47"/>
        <v>SELECT 623, N'lina', 1, 9 UNION ALL</v>
      </c>
      <c r="M592" s="6" t="s">
        <v>1444</v>
      </c>
      <c r="Q592" s="6">
        <f t="shared" ca="1" si="50"/>
        <v>73</v>
      </c>
      <c r="R592" s="6">
        <f t="shared" ca="1" si="51"/>
        <v>0</v>
      </c>
      <c r="U592" s="6" t="str">
        <f ca="1">IF(Q592&gt;0,"SELECT "&amp;COUNTIF($Q$1:$T591,"&gt;0")+1&amp;", "&amp;$A592&amp;", "&amp;Q592&amp;" UNION ALL","")</f>
        <v>SELECT 469, 623, 73 UNION ALL</v>
      </c>
      <c r="V592" s="6" t="str">
        <f ca="1">IF(R592&gt;0,"SELECT "&amp;COUNTIF($Q$1:$T591,"&gt;0")+COUNTIF($Q592:Q592,"&gt;0")+1&amp;", "&amp;$A592&amp;", "&amp;R592&amp;" UNION ALL","")</f>
        <v/>
      </c>
      <c r="W592" s="6" t="str">
        <f>IF(S592&gt;0,"SELECT "&amp;COUNTIF($Q$1:$T591,"&gt;0")+COUNTIF($Q592:R592,"&gt;0")+1&amp;", "&amp;$A592&amp;", "&amp;S592&amp;" UNION ALL","")</f>
        <v/>
      </c>
      <c r="X592" s="6" t="str">
        <f>IF(T592&gt;0,"SELECT "&amp;COUNTIF($Q$1:$T591,"&gt;0")+COUNTIF($Q592:S592,"&gt;0")+1&amp;", "&amp;$A592&amp;", "&amp;T592&amp;" UNION ALL","")</f>
        <v/>
      </c>
      <c r="Y592" s="5" t="str">
        <f t="shared" ca="1" si="49"/>
        <v>SELECT 469, 623, 73 UNION ALL</v>
      </c>
    </row>
    <row r="593" spans="1:25">
      <c r="A593" s="6">
        <f t="shared" si="48"/>
        <v>624</v>
      </c>
      <c r="B593" s="6" t="s">
        <v>1416</v>
      </c>
      <c r="C593" s="6">
        <v>1</v>
      </c>
      <c r="D593" s="6">
        <v>10</v>
      </c>
      <c r="L593" s="6" t="str">
        <f t="shared" si="47"/>
        <v>SELECT 624, N'odwaga', 1, 10 UNION ALL</v>
      </c>
      <c r="Q593" s="6">
        <f t="shared" ca="1" si="50"/>
        <v>0</v>
      </c>
      <c r="R593" s="6">
        <f t="shared" ca="1" si="51"/>
        <v>0</v>
      </c>
      <c r="U593" s="6" t="str">
        <f ca="1">IF(Q593&gt;0,"SELECT "&amp;COUNTIF($Q$1:$T592,"&gt;0")+1&amp;", "&amp;$A593&amp;", "&amp;Q593&amp;" UNION ALL","")</f>
        <v/>
      </c>
      <c r="V593" s="6" t="str">
        <f ca="1">IF(R593&gt;0,"SELECT "&amp;COUNTIF($Q$1:$T592,"&gt;0")+COUNTIF($Q593:Q593,"&gt;0")+1&amp;", "&amp;$A593&amp;", "&amp;R593&amp;" UNION ALL","")</f>
        <v/>
      </c>
      <c r="W593" s="6" t="str">
        <f>IF(S593&gt;0,"SELECT "&amp;COUNTIF($Q$1:$T592,"&gt;0")+COUNTIF($Q593:R593,"&gt;0")+1&amp;", "&amp;$A593&amp;", "&amp;S593&amp;" UNION ALL","")</f>
        <v/>
      </c>
      <c r="X593" s="6" t="str">
        <f>IF(T593&gt;0,"SELECT "&amp;COUNTIF($Q$1:$T592,"&gt;0")+COUNTIF($Q593:S593,"&gt;0")+1&amp;", "&amp;$A593&amp;", "&amp;T593&amp;" UNION ALL","")</f>
        <v/>
      </c>
      <c r="Y593" s="5" t="str">
        <f t="shared" ca="1" si="49"/>
        <v/>
      </c>
    </row>
    <row r="594" spans="1:25">
      <c r="A594" s="6">
        <f t="shared" si="48"/>
        <v>625</v>
      </c>
      <c r="B594" s="6" t="s">
        <v>1417</v>
      </c>
      <c r="C594" s="6">
        <v>1</v>
      </c>
      <c r="D594" s="6">
        <v>9</v>
      </c>
      <c r="L594" s="6" t="str">
        <f t="shared" si="47"/>
        <v>SELECT 625, N'przyjaciel', 1, 9 UNION ALL</v>
      </c>
      <c r="Q594" s="6">
        <f t="shared" ca="1" si="50"/>
        <v>0</v>
      </c>
      <c r="R594" s="6">
        <f t="shared" ca="1" si="51"/>
        <v>0</v>
      </c>
      <c r="U594" s="6" t="str">
        <f ca="1">IF(Q594&gt;0,"SELECT "&amp;COUNTIF($Q$1:$T593,"&gt;0")+1&amp;", "&amp;$A594&amp;", "&amp;Q594&amp;" UNION ALL","")</f>
        <v/>
      </c>
      <c r="V594" s="6" t="str">
        <f ca="1">IF(R594&gt;0,"SELECT "&amp;COUNTIF($Q$1:$T593,"&gt;0")+COUNTIF($Q594:Q594,"&gt;0")+1&amp;", "&amp;$A594&amp;", "&amp;R594&amp;" UNION ALL","")</f>
        <v/>
      </c>
      <c r="W594" s="6" t="str">
        <f>IF(S594&gt;0,"SELECT "&amp;COUNTIF($Q$1:$T593,"&gt;0")+COUNTIF($Q594:R594,"&gt;0")+1&amp;", "&amp;$A594&amp;", "&amp;S594&amp;" UNION ALL","")</f>
        <v/>
      </c>
      <c r="X594" s="6" t="str">
        <f>IF(T594&gt;0,"SELECT "&amp;COUNTIF($Q$1:$T593,"&gt;0")+COUNTIF($Q594:S594,"&gt;0")+1&amp;", "&amp;$A594&amp;", "&amp;T594&amp;" UNION ALL","")</f>
        <v/>
      </c>
      <c r="Y594" s="5" t="str">
        <f t="shared" ca="1" si="49"/>
        <v/>
      </c>
    </row>
    <row r="595" spans="1:25">
      <c r="A595" s="6">
        <f t="shared" si="48"/>
        <v>626</v>
      </c>
      <c r="B595" s="6" t="s">
        <v>1418</v>
      </c>
      <c r="C595" s="6">
        <v>2</v>
      </c>
      <c r="D595" s="6">
        <v>7</v>
      </c>
      <c r="L595" s="6" t="str">
        <f t="shared" si="47"/>
        <v>SELECT 626, N'zabierać', 2, 7 UNION ALL</v>
      </c>
      <c r="Q595" s="6">
        <f t="shared" ca="1" si="50"/>
        <v>0</v>
      </c>
      <c r="R595" s="6">
        <f t="shared" ca="1" si="51"/>
        <v>0</v>
      </c>
      <c r="U595" s="6" t="str">
        <f ca="1">IF(Q595&gt;0,"SELECT "&amp;COUNTIF($Q$1:$T594,"&gt;0")+1&amp;", "&amp;$A595&amp;", "&amp;Q595&amp;" UNION ALL","")</f>
        <v/>
      </c>
      <c r="V595" s="6" t="str">
        <f ca="1">IF(R595&gt;0,"SELECT "&amp;COUNTIF($Q$1:$T594,"&gt;0")+COUNTIF($Q595:Q595,"&gt;0")+1&amp;", "&amp;$A595&amp;", "&amp;R595&amp;" UNION ALL","")</f>
        <v/>
      </c>
      <c r="W595" s="6" t="str">
        <f>IF(S595&gt;0,"SELECT "&amp;COUNTIF($Q$1:$T594,"&gt;0")+COUNTIF($Q595:R595,"&gt;0")+1&amp;", "&amp;$A595&amp;", "&amp;S595&amp;" UNION ALL","")</f>
        <v/>
      </c>
      <c r="X595" s="6" t="str">
        <f>IF(T595&gt;0,"SELECT "&amp;COUNTIF($Q$1:$T594,"&gt;0")+COUNTIF($Q595:S595,"&gt;0")+1&amp;", "&amp;$A595&amp;", "&amp;T595&amp;" UNION ALL","")</f>
        <v/>
      </c>
      <c r="Y595" s="5" t="str">
        <f t="shared" ca="1" si="49"/>
        <v/>
      </c>
    </row>
    <row r="596" spans="1:25">
      <c r="A596" s="6">
        <f t="shared" si="48"/>
        <v>627</v>
      </c>
      <c r="B596" s="6" t="s">
        <v>1419</v>
      </c>
      <c r="C596" s="6">
        <v>1</v>
      </c>
      <c r="D596" s="6">
        <v>9</v>
      </c>
      <c r="L596" s="6" t="str">
        <f t="shared" si="47"/>
        <v>SELECT 627, N'region', 1, 9 UNION ALL</v>
      </c>
      <c r="M596" t="s">
        <v>1423</v>
      </c>
      <c r="Q596" s="6">
        <f t="shared" ca="1" si="50"/>
        <v>63</v>
      </c>
      <c r="R596" s="6">
        <f t="shared" ca="1" si="51"/>
        <v>0</v>
      </c>
      <c r="U596" s="6" t="str">
        <f ca="1">IF(Q596&gt;0,"SELECT "&amp;COUNTIF($Q$1:$T595,"&gt;0")+1&amp;", "&amp;$A596&amp;", "&amp;Q596&amp;" UNION ALL","")</f>
        <v>SELECT 470, 627, 63 UNION ALL</v>
      </c>
      <c r="V596" s="6" t="str">
        <f ca="1">IF(R596&gt;0,"SELECT "&amp;COUNTIF($Q$1:$T595,"&gt;0")+COUNTIF($Q596:Q596,"&gt;0")+1&amp;", "&amp;$A596&amp;", "&amp;R596&amp;" UNION ALL","")</f>
        <v/>
      </c>
      <c r="W596" s="6" t="str">
        <f>IF(S596&gt;0,"SELECT "&amp;COUNTIF($Q$1:$T595,"&gt;0")+COUNTIF($Q596:R596,"&gt;0")+1&amp;", "&amp;$A596&amp;", "&amp;S596&amp;" UNION ALL","")</f>
        <v/>
      </c>
      <c r="X596" s="6" t="str">
        <f>IF(T596&gt;0,"SELECT "&amp;COUNTIF($Q$1:$T595,"&gt;0")+COUNTIF($Q596:S596,"&gt;0")+1&amp;", "&amp;$A596&amp;", "&amp;T596&amp;" UNION ALL","")</f>
        <v/>
      </c>
      <c r="Y596" s="5" t="str">
        <f t="shared" ca="1" si="49"/>
        <v>SELECT 470, 627, 63 UNION ALL</v>
      </c>
    </row>
    <row r="597" spans="1:25">
      <c r="A597" s="6">
        <f t="shared" si="48"/>
        <v>628</v>
      </c>
      <c r="B597" s="6" t="s">
        <v>1420</v>
      </c>
      <c r="C597" s="6">
        <v>1</v>
      </c>
      <c r="D597" s="6">
        <v>10</v>
      </c>
      <c r="L597" s="6" t="str">
        <f t="shared" si="47"/>
        <v>SELECT 628, N'miasto', 1, 10 UNION ALL</v>
      </c>
      <c r="M597" s="6" t="s">
        <v>1423</v>
      </c>
      <c r="Q597" s="6">
        <f t="shared" ca="1" si="50"/>
        <v>63</v>
      </c>
      <c r="R597" s="6">
        <f t="shared" ca="1" si="51"/>
        <v>0</v>
      </c>
      <c r="U597" s="6" t="str">
        <f ca="1">IF(Q597&gt;0,"SELECT "&amp;COUNTIF($Q$1:$T596,"&gt;0")+1&amp;", "&amp;$A597&amp;", "&amp;Q597&amp;" UNION ALL","")</f>
        <v>SELECT 471, 628, 63 UNION ALL</v>
      </c>
      <c r="V597" s="6" t="str">
        <f ca="1">IF(R597&gt;0,"SELECT "&amp;COUNTIF($Q$1:$T596,"&gt;0")+COUNTIF($Q597:Q597,"&gt;0")+1&amp;", "&amp;$A597&amp;", "&amp;R597&amp;" UNION ALL","")</f>
        <v/>
      </c>
      <c r="W597" s="6" t="str">
        <f>IF(S597&gt;0,"SELECT "&amp;COUNTIF($Q$1:$T596,"&gt;0")+COUNTIF($Q597:R597,"&gt;0")+1&amp;", "&amp;$A597&amp;", "&amp;S597&amp;" UNION ALL","")</f>
        <v/>
      </c>
      <c r="X597" s="6" t="str">
        <f>IF(T597&gt;0,"SELECT "&amp;COUNTIF($Q$1:$T596,"&gt;0")+COUNTIF($Q597:S597,"&gt;0")+1&amp;", "&amp;$A597&amp;", "&amp;T597&amp;" UNION ALL","")</f>
        <v/>
      </c>
      <c r="Y597" s="5" t="str">
        <f t="shared" ca="1" si="49"/>
        <v>SELECT 471, 628, 63 UNION ALL</v>
      </c>
    </row>
    <row r="598" spans="1:25">
      <c r="A598" s="6">
        <f t="shared" si="48"/>
        <v>629</v>
      </c>
      <c r="B598" t="s">
        <v>1448</v>
      </c>
      <c r="C598" s="6">
        <v>1</v>
      </c>
      <c r="D598" s="6">
        <v>10</v>
      </c>
      <c r="L598" s="6" t="str">
        <f t="shared" si="47"/>
        <v>SELECT 629, N'głowa', 1, 10 UNION ALL</v>
      </c>
      <c r="M598" t="s">
        <v>1446</v>
      </c>
      <c r="Q598" s="6">
        <f t="shared" ref="Q598:Q629" ca="1" si="52">IFERROR(VLOOKUP(M598,Kategorie,9,0),0)</f>
        <v>75</v>
      </c>
      <c r="R598" s="6">
        <f t="shared" ref="R598:R629" ca="1" si="53">IFERROR(VLOOKUP(N598,Kategorie,9,0),0)</f>
        <v>0</v>
      </c>
      <c r="U598" s="6" t="str">
        <f ca="1">IF(Q598&gt;0,"SELECT "&amp;COUNTIF($Q$1:$T597,"&gt;0")+1&amp;", "&amp;$A598&amp;", "&amp;Q598&amp;" UNION ALL","")</f>
        <v>SELECT 472, 629, 75 UNION ALL</v>
      </c>
      <c r="V598" s="6" t="str">
        <f ca="1">IF(R598&gt;0,"SELECT "&amp;COUNTIF($Q$1:$T597,"&gt;0")+COUNTIF($Q598:Q598,"&gt;0")+1&amp;", "&amp;$A598&amp;", "&amp;R598&amp;" UNION ALL","")</f>
        <v/>
      </c>
      <c r="W598" s="6" t="str">
        <f>IF(S598&gt;0,"SELECT "&amp;COUNTIF($Q$1:$T597,"&gt;0")+COUNTIF($Q598:R598,"&gt;0")+1&amp;", "&amp;$A598&amp;", "&amp;S598&amp;" UNION ALL","")</f>
        <v/>
      </c>
      <c r="X598" s="6" t="str">
        <f>IF(T598&gt;0,"SELECT "&amp;COUNTIF($Q$1:$T597,"&gt;0")+COUNTIF($Q598:S598,"&gt;0")+1&amp;", "&amp;$A598&amp;", "&amp;T598&amp;" UNION ALL","")</f>
        <v/>
      </c>
      <c r="Y598" s="5" t="str">
        <f t="shared" ca="1" si="49"/>
        <v>SELECT 472, 629, 75 UNION ALL</v>
      </c>
    </row>
    <row r="599" spans="1:25">
      <c r="A599" s="6">
        <f t="shared" si="48"/>
        <v>630</v>
      </c>
      <c r="B599" t="s">
        <v>1449</v>
      </c>
      <c r="C599" s="6">
        <v>1</v>
      </c>
      <c r="D599" s="6">
        <v>10</v>
      </c>
      <c r="L599" s="6" t="str">
        <f t="shared" si="47"/>
        <v>SELECT 630, N'noga', 1, 10 UNION ALL</v>
      </c>
      <c r="M599" s="6" t="s">
        <v>1446</v>
      </c>
      <c r="Q599" s="6">
        <f t="shared" ca="1" si="52"/>
        <v>75</v>
      </c>
      <c r="R599" s="6">
        <f t="shared" ca="1" si="53"/>
        <v>0</v>
      </c>
      <c r="U599" s="6" t="str">
        <f ca="1">IF(Q599&gt;0,"SELECT "&amp;COUNTIF($Q$1:$T598,"&gt;0")+1&amp;", "&amp;$A599&amp;", "&amp;Q599&amp;" UNION ALL","")</f>
        <v>SELECT 473, 630, 75 UNION ALL</v>
      </c>
      <c r="V599" s="6" t="str">
        <f ca="1">IF(R599&gt;0,"SELECT "&amp;COUNTIF($Q$1:$T598,"&gt;0")+COUNTIF($Q599:Q599,"&gt;0")+1&amp;", "&amp;$A599&amp;", "&amp;R599&amp;" UNION ALL","")</f>
        <v/>
      </c>
      <c r="W599" s="6" t="str">
        <f>IF(S599&gt;0,"SELECT "&amp;COUNTIF($Q$1:$T598,"&gt;0")+COUNTIF($Q599:R599,"&gt;0")+1&amp;", "&amp;$A599&amp;", "&amp;S599&amp;" UNION ALL","")</f>
        <v/>
      </c>
      <c r="X599" s="6" t="str">
        <f>IF(T599&gt;0,"SELECT "&amp;COUNTIF($Q$1:$T598,"&gt;0")+COUNTIF($Q599:S599,"&gt;0")+1&amp;", "&amp;$A599&amp;", "&amp;T599&amp;" UNION ALL","")</f>
        <v/>
      </c>
      <c r="Y599" s="5" t="str">
        <f t="shared" ca="1" si="49"/>
        <v>SELECT 473, 630, 75 UNION ALL</v>
      </c>
    </row>
    <row r="600" spans="1:25">
      <c r="A600" s="6">
        <f t="shared" si="48"/>
        <v>631</v>
      </c>
      <c r="B600" t="s">
        <v>1450</v>
      </c>
      <c r="C600" s="6">
        <v>1</v>
      </c>
      <c r="D600" s="6">
        <v>10</v>
      </c>
      <c r="L600" s="6" t="str">
        <f t="shared" si="47"/>
        <v>SELECT 631, N'brzuch', 1, 10 UNION ALL</v>
      </c>
      <c r="M600" s="6" t="s">
        <v>1446</v>
      </c>
      <c r="Q600" s="6">
        <f t="shared" ca="1" si="52"/>
        <v>75</v>
      </c>
      <c r="R600" s="6">
        <f t="shared" ca="1" si="53"/>
        <v>0</v>
      </c>
      <c r="U600" s="6" t="str">
        <f ca="1">IF(Q600&gt;0,"SELECT "&amp;COUNTIF($Q$1:$T599,"&gt;0")+1&amp;", "&amp;$A600&amp;", "&amp;Q600&amp;" UNION ALL","")</f>
        <v>SELECT 474, 631, 75 UNION ALL</v>
      </c>
      <c r="V600" s="6" t="str">
        <f ca="1">IF(R600&gt;0,"SELECT "&amp;COUNTIF($Q$1:$T599,"&gt;0")+COUNTIF($Q600:Q600,"&gt;0")+1&amp;", "&amp;$A600&amp;", "&amp;R600&amp;" UNION ALL","")</f>
        <v/>
      </c>
      <c r="W600" s="6" t="str">
        <f>IF(S600&gt;0,"SELECT "&amp;COUNTIF($Q$1:$T599,"&gt;0")+COUNTIF($Q600:R600,"&gt;0")+1&amp;", "&amp;$A600&amp;", "&amp;S600&amp;" UNION ALL","")</f>
        <v/>
      </c>
      <c r="X600" s="6" t="str">
        <f>IF(T600&gt;0,"SELECT "&amp;COUNTIF($Q$1:$T599,"&gt;0")+COUNTIF($Q600:S600,"&gt;0")+1&amp;", "&amp;$A600&amp;", "&amp;T600&amp;" UNION ALL","")</f>
        <v/>
      </c>
      <c r="Y600" s="5" t="str">
        <f t="shared" ca="1" si="49"/>
        <v>SELECT 474, 631, 75 UNION ALL</v>
      </c>
    </row>
    <row r="601" spans="1:25">
      <c r="A601" s="6">
        <f t="shared" si="48"/>
        <v>632</v>
      </c>
      <c r="B601" t="s">
        <v>1454</v>
      </c>
      <c r="C601" s="6">
        <v>1</v>
      </c>
      <c r="D601" s="6">
        <v>10</v>
      </c>
      <c r="L601" s="6" t="str">
        <f t="shared" ref="L601:L629" si="54">"SELECT "&amp;A601&amp;", N'"&amp;B601&amp;"', "&amp;C601&amp;", "&amp;D601&amp;" UNION ALL"</f>
        <v>SELECT 632, N'włos', 1, 10 UNION ALL</v>
      </c>
      <c r="M601" s="6" t="s">
        <v>1446</v>
      </c>
      <c r="Q601" s="6">
        <f t="shared" ca="1" si="52"/>
        <v>75</v>
      </c>
      <c r="R601" s="6">
        <f t="shared" ca="1" si="53"/>
        <v>0</v>
      </c>
      <c r="U601" s="6" t="str">
        <f ca="1">IF(Q601&gt;0,"SELECT "&amp;COUNTIF($Q$1:$T600,"&gt;0")+1&amp;", "&amp;$A601&amp;", "&amp;Q601&amp;" UNION ALL","")</f>
        <v>SELECT 475, 632, 75 UNION ALL</v>
      </c>
      <c r="V601" s="6" t="str">
        <f ca="1">IF(R601&gt;0,"SELECT "&amp;COUNTIF($Q$1:$T600,"&gt;0")+COUNTIF($Q601:Q601,"&gt;0")+1&amp;", "&amp;$A601&amp;", "&amp;R601&amp;" UNION ALL","")</f>
        <v/>
      </c>
      <c r="W601" s="6" t="str">
        <f>IF(S601&gt;0,"SELECT "&amp;COUNTIF($Q$1:$T600,"&gt;0")+COUNTIF($Q601:R601,"&gt;0")+1&amp;", "&amp;$A601&amp;", "&amp;S601&amp;" UNION ALL","")</f>
        <v/>
      </c>
      <c r="X601" s="6" t="str">
        <f>IF(T601&gt;0,"SELECT "&amp;COUNTIF($Q$1:$T600,"&gt;0")+COUNTIF($Q601:S601,"&gt;0")+1&amp;", "&amp;$A601&amp;", "&amp;T601&amp;" UNION ALL","")</f>
        <v/>
      </c>
      <c r="Y601" s="5" t="str">
        <f t="shared" ca="1" si="49"/>
        <v>SELECT 475, 632, 75 UNION ALL</v>
      </c>
    </row>
    <row r="602" spans="1:25">
      <c r="A602" s="6">
        <f t="shared" si="48"/>
        <v>633</v>
      </c>
      <c r="B602" t="s">
        <v>1451</v>
      </c>
      <c r="C602" s="6">
        <v>1</v>
      </c>
      <c r="D602" s="6">
        <v>10</v>
      </c>
      <c r="L602" s="6" t="str">
        <f t="shared" si="54"/>
        <v>SELECT 633, N'oko', 1, 10 UNION ALL</v>
      </c>
      <c r="M602" s="6" t="s">
        <v>1446</v>
      </c>
      <c r="Q602" s="6">
        <f t="shared" ca="1" si="52"/>
        <v>75</v>
      </c>
      <c r="R602" s="6">
        <f t="shared" ca="1" si="53"/>
        <v>0</v>
      </c>
      <c r="U602" s="6" t="str">
        <f ca="1">IF(Q602&gt;0,"SELECT "&amp;COUNTIF($Q$1:$T601,"&gt;0")+1&amp;", "&amp;$A602&amp;", "&amp;Q602&amp;" UNION ALL","")</f>
        <v>SELECT 476, 633, 75 UNION ALL</v>
      </c>
      <c r="V602" s="6" t="str">
        <f ca="1">IF(R602&gt;0,"SELECT "&amp;COUNTIF($Q$1:$T601,"&gt;0")+COUNTIF($Q602:Q602,"&gt;0")+1&amp;", "&amp;$A602&amp;", "&amp;R602&amp;" UNION ALL","")</f>
        <v/>
      </c>
      <c r="W602" s="6" t="str">
        <f>IF(S602&gt;0,"SELECT "&amp;COUNTIF($Q$1:$T601,"&gt;0")+COUNTIF($Q602:R602,"&gt;0")+1&amp;", "&amp;$A602&amp;", "&amp;S602&amp;" UNION ALL","")</f>
        <v/>
      </c>
      <c r="X602" s="6" t="str">
        <f>IF(T602&gt;0,"SELECT "&amp;COUNTIF($Q$1:$T601,"&gt;0")+COUNTIF($Q602:S602,"&gt;0")+1&amp;", "&amp;$A602&amp;", "&amp;T602&amp;" UNION ALL","")</f>
        <v/>
      </c>
      <c r="Y602" s="5" t="str">
        <f t="shared" ca="1" si="49"/>
        <v>SELECT 476, 633, 75 UNION ALL</v>
      </c>
    </row>
    <row r="603" spans="1:25">
      <c r="A603" s="6">
        <f t="shared" si="48"/>
        <v>634</v>
      </c>
      <c r="B603" t="s">
        <v>1452</v>
      </c>
      <c r="C603" s="6">
        <v>1</v>
      </c>
      <c r="D603" s="6">
        <v>10</v>
      </c>
      <c r="L603" s="6" t="str">
        <f t="shared" si="54"/>
        <v>SELECT 634, N'ucho', 1, 10 UNION ALL</v>
      </c>
      <c r="M603" s="6" t="s">
        <v>1446</v>
      </c>
      <c r="Q603" s="6">
        <f t="shared" ca="1" si="52"/>
        <v>75</v>
      </c>
      <c r="R603" s="6">
        <f t="shared" ca="1" si="53"/>
        <v>0</v>
      </c>
      <c r="U603" s="6" t="str">
        <f ca="1">IF(Q603&gt;0,"SELECT "&amp;COUNTIF($Q$1:$T602,"&gt;0")+1&amp;", "&amp;$A603&amp;", "&amp;Q603&amp;" UNION ALL","")</f>
        <v>SELECT 477, 634, 75 UNION ALL</v>
      </c>
      <c r="V603" s="6" t="str">
        <f ca="1">IF(R603&gt;0,"SELECT "&amp;COUNTIF($Q$1:$T602,"&gt;0")+COUNTIF($Q603:Q603,"&gt;0")+1&amp;", "&amp;$A603&amp;", "&amp;R603&amp;" UNION ALL","")</f>
        <v/>
      </c>
      <c r="W603" s="6" t="str">
        <f>IF(S603&gt;0,"SELECT "&amp;COUNTIF($Q$1:$T602,"&gt;0")+COUNTIF($Q603:R603,"&gt;0")+1&amp;", "&amp;$A603&amp;", "&amp;S603&amp;" UNION ALL","")</f>
        <v/>
      </c>
      <c r="X603" s="6" t="str">
        <f>IF(T603&gt;0,"SELECT "&amp;COUNTIF($Q$1:$T602,"&gt;0")+COUNTIF($Q603:S603,"&gt;0")+1&amp;", "&amp;$A603&amp;", "&amp;T603&amp;" UNION ALL","")</f>
        <v/>
      </c>
      <c r="Y603" s="5" t="str">
        <f t="shared" ca="1" si="49"/>
        <v>SELECT 477, 634, 75 UNION ALL</v>
      </c>
    </row>
    <row r="604" spans="1:25">
      <c r="A604" s="6">
        <f t="shared" si="48"/>
        <v>635</v>
      </c>
      <c r="B604" t="s">
        <v>1453</v>
      </c>
      <c r="C604" s="6">
        <v>1</v>
      </c>
      <c r="D604" s="6">
        <v>10</v>
      </c>
      <c r="L604" s="6" t="str">
        <f t="shared" si="54"/>
        <v>SELECT 635, N'nos', 1, 10 UNION ALL</v>
      </c>
      <c r="M604" s="6" t="s">
        <v>1446</v>
      </c>
      <c r="Q604" s="6">
        <f t="shared" ca="1" si="52"/>
        <v>75</v>
      </c>
      <c r="R604" s="6">
        <f t="shared" ca="1" si="53"/>
        <v>0</v>
      </c>
      <c r="U604" s="6" t="str">
        <f ca="1">IF(Q604&gt;0,"SELECT "&amp;COUNTIF($Q$1:$T603,"&gt;0")+1&amp;", "&amp;$A604&amp;", "&amp;Q604&amp;" UNION ALL","")</f>
        <v>SELECT 478, 635, 75 UNION ALL</v>
      </c>
      <c r="V604" s="6" t="str">
        <f ca="1">IF(R604&gt;0,"SELECT "&amp;COUNTIF($Q$1:$T603,"&gt;0")+COUNTIF($Q604:Q604,"&gt;0")+1&amp;", "&amp;$A604&amp;", "&amp;R604&amp;" UNION ALL","")</f>
        <v/>
      </c>
      <c r="W604" s="6" t="str">
        <f>IF(S604&gt;0,"SELECT "&amp;COUNTIF($Q$1:$T603,"&gt;0")+COUNTIF($Q604:R604,"&gt;0")+1&amp;", "&amp;$A604&amp;", "&amp;S604&amp;" UNION ALL","")</f>
        <v/>
      </c>
      <c r="X604" s="6" t="str">
        <f>IF(T604&gt;0,"SELECT "&amp;COUNTIF($Q$1:$T603,"&gt;0")+COUNTIF($Q604:S604,"&gt;0")+1&amp;", "&amp;$A604&amp;", "&amp;T604&amp;" UNION ALL","")</f>
        <v/>
      </c>
      <c r="Y604" s="5" t="str">
        <f t="shared" ca="1" si="49"/>
        <v>SELECT 478, 635, 75 UNION ALL</v>
      </c>
    </row>
    <row r="605" spans="1:25">
      <c r="A605" s="6">
        <f t="shared" si="48"/>
        <v>636</v>
      </c>
      <c r="B605" t="s">
        <v>1455</v>
      </c>
      <c r="C605" s="6">
        <v>1</v>
      </c>
      <c r="D605" s="6">
        <v>7</v>
      </c>
      <c r="L605" s="6" t="str">
        <f t="shared" si="54"/>
        <v>SELECT 636, N'paznokieć', 1, 7 UNION ALL</v>
      </c>
      <c r="M605" s="6" t="s">
        <v>1446</v>
      </c>
      <c r="Q605" s="6">
        <f t="shared" ca="1" si="52"/>
        <v>75</v>
      </c>
      <c r="R605" s="6">
        <f t="shared" ca="1" si="53"/>
        <v>0</v>
      </c>
      <c r="U605" s="6" t="str">
        <f ca="1">IF(Q605&gt;0,"SELECT "&amp;COUNTIF($Q$1:$T604,"&gt;0")+1&amp;", "&amp;$A605&amp;", "&amp;Q605&amp;" UNION ALL","")</f>
        <v>SELECT 479, 636, 75 UNION ALL</v>
      </c>
      <c r="V605" s="6" t="str">
        <f ca="1">IF(R605&gt;0,"SELECT "&amp;COUNTIF($Q$1:$T604,"&gt;0")+COUNTIF($Q605:Q605,"&gt;0")+1&amp;", "&amp;$A605&amp;", "&amp;R605&amp;" UNION ALL","")</f>
        <v/>
      </c>
      <c r="W605" s="6" t="str">
        <f>IF(S605&gt;0,"SELECT "&amp;COUNTIF($Q$1:$T604,"&gt;0")+COUNTIF($Q605:R605,"&gt;0")+1&amp;", "&amp;$A605&amp;", "&amp;S605&amp;" UNION ALL","")</f>
        <v/>
      </c>
      <c r="X605" s="6" t="str">
        <f>IF(T605&gt;0,"SELECT "&amp;COUNTIF($Q$1:$T604,"&gt;0")+COUNTIF($Q605:S605,"&gt;0")+1&amp;", "&amp;$A605&amp;", "&amp;T605&amp;" UNION ALL","")</f>
        <v/>
      </c>
      <c r="Y605" s="5" t="str">
        <f t="shared" ca="1" si="49"/>
        <v>SELECT 479, 636, 75 UNION ALL</v>
      </c>
    </row>
    <row r="606" spans="1:25">
      <c r="A606" s="6">
        <f t="shared" si="48"/>
        <v>637</v>
      </c>
      <c r="B606" t="s">
        <v>1456</v>
      </c>
      <c r="C606" s="6">
        <v>1</v>
      </c>
      <c r="D606" s="6">
        <v>9</v>
      </c>
      <c r="L606" s="6" t="str">
        <f t="shared" si="54"/>
        <v>SELECT 637, N'palec', 1, 9 UNION ALL</v>
      </c>
      <c r="M606" s="6" t="s">
        <v>1446</v>
      </c>
      <c r="Q606" s="6">
        <f t="shared" ca="1" si="52"/>
        <v>75</v>
      </c>
      <c r="R606" s="6">
        <f t="shared" ca="1" si="53"/>
        <v>0</v>
      </c>
      <c r="U606" s="6" t="str">
        <f ca="1">IF(Q606&gt;0,"SELECT "&amp;COUNTIF($Q$1:$T605,"&gt;0")+1&amp;", "&amp;$A606&amp;", "&amp;Q606&amp;" UNION ALL","")</f>
        <v>SELECT 480, 637, 75 UNION ALL</v>
      </c>
      <c r="V606" s="6" t="str">
        <f ca="1">IF(R606&gt;0,"SELECT "&amp;COUNTIF($Q$1:$T605,"&gt;0")+COUNTIF($Q606:Q606,"&gt;0")+1&amp;", "&amp;$A606&amp;", "&amp;R606&amp;" UNION ALL","")</f>
        <v/>
      </c>
      <c r="W606" s="6" t="str">
        <f>IF(S606&gt;0,"SELECT "&amp;COUNTIF($Q$1:$T605,"&gt;0")+COUNTIF($Q606:R606,"&gt;0")+1&amp;", "&amp;$A606&amp;", "&amp;S606&amp;" UNION ALL","")</f>
        <v/>
      </c>
      <c r="X606" s="6" t="str">
        <f>IF(T606&gt;0,"SELECT "&amp;COUNTIF($Q$1:$T605,"&gt;0")+COUNTIF($Q606:S606,"&gt;0")+1&amp;", "&amp;$A606&amp;", "&amp;T606&amp;" UNION ALL","")</f>
        <v/>
      </c>
      <c r="Y606" s="5" t="str">
        <f t="shared" ca="1" si="49"/>
        <v>SELECT 480, 637, 75 UNION ALL</v>
      </c>
    </row>
    <row r="607" spans="1:25">
      <c r="A607" s="6">
        <f t="shared" si="48"/>
        <v>638</v>
      </c>
      <c r="B607" t="s">
        <v>1457</v>
      </c>
      <c r="C607" s="6">
        <v>1</v>
      </c>
      <c r="D607" s="6">
        <v>9</v>
      </c>
      <c r="L607" s="6" t="str">
        <f t="shared" si="54"/>
        <v>SELECT 638, N'ramiona', 1, 9 UNION ALL</v>
      </c>
      <c r="M607" s="6" t="s">
        <v>1446</v>
      </c>
      <c r="Q607" s="6">
        <f t="shared" ca="1" si="52"/>
        <v>75</v>
      </c>
      <c r="R607" s="6">
        <f t="shared" ca="1" si="53"/>
        <v>0</v>
      </c>
      <c r="U607" s="6" t="str">
        <f ca="1">IF(Q607&gt;0,"SELECT "&amp;COUNTIF($Q$1:$T606,"&gt;0")+1&amp;", "&amp;$A607&amp;", "&amp;Q607&amp;" UNION ALL","")</f>
        <v>SELECT 481, 638, 75 UNION ALL</v>
      </c>
      <c r="V607" s="6" t="str">
        <f ca="1">IF(R607&gt;0,"SELECT "&amp;COUNTIF($Q$1:$T606,"&gt;0")+COUNTIF($Q607:Q607,"&gt;0")+1&amp;", "&amp;$A607&amp;", "&amp;R607&amp;" UNION ALL","")</f>
        <v/>
      </c>
      <c r="W607" s="6" t="str">
        <f>IF(S607&gt;0,"SELECT "&amp;COUNTIF($Q$1:$T606,"&gt;0")+COUNTIF($Q607:R607,"&gt;0")+1&amp;", "&amp;$A607&amp;", "&amp;S607&amp;" UNION ALL","")</f>
        <v/>
      </c>
      <c r="X607" s="6" t="str">
        <f>IF(T607&gt;0,"SELECT "&amp;COUNTIF($Q$1:$T606,"&gt;0")+COUNTIF($Q607:S607,"&gt;0")+1&amp;", "&amp;$A607&amp;", "&amp;T607&amp;" UNION ALL","")</f>
        <v/>
      </c>
      <c r="Y607" s="5" t="str">
        <f t="shared" ca="1" si="49"/>
        <v>SELECT 481, 638, 75 UNION ALL</v>
      </c>
    </row>
    <row r="608" spans="1:25">
      <c r="A608" s="6">
        <f t="shared" si="48"/>
        <v>639</v>
      </c>
      <c r="B608" t="s">
        <v>1458</v>
      </c>
      <c r="C608" s="6">
        <v>1</v>
      </c>
      <c r="D608" s="6">
        <v>9</v>
      </c>
      <c r="L608" s="6" t="str">
        <f t="shared" si="54"/>
        <v>SELECT 639, N'szyja', 1, 9 UNION ALL</v>
      </c>
      <c r="M608" s="6" t="s">
        <v>1446</v>
      </c>
      <c r="Q608" s="6">
        <f t="shared" ca="1" si="52"/>
        <v>75</v>
      </c>
      <c r="R608" s="6">
        <f t="shared" ca="1" si="53"/>
        <v>0</v>
      </c>
      <c r="U608" s="6" t="str">
        <f ca="1">IF(Q608&gt;0,"SELECT "&amp;COUNTIF($Q$1:$T607,"&gt;0")+1&amp;", "&amp;$A608&amp;", "&amp;Q608&amp;" UNION ALL","")</f>
        <v>SELECT 482, 639, 75 UNION ALL</v>
      </c>
      <c r="V608" s="6" t="str">
        <f ca="1">IF(R608&gt;0,"SELECT "&amp;COUNTIF($Q$1:$T607,"&gt;0")+COUNTIF($Q608:Q608,"&gt;0")+1&amp;", "&amp;$A608&amp;", "&amp;R608&amp;" UNION ALL","")</f>
        <v/>
      </c>
      <c r="W608" s="6" t="str">
        <f>IF(S608&gt;0,"SELECT "&amp;COUNTIF($Q$1:$T607,"&gt;0")+COUNTIF($Q608:R608,"&gt;0")+1&amp;", "&amp;$A608&amp;", "&amp;S608&amp;" UNION ALL","")</f>
        <v/>
      </c>
      <c r="X608" s="6" t="str">
        <f>IF(T608&gt;0,"SELECT "&amp;COUNTIF($Q$1:$T607,"&gt;0")+COUNTIF($Q608:S608,"&gt;0")+1&amp;", "&amp;$A608&amp;", "&amp;T608&amp;" UNION ALL","")</f>
        <v/>
      </c>
      <c r="Y608" s="5" t="str">
        <f t="shared" ca="1" si="49"/>
        <v>SELECT 482, 639, 75 UNION ALL</v>
      </c>
    </row>
    <row r="609" spans="1:25">
      <c r="A609" s="6">
        <f t="shared" si="48"/>
        <v>640</v>
      </c>
      <c r="B609" t="s">
        <v>1459</v>
      </c>
      <c r="C609" s="6">
        <v>1</v>
      </c>
      <c r="D609" s="6">
        <v>10</v>
      </c>
      <c r="L609" s="6" t="str">
        <f t="shared" si="54"/>
        <v>SELECT 640, N'usta', 1, 10 UNION ALL</v>
      </c>
      <c r="M609" s="6" t="s">
        <v>1446</v>
      </c>
      <c r="Q609" s="6">
        <f t="shared" ca="1" si="52"/>
        <v>75</v>
      </c>
      <c r="R609" s="6">
        <f t="shared" ca="1" si="53"/>
        <v>0</v>
      </c>
      <c r="U609" s="6" t="str">
        <f ca="1">IF(Q609&gt;0,"SELECT "&amp;COUNTIF($Q$1:$T608,"&gt;0")+1&amp;", "&amp;$A609&amp;", "&amp;Q609&amp;" UNION ALL","")</f>
        <v>SELECT 483, 640, 75 UNION ALL</v>
      </c>
      <c r="V609" s="6" t="str">
        <f ca="1">IF(R609&gt;0,"SELECT "&amp;COUNTIF($Q$1:$T608,"&gt;0")+COUNTIF($Q609:Q609,"&gt;0")+1&amp;", "&amp;$A609&amp;", "&amp;R609&amp;" UNION ALL","")</f>
        <v/>
      </c>
      <c r="W609" s="6" t="str">
        <f>IF(S609&gt;0,"SELECT "&amp;COUNTIF($Q$1:$T608,"&gt;0")+COUNTIF($Q609:R609,"&gt;0")+1&amp;", "&amp;$A609&amp;", "&amp;S609&amp;" UNION ALL","")</f>
        <v/>
      </c>
      <c r="X609" s="6" t="str">
        <f>IF(T609&gt;0,"SELECT "&amp;COUNTIF($Q$1:$T608,"&gt;0")+COUNTIF($Q609:S609,"&gt;0")+1&amp;", "&amp;$A609&amp;", "&amp;T609&amp;" UNION ALL","")</f>
        <v/>
      </c>
      <c r="Y609" s="5" t="str">
        <f t="shared" ca="1" si="49"/>
        <v>SELECT 483, 640, 75 UNION ALL</v>
      </c>
    </row>
    <row r="610" spans="1:25">
      <c r="A610" s="6">
        <f t="shared" si="48"/>
        <v>641</v>
      </c>
      <c r="B610" t="s">
        <v>1460</v>
      </c>
      <c r="C610" s="6">
        <v>1</v>
      </c>
      <c r="D610" s="6">
        <v>10</v>
      </c>
      <c r="L610" s="6" t="str">
        <f t="shared" si="54"/>
        <v>SELECT 641, N'ząb', 1, 10 UNION ALL</v>
      </c>
      <c r="M610" s="6" t="s">
        <v>1446</v>
      </c>
      <c r="Q610" s="6">
        <f t="shared" ca="1" si="52"/>
        <v>75</v>
      </c>
      <c r="R610" s="6">
        <f t="shared" ca="1" si="53"/>
        <v>0</v>
      </c>
      <c r="U610" s="6" t="str">
        <f ca="1">IF(Q610&gt;0,"SELECT "&amp;COUNTIF($Q$1:$T609,"&gt;0")+1&amp;", "&amp;$A610&amp;", "&amp;Q610&amp;" UNION ALL","")</f>
        <v>SELECT 484, 641, 75 UNION ALL</v>
      </c>
      <c r="V610" s="6" t="str">
        <f ca="1">IF(R610&gt;0,"SELECT "&amp;COUNTIF($Q$1:$T609,"&gt;0")+COUNTIF($Q610:Q610,"&gt;0")+1&amp;", "&amp;$A610&amp;", "&amp;R610&amp;" UNION ALL","")</f>
        <v/>
      </c>
      <c r="W610" s="6" t="str">
        <f>IF(S610&gt;0,"SELECT "&amp;COUNTIF($Q$1:$T609,"&gt;0")+COUNTIF($Q610:R610,"&gt;0")+1&amp;", "&amp;$A610&amp;", "&amp;S610&amp;" UNION ALL","")</f>
        <v/>
      </c>
      <c r="X610" s="6" t="str">
        <f>IF(T610&gt;0,"SELECT "&amp;COUNTIF($Q$1:$T609,"&gt;0")+COUNTIF($Q610:S610,"&gt;0")+1&amp;", "&amp;$A610&amp;", "&amp;T610&amp;" UNION ALL","")</f>
        <v/>
      </c>
      <c r="Y610" s="5" t="str">
        <f t="shared" ca="1" si="49"/>
        <v>SELECT 484, 641, 75 UNION ALL</v>
      </c>
    </row>
    <row r="611" spans="1:25">
      <c r="A611" s="6">
        <f t="shared" si="48"/>
        <v>642</v>
      </c>
      <c r="B611" t="s">
        <v>1461</v>
      </c>
      <c r="C611" s="6">
        <v>1</v>
      </c>
      <c r="D611" s="6">
        <v>10</v>
      </c>
      <c r="L611" s="6" t="str">
        <f t="shared" si="54"/>
        <v>SELECT 642, N'język', 1, 10 UNION ALL</v>
      </c>
      <c r="M611" s="6" t="s">
        <v>1446</v>
      </c>
      <c r="Q611" s="6">
        <f t="shared" ca="1" si="52"/>
        <v>75</v>
      </c>
      <c r="R611" s="6">
        <f t="shared" ca="1" si="53"/>
        <v>0</v>
      </c>
      <c r="U611" s="6" t="str">
        <f ca="1">IF(Q611&gt;0,"SELECT "&amp;COUNTIF($Q$1:$T610,"&gt;0")+1&amp;", "&amp;$A611&amp;", "&amp;Q611&amp;" UNION ALL","")</f>
        <v>SELECT 485, 642, 75 UNION ALL</v>
      </c>
      <c r="V611" s="6" t="str">
        <f ca="1">IF(R611&gt;0,"SELECT "&amp;COUNTIF($Q$1:$T610,"&gt;0")+COUNTIF($Q611:Q611,"&gt;0")+1&amp;", "&amp;$A611&amp;", "&amp;R611&amp;" UNION ALL","")</f>
        <v/>
      </c>
      <c r="W611" s="6" t="str">
        <f>IF(S611&gt;0,"SELECT "&amp;COUNTIF($Q$1:$T610,"&gt;0")+COUNTIF($Q611:R611,"&gt;0")+1&amp;", "&amp;$A611&amp;", "&amp;S611&amp;" UNION ALL","")</f>
        <v/>
      </c>
      <c r="X611" s="6" t="str">
        <f>IF(T611&gt;0,"SELECT "&amp;COUNTIF($Q$1:$T610,"&gt;0")+COUNTIF($Q611:S611,"&gt;0")+1&amp;", "&amp;$A611&amp;", "&amp;T611&amp;" UNION ALL","")</f>
        <v/>
      </c>
      <c r="Y611" s="5" t="str">
        <f t="shared" ca="1" si="49"/>
        <v>SELECT 485, 642, 75 UNION ALL</v>
      </c>
    </row>
    <row r="612" spans="1:25">
      <c r="A612" s="6">
        <f t="shared" si="48"/>
        <v>643</v>
      </c>
      <c r="B612" t="s">
        <v>1462</v>
      </c>
      <c r="C612" s="6">
        <v>1</v>
      </c>
      <c r="D612" s="6">
        <v>10</v>
      </c>
      <c r="L612" s="6" t="str">
        <f t="shared" si="54"/>
        <v>SELECT 643, N'serce', 1, 10 UNION ALL</v>
      </c>
      <c r="M612" s="6" t="s">
        <v>1446</v>
      </c>
      <c r="Q612" s="6">
        <f t="shared" ca="1" si="52"/>
        <v>75</v>
      </c>
      <c r="R612" s="6">
        <f t="shared" ca="1" si="53"/>
        <v>0</v>
      </c>
      <c r="U612" s="6" t="str">
        <f ca="1">IF(Q612&gt;0,"SELECT "&amp;COUNTIF($Q$1:$T611,"&gt;0")+1&amp;", "&amp;$A612&amp;", "&amp;Q612&amp;" UNION ALL","")</f>
        <v>SELECT 486, 643, 75 UNION ALL</v>
      </c>
      <c r="V612" s="6" t="str">
        <f ca="1">IF(R612&gt;0,"SELECT "&amp;COUNTIF($Q$1:$T611,"&gt;0")+COUNTIF($Q612:Q612,"&gt;0")+1&amp;", "&amp;$A612&amp;", "&amp;R612&amp;" UNION ALL","")</f>
        <v/>
      </c>
      <c r="W612" s="6" t="str">
        <f>IF(S612&gt;0,"SELECT "&amp;COUNTIF($Q$1:$T611,"&gt;0")+COUNTIF($Q612:R612,"&gt;0")+1&amp;", "&amp;$A612&amp;", "&amp;S612&amp;" UNION ALL","")</f>
        <v/>
      </c>
      <c r="X612" s="6" t="str">
        <f>IF(T612&gt;0,"SELECT "&amp;COUNTIF($Q$1:$T611,"&gt;0")+COUNTIF($Q612:S612,"&gt;0")+1&amp;", "&amp;$A612&amp;", "&amp;T612&amp;" UNION ALL","")</f>
        <v/>
      </c>
      <c r="Y612" s="5" t="str">
        <f t="shared" ca="1" si="49"/>
        <v>SELECT 486, 643, 75 UNION ALL</v>
      </c>
    </row>
    <row r="613" spans="1:25">
      <c r="A613" s="6">
        <f t="shared" si="48"/>
        <v>644</v>
      </c>
      <c r="B613" t="s">
        <v>1463</v>
      </c>
      <c r="C613" s="6">
        <v>1</v>
      </c>
      <c r="D613" s="6">
        <v>8</v>
      </c>
      <c r="L613" s="6" t="str">
        <f t="shared" si="54"/>
        <v>SELECT 644, N'wątroba', 1, 8 UNION ALL</v>
      </c>
      <c r="M613" s="6" t="s">
        <v>1446</v>
      </c>
      <c r="Q613" s="6">
        <f t="shared" ca="1" si="52"/>
        <v>75</v>
      </c>
      <c r="R613" s="6">
        <f t="shared" ca="1" si="53"/>
        <v>0</v>
      </c>
      <c r="U613" s="6" t="str">
        <f ca="1">IF(Q613&gt;0,"SELECT "&amp;COUNTIF($Q$1:$T612,"&gt;0")+1&amp;", "&amp;$A613&amp;", "&amp;Q613&amp;" UNION ALL","")</f>
        <v>SELECT 487, 644, 75 UNION ALL</v>
      </c>
      <c r="V613" s="6" t="str">
        <f ca="1">IF(R613&gt;0,"SELECT "&amp;COUNTIF($Q$1:$T612,"&gt;0")+COUNTIF($Q613:Q613,"&gt;0")+1&amp;", "&amp;$A613&amp;", "&amp;R613&amp;" UNION ALL","")</f>
        <v/>
      </c>
      <c r="W613" s="6" t="str">
        <f>IF(S613&gt;0,"SELECT "&amp;COUNTIF($Q$1:$T612,"&gt;0")+COUNTIF($Q613:R613,"&gt;0")+1&amp;", "&amp;$A613&amp;", "&amp;S613&amp;" UNION ALL","")</f>
        <v/>
      </c>
      <c r="X613" s="6" t="str">
        <f>IF(T613&gt;0,"SELECT "&amp;COUNTIF($Q$1:$T612,"&gt;0")+COUNTIF($Q613:S613,"&gt;0")+1&amp;", "&amp;$A613&amp;", "&amp;T613&amp;" UNION ALL","")</f>
        <v/>
      </c>
      <c r="Y613" s="5" t="str">
        <f t="shared" ca="1" si="49"/>
        <v>SELECT 487, 644, 75 UNION ALL</v>
      </c>
    </row>
    <row r="614" spans="1:25">
      <c r="A614" s="6">
        <f t="shared" si="48"/>
        <v>645</v>
      </c>
      <c r="B614" t="s">
        <v>1464</v>
      </c>
      <c r="C614" s="6">
        <v>1</v>
      </c>
      <c r="D614" s="6">
        <v>7</v>
      </c>
      <c r="L614" s="6" t="str">
        <f t="shared" si="54"/>
        <v>SELECT 645, N'żołądek', 1, 7 UNION ALL</v>
      </c>
      <c r="M614" s="6" t="s">
        <v>1446</v>
      </c>
      <c r="Q614" s="6">
        <f t="shared" ca="1" si="52"/>
        <v>75</v>
      </c>
      <c r="R614" s="6">
        <f t="shared" ca="1" si="53"/>
        <v>0</v>
      </c>
      <c r="U614" s="6" t="str">
        <f ca="1">IF(Q614&gt;0,"SELECT "&amp;COUNTIF($Q$1:$T613,"&gt;0")+1&amp;", "&amp;$A614&amp;", "&amp;Q614&amp;" UNION ALL","")</f>
        <v>SELECT 488, 645, 75 UNION ALL</v>
      </c>
      <c r="V614" s="6" t="str">
        <f ca="1">IF(R614&gt;0,"SELECT "&amp;COUNTIF($Q$1:$T613,"&gt;0")+COUNTIF($Q614:Q614,"&gt;0")+1&amp;", "&amp;$A614&amp;", "&amp;R614&amp;" UNION ALL","")</f>
        <v/>
      </c>
      <c r="W614" s="6" t="str">
        <f>IF(S614&gt;0,"SELECT "&amp;COUNTIF($Q$1:$T613,"&gt;0")+COUNTIF($Q614:R614,"&gt;0")+1&amp;", "&amp;$A614&amp;", "&amp;S614&amp;" UNION ALL","")</f>
        <v/>
      </c>
      <c r="X614" s="6" t="str">
        <f>IF(T614&gt;0,"SELECT "&amp;COUNTIF($Q$1:$T613,"&gt;0")+COUNTIF($Q614:S614,"&gt;0")+1&amp;", "&amp;$A614&amp;", "&amp;T614&amp;" UNION ALL","")</f>
        <v/>
      </c>
      <c r="Y614" s="5" t="str">
        <f t="shared" ca="1" si="49"/>
        <v>SELECT 488, 645, 75 UNION ALL</v>
      </c>
    </row>
    <row r="615" spans="1:25">
      <c r="A615" s="6">
        <f t="shared" si="48"/>
        <v>646</v>
      </c>
      <c r="B615" t="s">
        <v>1465</v>
      </c>
      <c r="C615" s="6">
        <v>1</v>
      </c>
      <c r="D615" s="6">
        <v>7</v>
      </c>
      <c r="L615" s="6" t="str">
        <f t="shared" si="54"/>
        <v>SELECT 646, N'kolano', 1, 7 UNION ALL</v>
      </c>
      <c r="M615" s="6" t="s">
        <v>1446</v>
      </c>
      <c r="Q615" s="6">
        <f t="shared" ca="1" si="52"/>
        <v>75</v>
      </c>
      <c r="R615" s="6">
        <f t="shared" ca="1" si="53"/>
        <v>0</v>
      </c>
      <c r="U615" s="6" t="str">
        <f ca="1">IF(Q615&gt;0,"SELECT "&amp;COUNTIF($Q$1:$T614,"&gt;0")+1&amp;", "&amp;$A615&amp;", "&amp;Q615&amp;" UNION ALL","")</f>
        <v>SELECT 489, 646, 75 UNION ALL</v>
      </c>
      <c r="V615" s="6" t="str">
        <f ca="1">IF(R615&gt;0,"SELECT "&amp;COUNTIF($Q$1:$T614,"&gt;0")+COUNTIF($Q615:Q615,"&gt;0")+1&amp;", "&amp;$A615&amp;", "&amp;R615&amp;" UNION ALL","")</f>
        <v/>
      </c>
      <c r="W615" s="6" t="str">
        <f>IF(S615&gt;0,"SELECT "&amp;COUNTIF($Q$1:$T614,"&gt;0")+COUNTIF($Q615:R615,"&gt;0")+1&amp;", "&amp;$A615&amp;", "&amp;S615&amp;" UNION ALL","")</f>
        <v/>
      </c>
      <c r="X615" s="6" t="str">
        <f>IF(T615&gt;0,"SELECT "&amp;COUNTIF($Q$1:$T614,"&gt;0")+COUNTIF($Q615:S615,"&gt;0")+1&amp;", "&amp;$A615&amp;", "&amp;T615&amp;" UNION ALL","")</f>
        <v/>
      </c>
      <c r="Y615" s="5" t="str">
        <f t="shared" ca="1" si="49"/>
        <v>SELECT 489, 646, 75 UNION ALL</v>
      </c>
    </row>
    <row r="616" spans="1:25">
      <c r="A616" s="6">
        <f t="shared" si="48"/>
        <v>647</v>
      </c>
      <c r="B616" t="s">
        <v>1466</v>
      </c>
      <c r="C616" s="6">
        <v>1</v>
      </c>
      <c r="D616" s="6">
        <v>7</v>
      </c>
      <c r="L616" s="6" t="str">
        <f t="shared" si="54"/>
        <v>SELECT 647, N'łokieć', 1, 7 UNION ALL</v>
      </c>
      <c r="M616" s="6" t="s">
        <v>1446</v>
      </c>
      <c r="Q616" s="6">
        <f t="shared" ca="1" si="52"/>
        <v>75</v>
      </c>
      <c r="R616" s="6">
        <f t="shared" ca="1" si="53"/>
        <v>0</v>
      </c>
      <c r="U616" s="6" t="str">
        <f ca="1">IF(Q616&gt;0,"SELECT "&amp;COUNTIF($Q$1:$T615,"&gt;0")+1&amp;", "&amp;$A616&amp;", "&amp;Q616&amp;" UNION ALL","")</f>
        <v>SELECT 490, 647, 75 UNION ALL</v>
      </c>
      <c r="V616" s="6" t="str">
        <f ca="1">IF(R616&gt;0,"SELECT "&amp;COUNTIF($Q$1:$T615,"&gt;0")+COUNTIF($Q616:Q616,"&gt;0")+1&amp;", "&amp;$A616&amp;", "&amp;R616&amp;" UNION ALL","")</f>
        <v/>
      </c>
      <c r="W616" s="6" t="str">
        <f>IF(S616&gt;0,"SELECT "&amp;COUNTIF($Q$1:$T615,"&gt;0")+COUNTIF($Q616:R616,"&gt;0")+1&amp;", "&amp;$A616&amp;", "&amp;S616&amp;" UNION ALL","")</f>
        <v/>
      </c>
      <c r="X616" s="6" t="str">
        <f>IF(T616&gt;0,"SELECT "&amp;COUNTIF($Q$1:$T615,"&gt;0")+COUNTIF($Q616:S616,"&gt;0")+1&amp;", "&amp;$A616&amp;", "&amp;T616&amp;" UNION ALL","")</f>
        <v/>
      </c>
      <c r="Y616" s="5" t="str">
        <f t="shared" ca="1" si="49"/>
        <v>SELECT 490, 647, 75 UNION ALL</v>
      </c>
    </row>
    <row r="617" spans="1:25">
      <c r="A617" s="6">
        <f t="shared" ref="A617:A629" si="55">A616+1</f>
        <v>648</v>
      </c>
      <c r="B617" t="s">
        <v>1467</v>
      </c>
      <c r="C617" s="6">
        <v>1</v>
      </c>
      <c r="D617" s="6">
        <v>8</v>
      </c>
      <c r="L617" s="6" t="str">
        <f t="shared" si="54"/>
        <v>SELECT 648, N'stopa', 1, 8 UNION ALL</v>
      </c>
      <c r="M617" s="6" t="s">
        <v>1446</v>
      </c>
      <c r="Q617" s="6">
        <f t="shared" ca="1" si="52"/>
        <v>75</v>
      </c>
      <c r="R617" s="6">
        <f t="shared" ca="1" si="53"/>
        <v>0</v>
      </c>
      <c r="U617" s="6" t="str">
        <f ca="1">IF(Q617&gt;0,"SELECT "&amp;COUNTIF($Q$1:$T616,"&gt;0")+1&amp;", "&amp;$A617&amp;", "&amp;Q617&amp;" UNION ALL","")</f>
        <v>SELECT 491, 648, 75 UNION ALL</v>
      </c>
      <c r="V617" s="6" t="str">
        <f ca="1">IF(R617&gt;0,"SELECT "&amp;COUNTIF($Q$1:$T616,"&gt;0")+COUNTIF($Q617:Q617,"&gt;0")+1&amp;", "&amp;$A617&amp;", "&amp;R617&amp;" UNION ALL","")</f>
        <v/>
      </c>
      <c r="W617" s="6" t="str">
        <f>IF(S617&gt;0,"SELECT "&amp;COUNTIF($Q$1:$T616,"&gt;0")+COUNTIF($Q617:R617,"&gt;0")+1&amp;", "&amp;$A617&amp;", "&amp;S617&amp;" UNION ALL","")</f>
        <v/>
      </c>
      <c r="X617" s="6" t="str">
        <f>IF(T617&gt;0,"SELECT "&amp;COUNTIF($Q$1:$T616,"&gt;0")+COUNTIF($Q617:S617,"&gt;0")+1&amp;", "&amp;$A617&amp;", "&amp;T617&amp;" UNION ALL","")</f>
        <v/>
      </c>
      <c r="Y617" s="5" t="str">
        <f t="shared" ca="1" si="49"/>
        <v>SELECT 491, 648, 75 UNION ALL</v>
      </c>
    </row>
    <row r="618" spans="1:25">
      <c r="A618" s="6">
        <f t="shared" si="55"/>
        <v>649</v>
      </c>
      <c r="B618" t="s">
        <v>1468</v>
      </c>
      <c r="C618" s="6">
        <v>1</v>
      </c>
      <c r="D618" s="6">
        <v>7</v>
      </c>
      <c r="L618" s="6" t="str">
        <f t="shared" si="54"/>
        <v>SELECT 649, N'pięta', 1, 7 UNION ALL</v>
      </c>
      <c r="M618" s="6" t="s">
        <v>1446</v>
      </c>
      <c r="Q618" s="6">
        <f t="shared" ca="1" si="52"/>
        <v>75</v>
      </c>
      <c r="R618" s="6">
        <f t="shared" ca="1" si="53"/>
        <v>0</v>
      </c>
      <c r="U618" s="6" t="str">
        <f ca="1">IF(Q618&gt;0,"SELECT "&amp;COUNTIF($Q$1:$T617,"&gt;0")+1&amp;", "&amp;$A618&amp;", "&amp;Q618&amp;" UNION ALL","")</f>
        <v>SELECT 492, 649, 75 UNION ALL</v>
      </c>
      <c r="V618" s="6" t="str">
        <f ca="1">IF(R618&gt;0,"SELECT "&amp;COUNTIF($Q$1:$T617,"&gt;0")+COUNTIF($Q618:Q618,"&gt;0")+1&amp;", "&amp;$A618&amp;", "&amp;R618&amp;" UNION ALL","")</f>
        <v/>
      </c>
      <c r="W618" s="6" t="str">
        <f>IF(S618&gt;0,"SELECT "&amp;COUNTIF($Q$1:$T617,"&gt;0")+COUNTIF($Q618:R618,"&gt;0")+1&amp;", "&amp;$A618&amp;", "&amp;S618&amp;" UNION ALL","")</f>
        <v/>
      </c>
      <c r="X618" s="6" t="str">
        <f>IF(T618&gt;0,"SELECT "&amp;COUNTIF($Q$1:$T617,"&gt;0")+COUNTIF($Q618:S618,"&gt;0")+1&amp;", "&amp;$A618&amp;", "&amp;T618&amp;" UNION ALL","")</f>
        <v/>
      </c>
      <c r="Y618" s="5" t="str">
        <f t="shared" ca="1" si="49"/>
        <v>SELECT 492, 649, 75 UNION ALL</v>
      </c>
    </row>
    <row r="619" spans="1:25">
      <c r="A619" s="6">
        <f t="shared" si="55"/>
        <v>650</v>
      </c>
      <c r="B619" t="s">
        <v>1469</v>
      </c>
      <c r="C619" s="6">
        <v>1</v>
      </c>
      <c r="D619" s="6">
        <v>8</v>
      </c>
      <c r="L619" s="6" t="str">
        <f t="shared" si="54"/>
        <v>SELECT 650, N'policzek', 1, 8 UNION ALL</v>
      </c>
      <c r="M619" s="6" t="s">
        <v>1446</v>
      </c>
      <c r="Q619" s="6">
        <f t="shared" ca="1" si="52"/>
        <v>75</v>
      </c>
      <c r="R619" s="6">
        <f t="shared" ca="1" si="53"/>
        <v>0</v>
      </c>
      <c r="U619" s="6" t="str">
        <f ca="1">IF(Q619&gt;0,"SELECT "&amp;COUNTIF($Q$1:$T618,"&gt;0")+1&amp;", "&amp;$A619&amp;", "&amp;Q619&amp;" UNION ALL","")</f>
        <v>SELECT 493, 650, 75 UNION ALL</v>
      </c>
      <c r="V619" s="6" t="str">
        <f ca="1">IF(R619&gt;0,"SELECT "&amp;COUNTIF($Q$1:$T618,"&gt;0")+COUNTIF($Q619:Q619,"&gt;0")+1&amp;", "&amp;$A619&amp;", "&amp;R619&amp;" UNION ALL","")</f>
        <v/>
      </c>
      <c r="W619" s="6" t="str">
        <f>IF(S619&gt;0,"SELECT "&amp;COUNTIF($Q$1:$T618,"&gt;0")+COUNTIF($Q619:R619,"&gt;0")+1&amp;", "&amp;$A619&amp;", "&amp;S619&amp;" UNION ALL","")</f>
        <v/>
      </c>
      <c r="X619" s="6" t="str">
        <f>IF(T619&gt;0,"SELECT "&amp;COUNTIF($Q$1:$T618,"&gt;0")+COUNTIF($Q619:S619,"&gt;0")+1&amp;", "&amp;$A619&amp;", "&amp;T619&amp;" UNION ALL","")</f>
        <v/>
      </c>
      <c r="Y619" s="5" t="str">
        <f t="shared" ca="1" si="49"/>
        <v>SELECT 493, 650, 75 UNION ALL</v>
      </c>
    </row>
    <row r="620" spans="1:25">
      <c r="A620" s="6">
        <f t="shared" si="55"/>
        <v>651</v>
      </c>
      <c r="B620" t="s">
        <v>1470</v>
      </c>
      <c r="C620" s="6">
        <v>1</v>
      </c>
      <c r="D620" s="6">
        <v>6</v>
      </c>
      <c r="L620" s="6" t="str">
        <f t="shared" si="54"/>
        <v>SELECT 651, N'brew', 1, 6 UNION ALL</v>
      </c>
      <c r="M620" s="6" t="s">
        <v>1446</v>
      </c>
      <c r="Q620" s="6">
        <f t="shared" ca="1" si="52"/>
        <v>75</v>
      </c>
      <c r="R620" s="6">
        <f t="shared" ca="1" si="53"/>
        <v>0</v>
      </c>
      <c r="U620" s="6" t="str">
        <f ca="1">IF(Q620&gt;0,"SELECT "&amp;COUNTIF($Q$1:$T619,"&gt;0")+1&amp;", "&amp;$A620&amp;", "&amp;Q620&amp;" UNION ALL","")</f>
        <v>SELECT 494, 651, 75 UNION ALL</v>
      </c>
      <c r="V620" s="6" t="str">
        <f ca="1">IF(R620&gt;0,"SELECT "&amp;COUNTIF($Q$1:$T619,"&gt;0")+COUNTIF($Q620:Q620,"&gt;0")+1&amp;", "&amp;$A620&amp;", "&amp;R620&amp;" UNION ALL","")</f>
        <v/>
      </c>
      <c r="W620" s="6" t="str">
        <f>IF(S620&gt;0,"SELECT "&amp;COUNTIF($Q$1:$T619,"&gt;0")+COUNTIF($Q620:R620,"&gt;0")+1&amp;", "&amp;$A620&amp;", "&amp;S620&amp;" UNION ALL","")</f>
        <v/>
      </c>
      <c r="X620" s="6" t="str">
        <f>IF(T620&gt;0,"SELECT "&amp;COUNTIF($Q$1:$T619,"&gt;0")+COUNTIF($Q620:S620,"&gt;0")+1&amp;", "&amp;$A620&amp;", "&amp;T620&amp;" UNION ALL","")</f>
        <v/>
      </c>
      <c r="Y620" s="5" t="str">
        <f t="shared" ca="1" si="49"/>
        <v>SELECT 494, 651, 75 UNION ALL</v>
      </c>
    </row>
    <row r="621" spans="1:25">
      <c r="A621" s="6">
        <f t="shared" si="55"/>
        <v>652</v>
      </c>
      <c r="B621" t="s">
        <v>1471</v>
      </c>
      <c r="C621" s="6">
        <v>1</v>
      </c>
      <c r="D621" s="6">
        <v>6</v>
      </c>
      <c r="L621" s="6" t="str">
        <f t="shared" si="54"/>
        <v>SELECT 652, N'rzęsa', 1, 6 UNION ALL</v>
      </c>
      <c r="M621" s="6" t="s">
        <v>1446</v>
      </c>
      <c r="Q621" s="6">
        <f t="shared" ca="1" si="52"/>
        <v>75</v>
      </c>
      <c r="R621" s="6">
        <f t="shared" ca="1" si="53"/>
        <v>0</v>
      </c>
      <c r="U621" s="6" t="str">
        <f ca="1">IF(Q621&gt;0,"SELECT "&amp;COUNTIF($Q$1:$T620,"&gt;0")+1&amp;", "&amp;$A621&amp;", "&amp;Q621&amp;" UNION ALL","")</f>
        <v>SELECT 495, 652, 75 UNION ALL</v>
      </c>
      <c r="V621" s="6" t="str">
        <f ca="1">IF(R621&gt;0,"SELECT "&amp;COUNTIF($Q$1:$T620,"&gt;0")+COUNTIF($Q621:Q621,"&gt;0")+1&amp;", "&amp;$A621&amp;", "&amp;R621&amp;" UNION ALL","")</f>
        <v/>
      </c>
      <c r="W621" s="6" t="str">
        <f>IF(S621&gt;0,"SELECT "&amp;COUNTIF($Q$1:$T620,"&gt;0")+COUNTIF($Q621:R621,"&gt;0")+1&amp;", "&amp;$A621&amp;", "&amp;S621&amp;" UNION ALL","")</f>
        <v/>
      </c>
      <c r="X621" s="6" t="str">
        <f>IF(T621&gt;0,"SELECT "&amp;COUNTIF($Q$1:$T620,"&gt;0")+COUNTIF($Q621:S621,"&gt;0")+1&amp;", "&amp;$A621&amp;", "&amp;T621&amp;" UNION ALL","")</f>
        <v/>
      </c>
      <c r="Y621" s="5" t="str">
        <f t="shared" ca="1" si="49"/>
        <v>SELECT 495, 652, 75 UNION ALL</v>
      </c>
    </row>
    <row r="622" spans="1:25">
      <c r="A622" s="6">
        <f t="shared" si="55"/>
        <v>653</v>
      </c>
      <c r="B622" t="s">
        <v>1472</v>
      </c>
      <c r="C622" s="6">
        <v>1</v>
      </c>
      <c r="D622" s="6">
        <v>6</v>
      </c>
      <c r="L622" s="6" t="str">
        <f t="shared" si="54"/>
        <v>SELECT 653, N'powieka', 1, 6 UNION ALL</v>
      </c>
      <c r="M622" s="6" t="s">
        <v>1446</v>
      </c>
      <c r="Q622" s="6">
        <f t="shared" ca="1" si="52"/>
        <v>75</v>
      </c>
      <c r="R622" s="6">
        <f t="shared" ca="1" si="53"/>
        <v>0</v>
      </c>
      <c r="U622" s="6" t="str">
        <f ca="1">IF(Q622&gt;0,"SELECT "&amp;COUNTIF($Q$1:$T621,"&gt;0")+1&amp;", "&amp;$A622&amp;", "&amp;Q622&amp;" UNION ALL","")</f>
        <v>SELECT 496, 653, 75 UNION ALL</v>
      </c>
      <c r="V622" s="6" t="str">
        <f ca="1">IF(R622&gt;0,"SELECT "&amp;COUNTIF($Q$1:$T621,"&gt;0")+COUNTIF($Q622:Q622,"&gt;0")+1&amp;", "&amp;$A622&amp;", "&amp;R622&amp;" UNION ALL","")</f>
        <v/>
      </c>
      <c r="W622" s="6" t="str">
        <f>IF(S622&gt;0,"SELECT "&amp;COUNTIF($Q$1:$T621,"&gt;0")+COUNTIF($Q622:R622,"&gt;0")+1&amp;", "&amp;$A622&amp;", "&amp;S622&amp;" UNION ALL","")</f>
        <v/>
      </c>
      <c r="X622" s="6" t="str">
        <f>IF(T622&gt;0,"SELECT "&amp;COUNTIF($Q$1:$T621,"&gt;0")+COUNTIF($Q622:S622,"&gt;0")+1&amp;", "&amp;$A622&amp;", "&amp;T622&amp;" UNION ALL","")</f>
        <v/>
      </c>
      <c r="Y622" s="5" t="str">
        <f t="shared" ca="1" si="49"/>
        <v>SELECT 496, 653, 75 UNION ALL</v>
      </c>
    </row>
    <row r="623" spans="1:25">
      <c r="A623" s="6">
        <f t="shared" si="55"/>
        <v>654</v>
      </c>
      <c r="B623" t="s">
        <v>1473</v>
      </c>
      <c r="C623" s="6">
        <v>1</v>
      </c>
      <c r="D623" s="6">
        <v>8</v>
      </c>
      <c r="L623" s="6" t="str">
        <f t="shared" si="54"/>
        <v>SELECT 654, N'czoło', 1, 8 UNION ALL</v>
      </c>
      <c r="M623" s="6" t="s">
        <v>1446</v>
      </c>
      <c r="Q623" s="6">
        <f t="shared" ca="1" si="52"/>
        <v>75</v>
      </c>
      <c r="R623" s="6">
        <f t="shared" ca="1" si="53"/>
        <v>0</v>
      </c>
      <c r="U623" s="6" t="str">
        <f ca="1">IF(Q623&gt;0,"SELECT "&amp;COUNTIF($Q$1:$T622,"&gt;0")+1&amp;", "&amp;$A623&amp;", "&amp;Q623&amp;" UNION ALL","")</f>
        <v>SELECT 497, 654, 75 UNION ALL</v>
      </c>
      <c r="V623" s="6" t="str">
        <f ca="1">IF(R623&gt;0,"SELECT "&amp;COUNTIF($Q$1:$T622,"&gt;0")+COUNTIF($Q623:Q623,"&gt;0")+1&amp;", "&amp;$A623&amp;", "&amp;R623&amp;" UNION ALL","")</f>
        <v/>
      </c>
      <c r="W623" s="6" t="str">
        <f>IF(S623&gt;0,"SELECT "&amp;COUNTIF($Q$1:$T622,"&gt;0")+COUNTIF($Q623:R623,"&gt;0")+1&amp;", "&amp;$A623&amp;", "&amp;S623&amp;" UNION ALL","")</f>
        <v/>
      </c>
      <c r="X623" s="6" t="str">
        <f>IF(T623&gt;0,"SELECT "&amp;COUNTIF($Q$1:$T622,"&gt;0")+COUNTIF($Q623:S623,"&gt;0")+1&amp;", "&amp;$A623&amp;", "&amp;T623&amp;" UNION ALL","")</f>
        <v/>
      </c>
      <c r="Y623" s="5" t="str">
        <f t="shared" ca="1" si="49"/>
        <v>SELECT 497, 654, 75 UNION ALL</v>
      </c>
    </row>
    <row r="624" spans="1:25">
      <c r="A624" s="6">
        <f t="shared" si="55"/>
        <v>655</v>
      </c>
      <c r="B624" t="s">
        <v>1474</v>
      </c>
      <c r="C624" s="6">
        <v>1</v>
      </c>
      <c r="D624" s="6">
        <v>8</v>
      </c>
      <c r="L624" s="6" t="str">
        <f t="shared" si="54"/>
        <v>SELECT 655, N'kręgosłup', 1, 8 UNION ALL</v>
      </c>
      <c r="M624" s="6" t="s">
        <v>1446</v>
      </c>
      <c r="Q624" s="6">
        <f t="shared" ca="1" si="52"/>
        <v>75</v>
      </c>
      <c r="R624" s="6">
        <f t="shared" ca="1" si="53"/>
        <v>0</v>
      </c>
      <c r="U624" s="6" t="str">
        <f ca="1">IF(Q624&gt;0,"SELECT "&amp;COUNTIF($Q$1:$T623,"&gt;0")+1&amp;", "&amp;$A624&amp;", "&amp;Q624&amp;" UNION ALL","")</f>
        <v>SELECT 498, 655, 75 UNION ALL</v>
      </c>
      <c r="V624" s="6" t="str">
        <f ca="1">IF(R624&gt;0,"SELECT "&amp;COUNTIF($Q$1:$T623,"&gt;0")+COUNTIF($Q624:Q624,"&gt;0")+1&amp;", "&amp;$A624&amp;", "&amp;R624&amp;" UNION ALL","")</f>
        <v/>
      </c>
      <c r="W624" s="6" t="str">
        <f>IF(S624&gt;0,"SELECT "&amp;COUNTIF($Q$1:$T623,"&gt;0")+COUNTIF($Q624:R624,"&gt;0")+1&amp;", "&amp;$A624&amp;", "&amp;S624&amp;" UNION ALL","")</f>
        <v/>
      </c>
      <c r="X624" s="6" t="str">
        <f>IF(T624&gt;0,"SELECT "&amp;COUNTIF($Q$1:$T623,"&gt;0")+COUNTIF($Q624:S624,"&gt;0")+1&amp;", "&amp;$A624&amp;", "&amp;T624&amp;" UNION ALL","")</f>
        <v/>
      </c>
      <c r="Y624" s="5" t="str">
        <f t="shared" ca="1" si="49"/>
        <v>SELECT 498, 655, 75 UNION ALL</v>
      </c>
    </row>
    <row r="625" spans="1:25">
      <c r="A625" s="6">
        <f t="shared" si="55"/>
        <v>656</v>
      </c>
      <c r="B625" t="s">
        <v>1475</v>
      </c>
      <c r="C625" s="6">
        <v>1</v>
      </c>
      <c r="D625" s="6">
        <v>8</v>
      </c>
      <c r="L625" s="6" t="str">
        <f t="shared" si="54"/>
        <v>SELECT 656, N'płuco', 1, 8 UNION ALL</v>
      </c>
      <c r="M625" s="6" t="s">
        <v>1446</v>
      </c>
      <c r="Q625" s="6">
        <f t="shared" ca="1" si="52"/>
        <v>75</v>
      </c>
      <c r="R625" s="6">
        <f t="shared" ca="1" si="53"/>
        <v>0</v>
      </c>
      <c r="U625" s="6" t="str">
        <f ca="1">IF(Q625&gt;0,"SELECT "&amp;COUNTIF($Q$1:$T624,"&gt;0")+1&amp;", "&amp;$A625&amp;", "&amp;Q625&amp;" UNION ALL","")</f>
        <v>SELECT 499, 656, 75 UNION ALL</v>
      </c>
      <c r="V625" s="6" t="str">
        <f ca="1">IF(R625&gt;0,"SELECT "&amp;COUNTIF($Q$1:$T624,"&gt;0")+COUNTIF($Q625:Q625,"&gt;0")+1&amp;", "&amp;$A625&amp;", "&amp;R625&amp;" UNION ALL","")</f>
        <v/>
      </c>
      <c r="W625" s="6" t="str">
        <f>IF(S625&gt;0,"SELECT "&amp;COUNTIF($Q$1:$T624,"&gt;0")+COUNTIF($Q625:R625,"&gt;0")+1&amp;", "&amp;$A625&amp;", "&amp;S625&amp;" UNION ALL","")</f>
        <v/>
      </c>
      <c r="X625" s="6" t="str">
        <f>IF(T625&gt;0,"SELECT "&amp;COUNTIF($Q$1:$T624,"&gt;0")+COUNTIF($Q625:S625,"&gt;0")+1&amp;", "&amp;$A625&amp;", "&amp;T625&amp;" UNION ALL","")</f>
        <v/>
      </c>
      <c r="Y625" s="5" t="str">
        <f t="shared" ca="1" si="49"/>
        <v>SELECT 499, 656, 75 UNION ALL</v>
      </c>
    </row>
    <row r="626" spans="1:25">
      <c r="A626" s="6">
        <f t="shared" si="55"/>
        <v>657</v>
      </c>
      <c r="B626" t="s">
        <v>1476</v>
      </c>
      <c r="C626" s="6">
        <v>1</v>
      </c>
      <c r="D626" s="6">
        <v>9</v>
      </c>
      <c r="L626" s="6" t="str">
        <f t="shared" si="54"/>
        <v>SELECT 657, N'żyła', 1, 9 UNION ALL</v>
      </c>
      <c r="M626" s="6" t="s">
        <v>1446</v>
      </c>
      <c r="Q626" s="6">
        <f t="shared" ca="1" si="52"/>
        <v>75</v>
      </c>
      <c r="R626" s="6">
        <f t="shared" ca="1" si="53"/>
        <v>0</v>
      </c>
      <c r="U626" s="6" t="str">
        <f ca="1">IF(Q626&gt;0,"SELECT "&amp;COUNTIF($Q$1:$T625,"&gt;0")+1&amp;", "&amp;$A626&amp;", "&amp;Q626&amp;" UNION ALL","")</f>
        <v>SELECT 500, 657, 75 UNION ALL</v>
      </c>
      <c r="V626" s="6" t="str">
        <f ca="1">IF(R626&gt;0,"SELECT "&amp;COUNTIF($Q$1:$T625,"&gt;0")+COUNTIF($Q626:Q626,"&gt;0")+1&amp;", "&amp;$A626&amp;", "&amp;R626&amp;" UNION ALL","")</f>
        <v/>
      </c>
      <c r="W626" s="6" t="str">
        <f>IF(S626&gt;0,"SELECT "&amp;COUNTIF($Q$1:$T625,"&gt;0")+COUNTIF($Q626:R626,"&gt;0")+1&amp;", "&amp;$A626&amp;", "&amp;S626&amp;" UNION ALL","")</f>
        <v/>
      </c>
      <c r="X626" s="6" t="str">
        <f>IF(T626&gt;0,"SELECT "&amp;COUNTIF($Q$1:$T625,"&gt;0")+COUNTIF($Q626:S626,"&gt;0")+1&amp;", "&amp;$A626&amp;", "&amp;T626&amp;" UNION ALL","")</f>
        <v/>
      </c>
      <c r="Y626" s="5" t="str">
        <f t="shared" ca="1" si="49"/>
        <v>SELECT 500, 657, 75 UNION ALL</v>
      </c>
    </row>
    <row r="627" spans="1:25">
      <c r="A627" s="6">
        <f t="shared" si="55"/>
        <v>658</v>
      </c>
      <c r="B627" t="s">
        <v>1477</v>
      </c>
      <c r="C627" s="6">
        <v>1</v>
      </c>
      <c r="D627" s="6">
        <v>10</v>
      </c>
      <c r="L627" s="6" t="str">
        <f t="shared" si="54"/>
        <v>SELECT 658, N'krew', 1, 10 UNION ALL</v>
      </c>
      <c r="M627" s="6" t="s">
        <v>1446</v>
      </c>
      <c r="Q627" s="6">
        <f t="shared" ca="1" si="52"/>
        <v>75</v>
      </c>
      <c r="R627" s="6">
        <f t="shared" ca="1" si="53"/>
        <v>0</v>
      </c>
      <c r="U627" s="6" t="str">
        <f ca="1">IF(Q627&gt;0,"SELECT "&amp;COUNTIF($Q$1:$T626,"&gt;0")+1&amp;", "&amp;$A627&amp;", "&amp;Q627&amp;" UNION ALL","")</f>
        <v>SELECT 501, 658, 75 UNION ALL</v>
      </c>
      <c r="V627" s="6" t="str">
        <f ca="1">IF(R627&gt;0,"SELECT "&amp;COUNTIF($Q$1:$T626,"&gt;0")+COUNTIF($Q627:Q627,"&gt;0")+1&amp;", "&amp;$A627&amp;", "&amp;R627&amp;" UNION ALL","")</f>
        <v/>
      </c>
      <c r="W627" s="6" t="str">
        <f>IF(S627&gt;0,"SELECT "&amp;COUNTIF($Q$1:$T626,"&gt;0")+COUNTIF($Q627:R627,"&gt;0")+1&amp;", "&amp;$A627&amp;", "&amp;S627&amp;" UNION ALL","")</f>
        <v/>
      </c>
      <c r="X627" s="6" t="str">
        <f>IF(T627&gt;0,"SELECT "&amp;COUNTIF($Q$1:$T626,"&gt;0")+COUNTIF($Q627:S627,"&gt;0")+1&amp;", "&amp;$A627&amp;", "&amp;T627&amp;" UNION ALL","")</f>
        <v/>
      </c>
      <c r="Y627" s="5" t="str">
        <f t="shared" ca="1" si="49"/>
        <v>SELECT 501, 658, 75 UNION ALL</v>
      </c>
    </row>
    <row r="628" spans="1:25">
      <c r="A628" s="6">
        <f t="shared" si="55"/>
        <v>659</v>
      </c>
      <c r="B628" t="s">
        <v>1478</v>
      </c>
      <c r="C628" s="6">
        <v>1</v>
      </c>
      <c r="D628" s="6">
        <v>9</v>
      </c>
      <c r="L628" s="6" t="str">
        <f t="shared" si="54"/>
        <v>SELECT 659, N'gardło', 1, 9 UNION ALL</v>
      </c>
      <c r="M628" s="6" t="s">
        <v>1446</v>
      </c>
      <c r="Q628" s="6">
        <f t="shared" ca="1" si="52"/>
        <v>75</v>
      </c>
      <c r="R628" s="6">
        <f t="shared" ca="1" si="53"/>
        <v>0</v>
      </c>
      <c r="U628" s="6" t="str">
        <f ca="1">IF(Q628&gt;0,"SELECT "&amp;COUNTIF($Q$1:$T627,"&gt;0")+1&amp;", "&amp;$A628&amp;", "&amp;Q628&amp;" UNION ALL","")</f>
        <v>SELECT 502, 659, 75 UNION ALL</v>
      </c>
      <c r="V628" s="6" t="str">
        <f ca="1">IF(R628&gt;0,"SELECT "&amp;COUNTIF($Q$1:$T627,"&gt;0")+COUNTIF($Q628:Q628,"&gt;0")+1&amp;", "&amp;$A628&amp;", "&amp;R628&amp;" UNION ALL","")</f>
        <v/>
      </c>
      <c r="W628" s="6" t="str">
        <f>IF(S628&gt;0,"SELECT "&amp;COUNTIF($Q$1:$T627,"&gt;0")+COUNTIF($Q628:R628,"&gt;0")+1&amp;", "&amp;$A628&amp;", "&amp;S628&amp;" UNION ALL","")</f>
        <v/>
      </c>
      <c r="X628" s="6" t="str">
        <f>IF(T628&gt;0,"SELECT "&amp;COUNTIF($Q$1:$T627,"&gt;0")+COUNTIF($Q628:S628,"&gt;0")+1&amp;", "&amp;$A628&amp;", "&amp;T628&amp;" UNION ALL","")</f>
        <v/>
      </c>
      <c r="Y628" s="5" t="str">
        <f t="shared" ca="1" si="49"/>
        <v>SELECT 502, 659, 75 UNION ALL</v>
      </c>
    </row>
    <row r="629" spans="1:25">
      <c r="A629" s="6">
        <f t="shared" si="55"/>
        <v>660</v>
      </c>
      <c r="B629" t="s">
        <v>1479</v>
      </c>
      <c r="C629" s="6">
        <v>1</v>
      </c>
      <c r="D629" s="6">
        <v>10</v>
      </c>
      <c r="L629" s="6" t="str">
        <f t="shared" si="54"/>
        <v>SELECT 660, N'mózg', 1, 10 UNION ALL</v>
      </c>
      <c r="M629" s="6" t="s">
        <v>1446</v>
      </c>
      <c r="Q629" s="6">
        <f t="shared" ca="1" si="52"/>
        <v>75</v>
      </c>
      <c r="R629" s="6">
        <f t="shared" ca="1" si="53"/>
        <v>0</v>
      </c>
      <c r="U629" s="6" t="str">
        <f ca="1">IF(Q629&gt;0,"SELECT "&amp;COUNTIF($Q$1:$T628,"&gt;0")+1&amp;", "&amp;$A629&amp;", "&amp;Q629&amp;" UNION ALL","")</f>
        <v>SELECT 503, 660, 75 UNION ALL</v>
      </c>
      <c r="V629" s="6" t="str">
        <f ca="1">IF(R629&gt;0,"SELECT "&amp;COUNTIF($Q$1:$T628,"&gt;0")+COUNTIF($Q629:Q629,"&gt;0")+1&amp;", "&amp;$A629&amp;", "&amp;R629&amp;" UNION ALL","")</f>
        <v/>
      </c>
      <c r="W629" s="6" t="str">
        <f>IF(S629&gt;0,"SELECT "&amp;COUNTIF($Q$1:$T628,"&gt;0")+COUNTIF($Q629:R629,"&gt;0")+1&amp;", "&amp;$A629&amp;", "&amp;S629&amp;" UNION ALL","")</f>
        <v/>
      </c>
      <c r="X629" s="6" t="str">
        <f>IF(T629&gt;0,"SELECT "&amp;COUNTIF($Q$1:$T628,"&gt;0")+COUNTIF($Q629:S629,"&gt;0")+1&amp;", "&amp;$A629&amp;", "&amp;T629&amp;" UNION ALL","")</f>
        <v/>
      </c>
      <c r="Y629" s="5" t="str">
        <f t="shared" ca="1" si="49"/>
        <v>SELECT 503, 660, 75 UNION ALL</v>
      </c>
    </row>
    <row r="630" spans="1:25">
      <c r="U630" s="6" t="s">
        <v>1954</v>
      </c>
    </row>
    <row r="631" spans="1:25">
      <c r="U631" s="6" t="s">
        <v>1954</v>
      </c>
    </row>
    <row r="632" spans="1:25">
      <c r="U632" s="6" t="s">
        <v>1954</v>
      </c>
    </row>
    <row r="633" spans="1:25">
      <c r="U633" s="6" t="s">
        <v>1954</v>
      </c>
    </row>
    <row r="634" spans="1:25">
      <c r="U634" s="6" t="s">
        <v>1954</v>
      </c>
    </row>
    <row r="635" spans="1:25">
      <c r="U635" s="6" t="s">
        <v>1954</v>
      </c>
    </row>
    <row r="636" spans="1:25">
      <c r="U636" s="6" t="s">
        <v>1954</v>
      </c>
    </row>
    <row r="637" spans="1:25">
      <c r="U637" s="6" t="s">
        <v>1955</v>
      </c>
    </row>
    <row r="638" spans="1:25">
      <c r="U638" s="6" t="s">
        <v>1954</v>
      </c>
    </row>
    <row r="639" spans="1:25">
      <c r="U639" s="6" t="s">
        <v>1954</v>
      </c>
    </row>
    <row r="640" spans="1:25">
      <c r="U640" s="6" t="s">
        <v>1956</v>
      </c>
    </row>
    <row r="641" spans="21:21">
      <c r="U641" s="6" t="s">
        <v>1954</v>
      </c>
    </row>
    <row r="642" spans="21:21">
      <c r="U642" s="6" t="s">
        <v>1957</v>
      </c>
    </row>
    <row r="643" spans="21:21">
      <c r="U643" s="6" t="s">
        <v>1954</v>
      </c>
    </row>
    <row r="644" spans="21:21">
      <c r="U644" s="6" t="s">
        <v>1954</v>
      </c>
    </row>
    <row r="645" spans="21:21">
      <c r="U645" s="6" t="s">
        <v>1954</v>
      </c>
    </row>
    <row r="646" spans="21:21">
      <c r="U646" s="6" t="s">
        <v>1954</v>
      </c>
    </row>
    <row r="647" spans="21:21">
      <c r="U647" s="6" t="s">
        <v>1954</v>
      </c>
    </row>
    <row r="648" spans="21:21">
      <c r="U648" s="6" t="s">
        <v>1958</v>
      </c>
    </row>
    <row r="649" spans="21:21">
      <c r="U649" s="6" t="s">
        <v>1954</v>
      </c>
    </row>
    <row r="650" spans="21:21">
      <c r="U650" s="6" t="s">
        <v>1954</v>
      </c>
    </row>
    <row r="651" spans="21:21">
      <c r="U651" s="6" t="s">
        <v>1954</v>
      </c>
    </row>
    <row r="652" spans="21:21">
      <c r="U652" s="6" t="s">
        <v>1954</v>
      </c>
    </row>
    <row r="653" spans="21:21">
      <c r="U653" s="6" t="s">
        <v>1954</v>
      </c>
    </row>
    <row r="654" spans="21:21">
      <c r="U654" s="6" t="s">
        <v>1954</v>
      </c>
    </row>
    <row r="655" spans="21:21">
      <c r="U655" s="6" t="s">
        <v>1954</v>
      </c>
    </row>
    <row r="656" spans="21:21">
      <c r="U656" s="6" t="s">
        <v>1959</v>
      </c>
    </row>
    <row r="657" spans="21:21">
      <c r="U657" s="6" t="s">
        <v>1960</v>
      </c>
    </row>
    <row r="658" spans="21:21">
      <c r="U658" s="6" t="s">
        <v>1954</v>
      </c>
    </row>
    <row r="659" spans="21:21">
      <c r="U659" s="6" t="s">
        <v>1954</v>
      </c>
    </row>
    <row r="660" spans="21:21">
      <c r="U660" s="6" t="s">
        <v>1954</v>
      </c>
    </row>
    <row r="661" spans="21:21">
      <c r="U661" s="6" t="s">
        <v>1954</v>
      </c>
    </row>
    <row r="662" spans="21:21">
      <c r="U662" s="6" t="s">
        <v>1954</v>
      </c>
    </row>
    <row r="663" spans="21:21">
      <c r="U663" s="6" t="s">
        <v>1954</v>
      </c>
    </row>
    <row r="664" spans="21:21">
      <c r="U664" s="6" t="s">
        <v>1961</v>
      </c>
    </row>
    <row r="665" spans="21:21">
      <c r="U665" s="6" t="s">
        <v>1954</v>
      </c>
    </row>
    <row r="666" spans="21:21">
      <c r="U666" s="6" t="s">
        <v>1954</v>
      </c>
    </row>
    <row r="667" spans="21:21">
      <c r="U667" s="6" t="s">
        <v>1954</v>
      </c>
    </row>
    <row r="668" spans="21:21">
      <c r="U668" s="6" t="s">
        <v>1954</v>
      </c>
    </row>
    <row r="669" spans="21:21">
      <c r="U669" s="6" t="s">
        <v>1954</v>
      </c>
    </row>
    <row r="670" spans="21:21">
      <c r="U670" s="6" t="s">
        <v>1954</v>
      </c>
    </row>
    <row r="671" spans="21:21">
      <c r="U671" s="6" t="s">
        <v>1954</v>
      </c>
    </row>
    <row r="672" spans="21:21">
      <c r="U672" s="6" t="s">
        <v>1954</v>
      </c>
    </row>
    <row r="673" spans="21:21">
      <c r="U673" s="6" t="s">
        <v>1954</v>
      </c>
    </row>
    <row r="674" spans="21:21">
      <c r="U674" s="6" t="s">
        <v>1954</v>
      </c>
    </row>
    <row r="675" spans="21:21">
      <c r="U675" s="6" t="s">
        <v>1954</v>
      </c>
    </row>
    <row r="676" spans="21:21">
      <c r="U676" s="6" t="s">
        <v>1954</v>
      </c>
    </row>
    <row r="677" spans="21:21">
      <c r="U677" s="6" t="s">
        <v>1954</v>
      </c>
    </row>
    <row r="678" spans="21:21">
      <c r="U678" s="6" t="s">
        <v>1962</v>
      </c>
    </row>
    <row r="679" spans="21:21">
      <c r="U679" s="6" t="s">
        <v>1954</v>
      </c>
    </row>
    <row r="680" spans="21:21">
      <c r="U680" s="6" t="s">
        <v>1954</v>
      </c>
    </row>
    <row r="681" spans="21:21">
      <c r="U681" s="6" t="s">
        <v>1954</v>
      </c>
    </row>
    <row r="682" spans="21:21">
      <c r="U682" s="6" t="s">
        <v>1954</v>
      </c>
    </row>
    <row r="683" spans="21:21">
      <c r="U683" s="6" t="s">
        <v>1954</v>
      </c>
    </row>
    <row r="684" spans="21:21">
      <c r="U684" s="6" t="s">
        <v>1954</v>
      </c>
    </row>
    <row r="685" spans="21:21">
      <c r="U685" s="6" t="s">
        <v>1954</v>
      </c>
    </row>
    <row r="686" spans="21:21">
      <c r="U686" s="6" t="s">
        <v>1954</v>
      </c>
    </row>
    <row r="687" spans="21:21">
      <c r="U687" s="6" t="s">
        <v>1954</v>
      </c>
    </row>
    <row r="688" spans="21:21">
      <c r="U688" s="6" t="s">
        <v>1954</v>
      </c>
    </row>
    <row r="689" spans="21:21">
      <c r="U689" s="6" t="s">
        <v>1954</v>
      </c>
    </row>
    <row r="690" spans="21:21">
      <c r="U690" s="6" t="s">
        <v>1954</v>
      </c>
    </row>
    <row r="691" spans="21:21">
      <c r="U691" s="6" t="s">
        <v>1954</v>
      </c>
    </row>
    <row r="692" spans="21:21">
      <c r="U692" s="6" t="s">
        <v>1954</v>
      </c>
    </row>
    <row r="693" spans="21:21">
      <c r="U693" s="6" t="s">
        <v>1954</v>
      </c>
    </row>
    <row r="694" spans="21:21">
      <c r="U694" s="6" t="s">
        <v>1954</v>
      </c>
    </row>
    <row r="695" spans="21:21">
      <c r="U695" s="6" t="s">
        <v>1954</v>
      </c>
    </row>
    <row r="696" spans="21:21">
      <c r="U696" s="6" t="s">
        <v>1954</v>
      </c>
    </row>
    <row r="697" spans="21:21">
      <c r="U697" s="6" t="s">
        <v>1954</v>
      </c>
    </row>
    <row r="698" spans="21:21">
      <c r="U698" s="6" t="s">
        <v>1954</v>
      </c>
    </row>
    <row r="699" spans="21:21">
      <c r="U699" s="6" t="s">
        <v>1954</v>
      </c>
    </row>
    <row r="700" spans="21:21">
      <c r="U700" s="6" t="s">
        <v>1954</v>
      </c>
    </row>
    <row r="701" spans="21:21">
      <c r="U701" s="6" t="s">
        <v>1954</v>
      </c>
    </row>
    <row r="702" spans="21:21">
      <c r="U702" s="6" t="s">
        <v>1954</v>
      </c>
    </row>
    <row r="703" spans="21:21">
      <c r="U703" s="6" t="s">
        <v>1954</v>
      </c>
    </row>
    <row r="704" spans="21:21">
      <c r="U704" s="6" t="s">
        <v>1954</v>
      </c>
    </row>
    <row r="705" spans="21:21">
      <c r="U705" s="6" t="s">
        <v>1954</v>
      </c>
    </row>
    <row r="706" spans="21:21">
      <c r="U706" s="6" t="s">
        <v>1954</v>
      </c>
    </row>
    <row r="707" spans="21:21">
      <c r="U707" s="6" t="s">
        <v>1954</v>
      </c>
    </row>
    <row r="708" spans="21:21">
      <c r="U708" s="6" t="s">
        <v>1954</v>
      </c>
    </row>
    <row r="709" spans="21:21">
      <c r="U709" s="6" t="s">
        <v>1954</v>
      </c>
    </row>
    <row r="710" spans="21:21">
      <c r="U710" s="6" t="s">
        <v>1954</v>
      </c>
    </row>
    <row r="711" spans="21:21">
      <c r="U711" s="6" t="s">
        <v>1954</v>
      </c>
    </row>
    <row r="712" spans="21:21">
      <c r="U712" s="6" t="s">
        <v>1954</v>
      </c>
    </row>
    <row r="713" spans="21:21">
      <c r="U713" s="6" t="s">
        <v>1954</v>
      </c>
    </row>
    <row r="714" spans="21:21">
      <c r="U714" s="6" t="s">
        <v>1954</v>
      </c>
    </row>
    <row r="715" spans="21:21">
      <c r="U715" s="6" t="s">
        <v>1954</v>
      </c>
    </row>
    <row r="716" spans="21:21">
      <c r="U716" s="6" t="s">
        <v>1954</v>
      </c>
    </row>
    <row r="717" spans="21:21">
      <c r="U717" s="6" t="s">
        <v>1954</v>
      </c>
    </row>
    <row r="718" spans="21:21">
      <c r="U718" s="6" t="s">
        <v>1954</v>
      </c>
    </row>
    <row r="719" spans="21:21">
      <c r="U719" s="6" t="s">
        <v>1963</v>
      </c>
    </row>
    <row r="720" spans="21:21">
      <c r="U720" s="6" t="s">
        <v>1954</v>
      </c>
    </row>
    <row r="721" spans="21:21">
      <c r="U721" s="6" t="s">
        <v>1954</v>
      </c>
    </row>
    <row r="722" spans="21:21">
      <c r="U722" s="6" t="s">
        <v>1954</v>
      </c>
    </row>
    <row r="723" spans="21:21">
      <c r="U723" s="6" t="s">
        <v>1954</v>
      </c>
    </row>
    <row r="724" spans="21:21">
      <c r="U724" s="6" t="s">
        <v>1954</v>
      </c>
    </row>
    <row r="725" spans="21:21">
      <c r="U725" s="6" t="s">
        <v>1954</v>
      </c>
    </row>
    <row r="726" spans="21:21">
      <c r="U726" s="6" t="s">
        <v>1954</v>
      </c>
    </row>
    <row r="727" spans="21:21">
      <c r="U727" s="6" t="s">
        <v>1954</v>
      </c>
    </row>
    <row r="728" spans="21:21">
      <c r="U728" s="6" t="s">
        <v>1954</v>
      </c>
    </row>
    <row r="729" spans="21:21">
      <c r="U729" s="6" t="s">
        <v>1954</v>
      </c>
    </row>
    <row r="730" spans="21:21">
      <c r="U730" s="6" t="s">
        <v>1964</v>
      </c>
    </row>
    <row r="731" spans="21:21">
      <c r="U731" s="6" t="s">
        <v>1954</v>
      </c>
    </row>
    <row r="732" spans="21:21">
      <c r="U732" s="6" t="s">
        <v>1954</v>
      </c>
    </row>
    <row r="733" spans="21:21">
      <c r="U733" s="6" t="s">
        <v>1965</v>
      </c>
    </row>
    <row r="734" spans="21:21">
      <c r="U734" s="6" t="s">
        <v>1966</v>
      </c>
    </row>
    <row r="735" spans="21:21">
      <c r="U735" s="6" t="s">
        <v>1967</v>
      </c>
    </row>
    <row r="736" spans="21:21">
      <c r="U736" s="6" t="s">
        <v>1954</v>
      </c>
    </row>
    <row r="737" spans="21:21">
      <c r="U737" s="6" t="s">
        <v>1954</v>
      </c>
    </row>
    <row r="738" spans="21:21">
      <c r="U738" s="6" t="s">
        <v>1954</v>
      </c>
    </row>
    <row r="739" spans="21:21">
      <c r="U739" s="6" t="s">
        <v>1954</v>
      </c>
    </row>
    <row r="740" spans="21:21">
      <c r="U740" s="6" t="s">
        <v>1954</v>
      </c>
    </row>
    <row r="741" spans="21:21">
      <c r="U741" s="6" t="s">
        <v>1954</v>
      </c>
    </row>
    <row r="742" spans="21:21">
      <c r="U742" s="6" t="s">
        <v>1954</v>
      </c>
    </row>
    <row r="743" spans="21:21">
      <c r="U743" s="6" t="s">
        <v>1954</v>
      </c>
    </row>
    <row r="744" spans="21:21">
      <c r="U744" s="6" t="s">
        <v>1954</v>
      </c>
    </row>
    <row r="745" spans="21:21">
      <c r="U745" s="6" t="s">
        <v>1954</v>
      </c>
    </row>
    <row r="746" spans="21:21">
      <c r="U746" s="6" t="s">
        <v>1954</v>
      </c>
    </row>
    <row r="747" spans="21:21">
      <c r="U747" s="6" t="s">
        <v>1954</v>
      </c>
    </row>
    <row r="748" spans="21:21">
      <c r="U748" s="6" t="s">
        <v>1954</v>
      </c>
    </row>
    <row r="749" spans="21:21">
      <c r="U749" s="6" t="s">
        <v>1954</v>
      </c>
    </row>
    <row r="750" spans="21:21">
      <c r="U750" s="6" t="s">
        <v>1954</v>
      </c>
    </row>
    <row r="751" spans="21:21">
      <c r="U751" s="6" t="s">
        <v>1954</v>
      </c>
    </row>
    <row r="752" spans="21:21">
      <c r="U752" s="6" t="s">
        <v>1954</v>
      </c>
    </row>
    <row r="753" spans="21:21">
      <c r="U753" s="6" t="s">
        <v>1954</v>
      </c>
    </row>
    <row r="754" spans="21:21">
      <c r="U754" s="6" t="s">
        <v>1954</v>
      </c>
    </row>
    <row r="755" spans="21:21">
      <c r="U755" s="6" t="s">
        <v>1954</v>
      </c>
    </row>
    <row r="756" spans="21:21">
      <c r="U756" s="6" t="s">
        <v>1954</v>
      </c>
    </row>
    <row r="757" spans="21:21">
      <c r="U757" s="6" t="s">
        <v>1954</v>
      </c>
    </row>
    <row r="758" spans="21:21">
      <c r="U758" s="6" t="s">
        <v>1954</v>
      </c>
    </row>
    <row r="759" spans="21:21">
      <c r="U759" s="6" t="s">
        <v>1954</v>
      </c>
    </row>
    <row r="760" spans="21:21">
      <c r="U760" s="6" t="s">
        <v>1954</v>
      </c>
    </row>
    <row r="761" spans="21:21">
      <c r="U761" s="6" t="s">
        <v>1954</v>
      </c>
    </row>
    <row r="762" spans="21:21">
      <c r="U762" s="6" t="s">
        <v>1954</v>
      </c>
    </row>
    <row r="763" spans="21:21">
      <c r="U763" s="6" t="s">
        <v>1954</v>
      </c>
    </row>
    <row r="764" spans="21:21">
      <c r="U764" s="6" t="s">
        <v>1954</v>
      </c>
    </row>
    <row r="765" spans="21:21">
      <c r="U765" s="6" t="s">
        <v>1954</v>
      </c>
    </row>
    <row r="766" spans="21:21">
      <c r="U766" s="6" t="s">
        <v>1954</v>
      </c>
    </row>
    <row r="767" spans="21:21">
      <c r="U767" s="6" t="s">
        <v>1954</v>
      </c>
    </row>
    <row r="768" spans="21:21">
      <c r="U768" s="6" t="s">
        <v>1954</v>
      </c>
    </row>
    <row r="769" spans="21:21">
      <c r="U769" s="6" t="s">
        <v>1954</v>
      </c>
    </row>
    <row r="770" spans="21:21">
      <c r="U770" s="6" t="s">
        <v>1968</v>
      </c>
    </row>
    <row r="771" spans="21:21">
      <c r="U771" s="6" t="s">
        <v>1954</v>
      </c>
    </row>
    <row r="772" spans="21:21">
      <c r="U772" s="6" t="s">
        <v>1954</v>
      </c>
    </row>
    <row r="773" spans="21:21">
      <c r="U773" s="6" t="s">
        <v>1954</v>
      </c>
    </row>
    <row r="774" spans="21:21">
      <c r="U774" s="6" t="s">
        <v>1954</v>
      </c>
    </row>
    <row r="775" spans="21:21">
      <c r="U775" s="6" t="s">
        <v>1954</v>
      </c>
    </row>
    <row r="776" spans="21:21">
      <c r="U776" s="6" t="s">
        <v>1954</v>
      </c>
    </row>
    <row r="777" spans="21:21">
      <c r="U777" s="6" t="s">
        <v>1969</v>
      </c>
    </row>
    <row r="778" spans="21:21">
      <c r="U778" s="6" t="s">
        <v>1970</v>
      </c>
    </row>
    <row r="779" spans="21:21">
      <c r="U779" s="6" t="s">
        <v>1954</v>
      </c>
    </row>
    <row r="780" spans="21:21">
      <c r="U780" s="6" t="s">
        <v>1954</v>
      </c>
    </row>
    <row r="781" spans="21:21">
      <c r="U781" s="6" t="s">
        <v>1954</v>
      </c>
    </row>
    <row r="782" spans="21:21">
      <c r="U782" s="6" t="s">
        <v>1971</v>
      </c>
    </row>
    <row r="783" spans="21:21">
      <c r="U783" s="6" t="s">
        <v>1972</v>
      </c>
    </row>
    <row r="784" spans="21:21">
      <c r="U784" s="6" t="s">
        <v>1973</v>
      </c>
    </row>
    <row r="785" spans="21:21">
      <c r="U785" s="6" t="s">
        <v>1954</v>
      </c>
    </row>
    <row r="786" spans="21:21">
      <c r="U786" s="6" t="s">
        <v>1954</v>
      </c>
    </row>
    <row r="787" spans="21:21">
      <c r="U787" s="6" t="s">
        <v>1954</v>
      </c>
    </row>
    <row r="788" spans="21:21">
      <c r="U788" s="6" t="s">
        <v>1954</v>
      </c>
    </row>
    <row r="789" spans="21:21">
      <c r="U789" s="6" t="s">
        <v>1954</v>
      </c>
    </row>
    <row r="790" spans="21:21">
      <c r="U790" s="6" t="s">
        <v>1974</v>
      </c>
    </row>
    <row r="791" spans="21:21">
      <c r="U791" s="6" t="s">
        <v>1954</v>
      </c>
    </row>
    <row r="792" spans="21:21">
      <c r="U792" s="6" t="s">
        <v>1954</v>
      </c>
    </row>
    <row r="793" spans="21:21">
      <c r="U793" s="6" t="s">
        <v>1954</v>
      </c>
    </row>
    <row r="794" spans="21:21">
      <c r="U794" s="6" t="s">
        <v>1954</v>
      </c>
    </row>
    <row r="795" spans="21:21">
      <c r="U795" s="6" t="s">
        <v>1975</v>
      </c>
    </row>
    <row r="796" spans="21:21">
      <c r="U796" s="6" t="s">
        <v>1954</v>
      </c>
    </row>
    <row r="797" spans="21:21">
      <c r="U797" s="6" t="s">
        <v>1954</v>
      </c>
    </row>
    <row r="798" spans="21:21">
      <c r="U798" s="6" t="s">
        <v>1954</v>
      </c>
    </row>
    <row r="799" spans="21:21">
      <c r="U799" s="6" t="s">
        <v>1954</v>
      </c>
    </row>
    <row r="800" spans="21:21">
      <c r="U800" s="6" t="s">
        <v>1954</v>
      </c>
    </row>
    <row r="801" spans="21:21">
      <c r="U801" s="6" t="s">
        <v>1954</v>
      </c>
    </row>
    <row r="802" spans="21:21">
      <c r="U802" s="6" t="s">
        <v>1954</v>
      </c>
    </row>
    <row r="803" spans="21:21">
      <c r="U803" s="6" t="s">
        <v>1954</v>
      </c>
    </row>
    <row r="804" spans="21:21">
      <c r="U804" s="6" t="s">
        <v>1954</v>
      </c>
    </row>
    <row r="805" spans="21:21">
      <c r="U805" s="6" t="s">
        <v>1954</v>
      </c>
    </row>
    <row r="806" spans="21:21">
      <c r="U806" s="6" t="s">
        <v>1954</v>
      </c>
    </row>
    <row r="807" spans="21:21">
      <c r="U807" s="6" t="s">
        <v>1954</v>
      </c>
    </row>
    <row r="808" spans="21:21">
      <c r="U808" s="6" t="s">
        <v>1954</v>
      </c>
    </row>
    <row r="809" spans="21:21">
      <c r="U809" s="6" t="s">
        <v>1954</v>
      </c>
    </row>
    <row r="810" spans="21:21">
      <c r="U810" s="6" t="s">
        <v>1954</v>
      </c>
    </row>
    <row r="811" spans="21:21">
      <c r="U811" s="6" t="s">
        <v>1954</v>
      </c>
    </row>
    <row r="812" spans="21:21">
      <c r="U812" s="6" t="s">
        <v>1954</v>
      </c>
    </row>
    <row r="813" spans="21:21">
      <c r="U813" s="6" t="s">
        <v>1954</v>
      </c>
    </row>
    <row r="814" spans="21:21">
      <c r="U814" s="6" t="s">
        <v>1954</v>
      </c>
    </row>
    <row r="815" spans="21:21">
      <c r="U815" s="6" t="s">
        <v>1954</v>
      </c>
    </row>
    <row r="816" spans="21:21">
      <c r="U816" s="6" t="s">
        <v>1954</v>
      </c>
    </row>
    <row r="817" spans="21:21">
      <c r="U817" s="6" t="s">
        <v>1954</v>
      </c>
    </row>
    <row r="818" spans="21:21">
      <c r="U818" s="6" t="s">
        <v>1954</v>
      </c>
    </row>
    <row r="819" spans="21:21">
      <c r="U819" s="6" t="s">
        <v>1954</v>
      </c>
    </row>
    <row r="820" spans="21:21">
      <c r="U820" s="6" t="s">
        <v>1954</v>
      </c>
    </row>
    <row r="821" spans="21:21">
      <c r="U821" s="6" t="s">
        <v>1954</v>
      </c>
    </row>
    <row r="822" spans="21:21">
      <c r="U822" s="6" t="s">
        <v>1954</v>
      </c>
    </row>
    <row r="823" spans="21:21">
      <c r="U823" s="6" t="s">
        <v>1954</v>
      </c>
    </row>
    <row r="824" spans="21:21">
      <c r="U824" s="6" t="s">
        <v>1954</v>
      </c>
    </row>
    <row r="825" spans="21:21">
      <c r="U825" s="6" t="s">
        <v>1954</v>
      </c>
    </row>
    <row r="826" spans="21:21">
      <c r="U826" s="6" t="s">
        <v>1954</v>
      </c>
    </row>
    <row r="827" spans="21:21">
      <c r="U827" s="6" t="s">
        <v>1954</v>
      </c>
    </row>
    <row r="828" spans="21:21">
      <c r="U828" s="6" t="s">
        <v>1954</v>
      </c>
    </row>
    <row r="829" spans="21:21">
      <c r="U829" s="6" t="s">
        <v>1954</v>
      </c>
    </row>
    <row r="830" spans="21:21">
      <c r="U830" s="6" t="s">
        <v>1954</v>
      </c>
    </row>
    <row r="831" spans="21:21">
      <c r="U831" s="6" t="s">
        <v>1954</v>
      </c>
    </row>
    <row r="832" spans="21:21">
      <c r="U832" s="6" t="s">
        <v>1954</v>
      </c>
    </row>
    <row r="833" spans="21:21">
      <c r="U833" s="6" t="s">
        <v>1954</v>
      </c>
    </row>
    <row r="834" spans="21:21">
      <c r="U834" s="6" t="s">
        <v>1954</v>
      </c>
    </row>
    <row r="835" spans="21:21">
      <c r="U835" s="6" t="s">
        <v>1954</v>
      </c>
    </row>
    <row r="836" spans="21:21">
      <c r="U836" s="6" t="s">
        <v>1954</v>
      </c>
    </row>
    <row r="837" spans="21:21">
      <c r="U837" s="6" t="s">
        <v>1954</v>
      </c>
    </row>
    <row r="838" spans="21:21">
      <c r="U838" s="6" t="s">
        <v>1954</v>
      </c>
    </row>
    <row r="839" spans="21:21">
      <c r="U839" s="6" t="s">
        <v>1954</v>
      </c>
    </row>
    <row r="840" spans="21:21">
      <c r="U840" s="6" t="s">
        <v>1954</v>
      </c>
    </row>
    <row r="841" spans="21:21">
      <c r="U841" s="6" t="s">
        <v>1954</v>
      </c>
    </row>
    <row r="842" spans="21:21">
      <c r="U842" s="6" t="s">
        <v>1954</v>
      </c>
    </row>
    <row r="843" spans="21:21">
      <c r="U843" s="6" t="s">
        <v>1954</v>
      </c>
    </row>
    <row r="844" spans="21:21">
      <c r="U844" s="6" t="s">
        <v>1954</v>
      </c>
    </row>
    <row r="845" spans="21:21">
      <c r="U845" s="6" t="s">
        <v>1954</v>
      </c>
    </row>
    <row r="846" spans="21:21">
      <c r="U846" s="6" t="s">
        <v>1954</v>
      </c>
    </row>
    <row r="847" spans="21:21">
      <c r="U847" s="6" t="s">
        <v>1954</v>
      </c>
    </row>
    <row r="848" spans="21:21">
      <c r="U848" s="6" t="s">
        <v>1954</v>
      </c>
    </row>
    <row r="849" spans="21:21">
      <c r="U849" s="6" t="s">
        <v>1954</v>
      </c>
    </row>
    <row r="850" spans="21:21">
      <c r="U850" s="6" t="s">
        <v>1954</v>
      </c>
    </row>
    <row r="851" spans="21:21">
      <c r="U851" s="6" t="s">
        <v>1954</v>
      </c>
    </row>
    <row r="852" spans="21:21">
      <c r="U852" s="6" t="s">
        <v>1954</v>
      </c>
    </row>
    <row r="853" spans="21:21">
      <c r="U853" s="6" t="s">
        <v>1954</v>
      </c>
    </row>
    <row r="854" spans="21:21">
      <c r="U854" s="6" t="s">
        <v>1954</v>
      </c>
    </row>
    <row r="855" spans="21:21">
      <c r="U855" s="6" t="s">
        <v>1954</v>
      </c>
    </row>
    <row r="856" spans="21:21">
      <c r="U856" s="6" t="s">
        <v>1954</v>
      </c>
    </row>
    <row r="857" spans="21:21">
      <c r="U857" s="6" t="s">
        <v>1954</v>
      </c>
    </row>
    <row r="858" spans="21:21">
      <c r="U858" s="6" t="s">
        <v>1954</v>
      </c>
    </row>
    <row r="859" spans="21:21">
      <c r="U859" s="6" t="s">
        <v>1954</v>
      </c>
    </row>
    <row r="860" spans="21:21">
      <c r="U860" s="6" t="s">
        <v>1954</v>
      </c>
    </row>
    <row r="861" spans="21:21">
      <c r="U861" s="6" t="s">
        <v>1954</v>
      </c>
    </row>
    <row r="862" spans="21:21">
      <c r="U862" s="6" t="s">
        <v>1954</v>
      </c>
    </row>
    <row r="863" spans="21:21">
      <c r="U863" s="6" t="s">
        <v>1954</v>
      </c>
    </row>
    <row r="864" spans="21:21">
      <c r="U864" s="6" t="s">
        <v>1954</v>
      </c>
    </row>
    <row r="865" spans="21:21">
      <c r="U865" s="6" t="s">
        <v>1954</v>
      </c>
    </row>
    <row r="866" spans="21:21">
      <c r="U866" s="6" t="s">
        <v>1954</v>
      </c>
    </row>
    <row r="867" spans="21:21">
      <c r="U867" s="6" t="s">
        <v>1954</v>
      </c>
    </row>
    <row r="868" spans="21:21">
      <c r="U868" s="6" t="s">
        <v>1954</v>
      </c>
    </row>
    <row r="869" spans="21:21">
      <c r="U869" s="6" t="s">
        <v>1954</v>
      </c>
    </row>
    <row r="870" spans="21:21">
      <c r="U870" s="6" t="s">
        <v>1954</v>
      </c>
    </row>
    <row r="871" spans="21:21">
      <c r="U871" s="6" t="s">
        <v>1954</v>
      </c>
    </row>
    <row r="872" spans="21:21">
      <c r="U872" s="6" t="s">
        <v>1954</v>
      </c>
    </row>
    <row r="873" spans="21:21">
      <c r="U873" s="6" t="s">
        <v>1954</v>
      </c>
    </row>
    <row r="874" spans="21:21">
      <c r="U874" s="6" t="s">
        <v>1954</v>
      </c>
    </row>
    <row r="875" spans="21:21">
      <c r="U875" s="6" t="s">
        <v>1954</v>
      </c>
    </row>
    <row r="876" spans="21:21">
      <c r="U876" s="6" t="s">
        <v>1954</v>
      </c>
    </row>
    <row r="877" spans="21:21">
      <c r="U877" s="6" t="s">
        <v>1954</v>
      </c>
    </row>
    <row r="878" spans="21:21">
      <c r="U878" s="6" t="s">
        <v>1954</v>
      </c>
    </row>
    <row r="879" spans="21:21">
      <c r="U879" s="6" t="s">
        <v>1954</v>
      </c>
    </row>
    <row r="880" spans="21:21">
      <c r="U880" s="6" t="s">
        <v>1954</v>
      </c>
    </row>
    <row r="881" spans="21:21">
      <c r="U881" s="6" t="s">
        <v>1954</v>
      </c>
    </row>
    <row r="882" spans="21:21">
      <c r="U882" s="6" t="s">
        <v>1954</v>
      </c>
    </row>
    <row r="883" spans="21:21">
      <c r="U883" s="6" t="s">
        <v>1954</v>
      </c>
    </row>
    <row r="884" spans="21:21">
      <c r="U884" s="6" t="s">
        <v>1954</v>
      </c>
    </row>
    <row r="885" spans="21:21">
      <c r="U885" s="6" t="s">
        <v>1976</v>
      </c>
    </row>
    <row r="886" spans="21:21">
      <c r="U886" s="6" t="s">
        <v>1954</v>
      </c>
    </row>
    <row r="887" spans="21:21">
      <c r="U887" s="6" t="s">
        <v>1954</v>
      </c>
    </row>
    <row r="888" spans="21:21">
      <c r="U888" s="6" t="s">
        <v>1954</v>
      </c>
    </row>
    <row r="889" spans="21:21">
      <c r="U889" s="6" t="s">
        <v>1954</v>
      </c>
    </row>
    <row r="890" spans="21:21">
      <c r="U890" s="6" t="s">
        <v>1954</v>
      </c>
    </row>
    <row r="891" spans="21:21">
      <c r="U891" s="6" t="s">
        <v>1954</v>
      </c>
    </row>
    <row r="892" spans="21:21">
      <c r="U892" s="6" t="s">
        <v>1954</v>
      </c>
    </row>
    <row r="893" spans="21:21">
      <c r="U893" s="6" t="s">
        <v>1954</v>
      </c>
    </row>
    <row r="894" spans="21:21">
      <c r="U894" s="6" t="s">
        <v>1954</v>
      </c>
    </row>
    <row r="895" spans="21:21">
      <c r="U895" s="6" t="s">
        <v>1954</v>
      </c>
    </row>
    <row r="896" spans="21:21">
      <c r="U896" s="6" t="s">
        <v>1954</v>
      </c>
    </row>
    <row r="897" spans="21:21">
      <c r="U897" s="6" t="s">
        <v>1954</v>
      </c>
    </row>
    <row r="898" spans="21:21">
      <c r="U898" s="6" t="s">
        <v>1954</v>
      </c>
    </row>
    <row r="899" spans="21:21">
      <c r="U899" s="6" t="s">
        <v>1954</v>
      </c>
    </row>
    <row r="900" spans="21:21">
      <c r="U900" s="6" t="s">
        <v>1954</v>
      </c>
    </row>
    <row r="901" spans="21:21">
      <c r="U901" s="6" t="s">
        <v>1954</v>
      </c>
    </row>
    <row r="902" spans="21:21">
      <c r="U902" s="6" t="s">
        <v>1954</v>
      </c>
    </row>
    <row r="903" spans="21:21">
      <c r="U903" s="6" t="s">
        <v>1954</v>
      </c>
    </row>
    <row r="904" spans="21:21">
      <c r="U904" s="6" t="s">
        <v>1954</v>
      </c>
    </row>
    <row r="905" spans="21:21">
      <c r="U905" s="6" t="s">
        <v>1954</v>
      </c>
    </row>
    <row r="906" spans="21:21">
      <c r="U906" s="6" t="s">
        <v>1954</v>
      </c>
    </row>
    <row r="907" spans="21:21">
      <c r="U907" s="6" t="s">
        <v>1954</v>
      </c>
    </row>
    <row r="908" spans="21:21">
      <c r="U908" s="6" t="s">
        <v>1954</v>
      </c>
    </row>
    <row r="909" spans="21:21">
      <c r="U909" s="6" t="s">
        <v>1954</v>
      </c>
    </row>
    <row r="910" spans="21:21">
      <c r="U910" s="6" t="s">
        <v>1954</v>
      </c>
    </row>
    <row r="911" spans="21:21">
      <c r="U911" s="6" t="s">
        <v>1954</v>
      </c>
    </row>
    <row r="912" spans="21:21">
      <c r="U912" s="6" t="s">
        <v>1954</v>
      </c>
    </row>
    <row r="913" spans="21:21">
      <c r="U913" s="6" t="s">
        <v>1954</v>
      </c>
    </row>
    <row r="914" spans="21:21">
      <c r="U914" s="6" t="s">
        <v>1954</v>
      </c>
    </row>
    <row r="915" spans="21:21">
      <c r="U915" s="6" t="s">
        <v>1954</v>
      </c>
    </row>
    <row r="916" spans="21:21">
      <c r="U916" s="6" t="s">
        <v>1954</v>
      </c>
    </row>
    <row r="917" spans="21:21">
      <c r="U917" s="6" t="s">
        <v>1977</v>
      </c>
    </row>
    <row r="918" spans="21:21">
      <c r="U918" s="6" t="s">
        <v>1954</v>
      </c>
    </row>
    <row r="919" spans="21:21">
      <c r="U919" s="6" t="s">
        <v>1954</v>
      </c>
    </row>
    <row r="920" spans="21:21">
      <c r="U920" s="6" t="s">
        <v>1954</v>
      </c>
    </row>
    <row r="921" spans="21:21">
      <c r="U921" s="6" t="s">
        <v>1954</v>
      </c>
    </row>
    <row r="922" spans="21:21">
      <c r="U922" s="6" t="s">
        <v>1954</v>
      </c>
    </row>
    <row r="923" spans="21:21">
      <c r="U923" s="6" t="s">
        <v>1954</v>
      </c>
    </row>
    <row r="924" spans="21:21">
      <c r="U924" s="6" t="s">
        <v>1954</v>
      </c>
    </row>
    <row r="925" spans="21:21">
      <c r="U925" s="6" t="s">
        <v>1954</v>
      </c>
    </row>
    <row r="926" spans="21:21">
      <c r="U926" s="6" t="s">
        <v>1954</v>
      </c>
    </row>
    <row r="927" spans="21:21">
      <c r="U927" s="6" t="s">
        <v>1954</v>
      </c>
    </row>
    <row r="928" spans="21:21">
      <c r="U928" s="6" t="s">
        <v>1954</v>
      </c>
    </row>
    <row r="929" spans="21:21">
      <c r="U929" s="6" t="s">
        <v>1954</v>
      </c>
    </row>
    <row r="930" spans="21:21">
      <c r="U930" s="6" t="s">
        <v>1954</v>
      </c>
    </row>
    <row r="931" spans="21:21">
      <c r="U931" s="6" t="s">
        <v>1954</v>
      </c>
    </row>
    <row r="932" spans="21:21">
      <c r="U932" s="6" t="s">
        <v>1954</v>
      </c>
    </row>
    <row r="933" spans="21:21">
      <c r="U933" s="6" t="s">
        <v>1954</v>
      </c>
    </row>
    <row r="934" spans="21:21">
      <c r="U934" s="6" t="s">
        <v>1954</v>
      </c>
    </row>
    <row r="935" spans="21:21">
      <c r="U935" s="6" t="s">
        <v>1954</v>
      </c>
    </row>
    <row r="936" spans="21:21">
      <c r="U936" s="6" t="s">
        <v>1954</v>
      </c>
    </row>
    <row r="937" spans="21:21">
      <c r="U937" s="6" t="s">
        <v>1954</v>
      </c>
    </row>
    <row r="938" spans="21:21">
      <c r="U938" s="6" t="s">
        <v>1954</v>
      </c>
    </row>
    <row r="939" spans="21:21">
      <c r="U939" s="6" t="s">
        <v>1954</v>
      </c>
    </row>
    <row r="940" spans="21:21">
      <c r="U940" s="6" t="s">
        <v>1954</v>
      </c>
    </row>
    <row r="941" spans="21:21">
      <c r="U941" s="6" t="s">
        <v>1954</v>
      </c>
    </row>
    <row r="942" spans="21:21">
      <c r="U942" s="6" t="s">
        <v>1978</v>
      </c>
    </row>
    <row r="943" spans="21:21">
      <c r="U943" s="6" t="s">
        <v>1954</v>
      </c>
    </row>
    <row r="944" spans="21:21">
      <c r="U944" s="6" t="s">
        <v>1954</v>
      </c>
    </row>
    <row r="945" spans="21:21">
      <c r="U945" s="6" t="s">
        <v>1954</v>
      </c>
    </row>
    <row r="946" spans="21:21">
      <c r="U946" s="6" t="s">
        <v>1954</v>
      </c>
    </row>
    <row r="947" spans="21:21">
      <c r="U947" s="6" t="s">
        <v>1954</v>
      </c>
    </row>
    <row r="948" spans="21:21">
      <c r="U948" s="6" t="s">
        <v>1954</v>
      </c>
    </row>
    <row r="949" spans="21:21">
      <c r="U949" s="6" t="s">
        <v>1954</v>
      </c>
    </row>
    <row r="950" spans="21:21">
      <c r="U950" s="6" t="s">
        <v>1954</v>
      </c>
    </row>
    <row r="951" spans="21:21">
      <c r="U951" s="6" t="s">
        <v>1954</v>
      </c>
    </row>
    <row r="952" spans="21:21">
      <c r="U952" s="6" t="s">
        <v>1954</v>
      </c>
    </row>
    <row r="953" spans="21:21">
      <c r="U953" s="6" t="s">
        <v>1954</v>
      </c>
    </row>
    <row r="954" spans="21:21">
      <c r="U954" s="6" t="s">
        <v>1954</v>
      </c>
    </row>
    <row r="955" spans="21:21">
      <c r="U955" s="6" t="s">
        <v>1954</v>
      </c>
    </row>
    <row r="956" spans="21:21">
      <c r="U956" s="6" t="s">
        <v>1954</v>
      </c>
    </row>
    <row r="957" spans="21:21">
      <c r="U957" s="6" t="s">
        <v>1954</v>
      </c>
    </row>
    <row r="958" spans="21:21">
      <c r="U958" s="6" t="s">
        <v>1954</v>
      </c>
    </row>
    <row r="959" spans="21:21">
      <c r="U959" s="6" t="s">
        <v>1954</v>
      </c>
    </row>
    <row r="960" spans="21:21">
      <c r="U960" s="6" t="s">
        <v>1954</v>
      </c>
    </row>
    <row r="961" spans="21:21">
      <c r="U961" s="6" t="s">
        <v>1954</v>
      </c>
    </row>
    <row r="962" spans="21:21">
      <c r="U962" s="6" t="s">
        <v>1954</v>
      </c>
    </row>
    <row r="963" spans="21:21">
      <c r="U963" s="6" t="s">
        <v>1954</v>
      </c>
    </row>
    <row r="964" spans="21:21">
      <c r="U964" s="6" t="s">
        <v>1954</v>
      </c>
    </row>
    <row r="965" spans="21:21">
      <c r="U965" s="6" t="s">
        <v>1954</v>
      </c>
    </row>
    <row r="966" spans="21:21">
      <c r="U966" s="6" t="s">
        <v>1954</v>
      </c>
    </row>
    <row r="967" spans="21:21">
      <c r="U967" s="6" t="s">
        <v>1954</v>
      </c>
    </row>
    <row r="968" spans="21:21">
      <c r="U968" s="6" t="s">
        <v>1954</v>
      </c>
    </row>
    <row r="969" spans="21:21">
      <c r="U969" s="6" t="s">
        <v>1954</v>
      </c>
    </row>
    <row r="970" spans="21:21">
      <c r="U970" s="6" t="s">
        <v>1954</v>
      </c>
    </row>
    <row r="971" spans="21:21">
      <c r="U971" s="6" t="s">
        <v>1954</v>
      </c>
    </row>
    <row r="972" spans="21:21">
      <c r="U972" s="6" t="s">
        <v>1954</v>
      </c>
    </row>
    <row r="973" spans="21:21">
      <c r="U973" s="6" t="s">
        <v>1954</v>
      </c>
    </row>
    <row r="974" spans="21:21">
      <c r="U974" s="6" t="s">
        <v>1954</v>
      </c>
    </row>
    <row r="975" spans="21:21">
      <c r="U975" s="6" t="s">
        <v>1954</v>
      </c>
    </row>
    <row r="976" spans="21:21">
      <c r="U976" s="6" t="s">
        <v>1954</v>
      </c>
    </row>
    <row r="977" spans="21:21">
      <c r="U977" s="6" t="s">
        <v>1954</v>
      </c>
    </row>
    <row r="978" spans="21:21">
      <c r="U978" s="6" t="s">
        <v>1954</v>
      </c>
    </row>
    <row r="979" spans="21:21">
      <c r="U979" s="6" t="s">
        <v>1954</v>
      </c>
    </row>
    <row r="980" spans="21:21">
      <c r="U980" s="6" t="s">
        <v>1954</v>
      </c>
    </row>
    <row r="981" spans="21:21">
      <c r="U981" s="6" t="s">
        <v>1954</v>
      </c>
    </row>
    <row r="982" spans="21:21">
      <c r="U982" s="6" t="s">
        <v>1954</v>
      </c>
    </row>
    <row r="983" spans="21:21">
      <c r="U983" s="6" t="s">
        <v>1954</v>
      </c>
    </row>
    <row r="984" spans="21:21">
      <c r="U984" s="6" t="s">
        <v>1954</v>
      </c>
    </row>
    <row r="985" spans="21:21">
      <c r="U985" s="6" t="s">
        <v>1954</v>
      </c>
    </row>
    <row r="986" spans="21:21">
      <c r="U986" s="6" t="s">
        <v>1954</v>
      </c>
    </row>
    <row r="987" spans="21:21">
      <c r="U987" s="6" t="s">
        <v>1954</v>
      </c>
    </row>
    <row r="988" spans="21:21">
      <c r="U988" s="6" t="s">
        <v>1954</v>
      </c>
    </row>
    <row r="989" spans="21:21">
      <c r="U989" s="6" t="s">
        <v>1954</v>
      </c>
    </row>
    <row r="990" spans="21:21">
      <c r="U990" s="6" t="s">
        <v>1954</v>
      </c>
    </row>
    <row r="991" spans="21:21">
      <c r="U991" s="6" t="s">
        <v>1954</v>
      </c>
    </row>
    <row r="992" spans="21:21">
      <c r="U992" s="6" t="s">
        <v>1954</v>
      </c>
    </row>
    <row r="993" spans="21:21">
      <c r="U993" s="6" t="s">
        <v>1954</v>
      </c>
    </row>
    <row r="994" spans="21:21">
      <c r="U994" s="6" t="s">
        <v>1954</v>
      </c>
    </row>
    <row r="995" spans="21:21">
      <c r="U995" s="6" t="s">
        <v>1954</v>
      </c>
    </row>
    <row r="996" spans="21:21">
      <c r="U996" s="6" t="s">
        <v>1954</v>
      </c>
    </row>
    <row r="997" spans="21:21">
      <c r="U997" s="6" t="s">
        <v>1954</v>
      </c>
    </row>
    <row r="998" spans="21:21">
      <c r="U998" s="6" t="s">
        <v>1954</v>
      </c>
    </row>
    <row r="999" spans="21:21">
      <c r="U999" s="6" t="s">
        <v>1954</v>
      </c>
    </row>
    <row r="1000" spans="21:21">
      <c r="U1000" s="6" t="s">
        <v>1954</v>
      </c>
    </row>
    <row r="1001" spans="21:21">
      <c r="U1001" s="6" t="s">
        <v>1954</v>
      </c>
    </row>
    <row r="1002" spans="21:21">
      <c r="U1002" s="6" t="s">
        <v>1954</v>
      </c>
    </row>
    <row r="1003" spans="21:21">
      <c r="U1003" s="6" t="s">
        <v>1954</v>
      </c>
    </row>
    <row r="1004" spans="21:21">
      <c r="U1004" s="6" t="s">
        <v>1954</v>
      </c>
    </row>
    <row r="1005" spans="21:21">
      <c r="U1005" s="6" t="s">
        <v>1954</v>
      </c>
    </row>
    <row r="1006" spans="21:21">
      <c r="U1006" s="6" t="s">
        <v>1954</v>
      </c>
    </row>
    <row r="1007" spans="21:21">
      <c r="U1007" s="6" t="s">
        <v>1954</v>
      </c>
    </row>
    <row r="1008" spans="21:21">
      <c r="U1008" s="6" t="s">
        <v>1954</v>
      </c>
    </row>
    <row r="1009" spans="21:21">
      <c r="U1009" s="6" t="s">
        <v>1954</v>
      </c>
    </row>
    <row r="1010" spans="21:21">
      <c r="U1010" s="6" t="s">
        <v>1954</v>
      </c>
    </row>
    <row r="1011" spans="21:21">
      <c r="U1011" s="6" t="s">
        <v>1954</v>
      </c>
    </row>
    <row r="1012" spans="21:21">
      <c r="U1012" s="6" t="s">
        <v>1954</v>
      </c>
    </row>
    <row r="1013" spans="21:21">
      <c r="U1013" s="6" t="s">
        <v>1954</v>
      </c>
    </row>
    <row r="1014" spans="21:21">
      <c r="U1014" s="6" t="s">
        <v>1954</v>
      </c>
    </row>
    <row r="1015" spans="21:21">
      <c r="U1015" s="6" t="s">
        <v>1954</v>
      </c>
    </row>
    <row r="1016" spans="21:21">
      <c r="U1016" s="6" t="s">
        <v>1954</v>
      </c>
    </row>
    <row r="1017" spans="21:21">
      <c r="U1017" s="6" t="s">
        <v>1954</v>
      </c>
    </row>
    <row r="1018" spans="21:21">
      <c r="U1018" s="6" t="s">
        <v>1954</v>
      </c>
    </row>
    <row r="1019" spans="21:21">
      <c r="U1019" s="6" t="s">
        <v>1954</v>
      </c>
    </row>
    <row r="1020" spans="21:21">
      <c r="U1020" s="6" t="s">
        <v>1954</v>
      </c>
    </row>
    <row r="1021" spans="21:21">
      <c r="U1021" s="6" t="s">
        <v>1954</v>
      </c>
    </row>
    <row r="1022" spans="21:21">
      <c r="U1022" s="6" t="s">
        <v>1954</v>
      </c>
    </row>
    <row r="1023" spans="21:21">
      <c r="U1023" s="6" t="s">
        <v>1954</v>
      </c>
    </row>
    <row r="1024" spans="21:21">
      <c r="U1024" s="6" t="s">
        <v>1954</v>
      </c>
    </row>
    <row r="1025" spans="21:21">
      <c r="U1025" s="6" t="s">
        <v>1954</v>
      </c>
    </row>
    <row r="1026" spans="21:21">
      <c r="U1026" s="6" t="s">
        <v>1954</v>
      </c>
    </row>
    <row r="1027" spans="21:21">
      <c r="U1027" s="6" t="s">
        <v>1954</v>
      </c>
    </row>
    <row r="1028" spans="21:21">
      <c r="U1028" s="6" t="s">
        <v>1954</v>
      </c>
    </row>
    <row r="1029" spans="21:21">
      <c r="U1029" s="6" t="s">
        <v>1954</v>
      </c>
    </row>
    <row r="1030" spans="21:21">
      <c r="U1030" s="6" t="s">
        <v>1954</v>
      </c>
    </row>
    <row r="1031" spans="21:21">
      <c r="U1031" s="6" t="s">
        <v>1954</v>
      </c>
    </row>
    <row r="1032" spans="21:21">
      <c r="U1032" s="6" t="s">
        <v>1954</v>
      </c>
    </row>
    <row r="1033" spans="21:21">
      <c r="U1033" s="6" t="s">
        <v>1954</v>
      </c>
    </row>
    <row r="1034" spans="21:21">
      <c r="U1034" s="6" t="s">
        <v>1954</v>
      </c>
    </row>
    <row r="1035" spans="21:21">
      <c r="U1035" s="6" t="s">
        <v>1954</v>
      </c>
    </row>
    <row r="1036" spans="21:21">
      <c r="U1036" s="6" t="s">
        <v>1954</v>
      </c>
    </row>
    <row r="1037" spans="21:21">
      <c r="U1037" s="6" t="s">
        <v>1954</v>
      </c>
    </row>
    <row r="1038" spans="21:21">
      <c r="U1038" s="6" t="s">
        <v>1954</v>
      </c>
    </row>
    <row r="1039" spans="21:21">
      <c r="U1039" s="6" t="s">
        <v>1954</v>
      </c>
    </row>
    <row r="1040" spans="21:21">
      <c r="U1040" s="6" t="s">
        <v>1954</v>
      </c>
    </row>
    <row r="1041" spans="21:21">
      <c r="U1041" s="6" t="s">
        <v>1954</v>
      </c>
    </row>
    <row r="1042" spans="21:21">
      <c r="U1042" s="6" t="s">
        <v>1954</v>
      </c>
    </row>
    <row r="1043" spans="21:21">
      <c r="U1043" s="6" t="s">
        <v>1954</v>
      </c>
    </row>
    <row r="1044" spans="21:21">
      <c r="U1044" s="6" t="s">
        <v>1954</v>
      </c>
    </row>
    <row r="1045" spans="21:21">
      <c r="U1045" s="6" t="s">
        <v>1954</v>
      </c>
    </row>
    <row r="1046" spans="21:21">
      <c r="U1046" s="6" t="s">
        <v>1954</v>
      </c>
    </row>
    <row r="1047" spans="21:21">
      <c r="U1047" s="6" t="s">
        <v>1954</v>
      </c>
    </row>
    <row r="1048" spans="21:21">
      <c r="U1048" s="6" t="s">
        <v>1954</v>
      </c>
    </row>
    <row r="1049" spans="21:21">
      <c r="U1049" s="6" t="s">
        <v>1954</v>
      </c>
    </row>
    <row r="1050" spans="21:21">
      <c r="U1050" s="6" t="s">
        <v>1954</v>
      </c>
    </row>
    <row r="1051" spans="21:21">
      <c r="U1051" s="6" t="s">
        <v>1954</v>
      </c>
    </row>
    <row r="1052" spans="21:21">
      <c r="U1052" s="6" t="s">
        <v>1954</v>
      </c>
    </row>
    <row r="1053" spans="21:21">
      <c r="U1053" s="6" t="s">
        <v>1954</v>
      </c>
    </row>
    <row r="1054" spans="21:21">
      <c r="U1054" s="6" t="s">
        <v>1954</v>
      </c>
    </row>
    <row r="1055" spans="21:21">
      <c r="U1055" s="6" t="s">
        <v>1954</v>
      </c>
    </row>
    <row r="1056" spans="21:21">
      <c r="U1056" s="6" t="s">
        <v>1954</v>
      </c>
    </row>
    <row r="1057" spans="21:21">
      <c r="U1057" s="6" t="s">
        <v>1954</v>
      </c>
    </row>
    <row r="1058" spans="21:21">
      <c r="U1058" s="6" t="s">
        <v>1954</v>
      </c>
    </row>
    <row r="1059" spans="21:21">
      <c r="U1059" s="6" t="s">
        <v>1954</v>
      </c>
    </row>
    <row r="1060" spans="21:21">
      <c r="U1060" s="6" t="s">
        <v>1954</v>
      </c>
    </row>
    <row r="1061" spans="21:21">
      <c r="U1061" s="6" t="s">
        <v>1954</v>
      </c>
    </row>
    <row r="1062" spans="21:21">
      <c r="U1062" s="6" t="s">
        <v>1954</v>
      </c>
    </row>
    <row r="1063" spans="21:21">
      <c r="U1063" s="6" t="s">
        <v>1954</v>
      </c>
    </row>
    <row r="1064" spans="21:21">
      <c r="U1064" s="6" t="s">
        <v>1954</v>
      </c>
    </row>
    <row r="1065" spans="21:21">
      <c r="U1065" s="6" t="s">
        <v>1954</v>
      </c>
    </row>
    <row r="1066" spans="21:21">
      <c r="U1066" s="6" t="s">
        <v>1954</v>
      </c>
    </row>
    <row r="1067" spans="21:21">
      <c r="U1067" s="6" t="s">
        <v>1954</v>
      </c>
    </row>
    <row r="1068" spans="21:21">
      <c r="U1068" s="6" t="s">
        <v>1954</v>
      </c>
    </row>
    <row r="1069" spans="21:21">
      <c r="U1069" s="6" t="s">
        <v>1954</v>
      </c>
    </row>
    <row r="1070" spans="21:21">
      <c r="U1070" s="6" t="s">
        <v>1954</v>
      </c>
    </row>
    <row r="1071" spans="21:21">
      <c r="U1071" s="6" t="s">
        <v>1954</v>
      </c>
    </row>
    <row r="1072" spans="21:21">
      <c r="U1072" s="6" t="s">
        <v>1954</v>
      </c>
    </row>
    <row r="1073" spans="21:21">
      <c r="U1073" s="6" t="s">
        <v>1954</v>
      </c>
    </row>
    <row r="1074" spans="21:21">
      <c r="U1074" s="6" t="s">
        <v>1954</v>
      </c>
    </row>
    <row r="1075" spans="21:21">
      <c r="U1075" s="6" t="s">
        <v>1954</v>
      </c>
    </row>
    <row r="1076" spans="21:21">
      <c r="U1076" s="6" t="s">
        <v>1954</v>
      </c>
    </row>
    <row r="1077" spans="21:21">
      <c r="U1077" s="6" t="s">
        <v>1954</v>
      </c>
    </row>
    <row r="1078" spans="21:21">
      <c r="U1078" s="6" t="s">
        <v>1954</v>
      </c>
    </row>
    <row r="1079" spans="21:21">
      <c r="U1079" s="6" t="s">
        <v>1954</v>
      </c>
    </row>
    <row r="1080" spans="21:21">
      <c r="U1080" s="6" t="s">
        <v>1954</v>
      </c>
    </row>
    <row r="1081" spans="21:21">
      <c r="U1081" s="6" t="s">
        <v>1954</v>
      </c>
    </row>
    <row r="1082" spans="21:21">
      <c r="U1082" s="6" t="s">
        <v>1954</v>
      </c>
    </row>
    <row r="1083" spans="21:21">
      <c r="U1083" s="6" t="s">
        <v>1954</v>
      </c>
    </row>
    <row r="1084" spans="21:21">
      <c r="U1084" s="6" t="s">
        <v>1979</v>
      </c>
    </row>
    <row r="1085" spans="21:21">
      <c r="U1085" s="6" t="s">
        <v>1980</v>
      </c>
    </row>
    <row r="1086" spans="21:21">
      <c r="U1086" s="6" t="s">
        <v>1981</v>
      </c>
    </row>
    <row r="1087" spans="21:21">
      <c r="U1087" s="6" t="s">
        <v>1954</v>
      </c>
    </row>
    <row r="1088" spans="21:21">
      <c r="U1088" s="6" t="s">
        <v>1954</v>
      </c>
    </row>
    <row r="1089" spans="21:21">
      <c r="U1089" s="6" t="s">
        <v>1954</v>
      </c>
    </row>
    <row r="1090" spans="21:21">
      <c r="U1090" s="6" t="s">
        <v>1954</v>
      </c>
    </row>
    <row r="1091" spans="21:21">
      <c r="U1091" s="6" t="s">
        <v>1954</v>
      </c>
    </row>
    <row r="1092" spans="21:21">
      <c r="U1092" s="6" t="s">
        <v>1954</v>
      </c>
    </row>
    <row r="1093" spans="21:21">
      <c r="U1093" s="6" t="s">
        <v>1954</v>
      </c>
    </row>
    <row r="1094" spans="21:21">
      <c r="U1094" s="6" t="s">
        <v>1954</v>
      </c>
    </row>
    <row r="1095" spans="21:21">
      <c r="U1095" s="6" t="s">
        <v>1954</v>
      </c>
    </row>
    <row r="1096" spans="21:21">
      <c r="U1096" s="6" t="s">
        <v>1954</v>
      </c>
    </row>
    <row r="1097" spans="21:21">
      <c r="U1097" s="6" t="s">
        <v>1954</v>
      </c>
    </row>
    <row r="1098" spans="21:21">
      <c r="U1098" s="6" t="s">
        <v>1954</v>
      </c>
    </row>
    <row r="1099" spans="21:21">
      <c r="U1099" s="6" t="s">
        <v>1954</v>
      </c>
    </row>
    <row r="1100" spans="21:21">
      <c r="U1100" s="6" t="s">
        <v>1954</v>
      </c>
    </row>
    <row r="1101" spans="21:21">
      <c r="U1101" s="6" t="s">
        <v>1954</v>
      </c>
    </row>
    <row r="1102" spans="21:21">
      <c r="U1102" s="6" t="s">
        <v>1954</v>
      </c>
    </row>
    <row r="1103" spans="21:21">
      <c r="U1103" s="6" t="s">
        <v>1954</v>
      </c>
    </row>
    <row r="1104" spans="21:21">
      <c r="U1104" s="6" t="s">
        <v>1954</v>
      </c>
    </row>
    <row r="1105" spans="21:21">
      <c r="U1105" s="6" t="s">
        <v>1954</v>
      </c>
    </row>
    <row r="1106" spans="21:21">
      <c r="U1106" s="6" t="s">
        <v>1954</v>
      </c>
    </row>
    <row r="1107" spans="21:21">
      <c r="U1107" s="6" t="s">
        <v>1954</v>
      </c>
    </row>
    <row r="1108" spans="21:21">
      <c r="U1108" s="6" t="s">
        <v>1954</v>
      </c>
    </row>
    <row r="1109" spans="21:21">
      <c r="U1109" s="6" t="s">
        <v>1954</v>
      </c>
    </row>
    <row r="1110" spans="21:21">
      <c r="U1110" s="6" t="s">
        <v>1954</v>
      </c>
    </row>
    <row r="1111" spans="21:21">
      <c r="U1111" s="6" t="s">
        <v>1954</v>
      </c>
    </row>
    <row r="1112" spans="21:21">
      <c r="U1112" s="6" t="s">
        <v>1954</v>
      </c>
    </row>
    <row r="1113" spans="21:21">
      <c r="U1113" s="6" t="s">
        <v>1954</v>
      </c>
    </row>
    <row r="1114" spans="21:21">
      <c r="U1114" s="6" t="s">
        <v>1954</v>
      </c>
    </row>
    <row r="1115" spans="21:21">
      <c r="U1115" s="6" t="s">
        <v>1954</v>
      </c>
    </row>
    <row r="1116" spans="21:21">
      <c r="U1116" s="6" t="s">
        <v>1982</v>
      </c>
    </row>
    <row r="1117" spans="21:21">
      <c r="U1117" s="6" t="s">
        <v>1954</v>
      </c>
    </row>
    <row r="1118" spans="21:21">
      <c r="U1118" s="6" t="s">
        <v>1954</v>
      </c>
    </row>
    <row r="1119" spans="21:21">
      <c r="U1119" s="6" t="s">
        <v>1954</v>
      </c>
    </row>
    <row r="1120" spans="21:21">
      <c r="U1120" s="6" t="s">
        <v>1954</v>
      </c>
    </row>
    <row r="1121" spans="21:21">
      <c r="U1121" s="6" t="s">
        <v>1954</v>
      </c>
    </row>
    <row r="1122" spans="21:21">
      <c r="U1122" s="6" t="s">
        <v>1954</v>
      </c>
    </row>
    <row r="1123" spans="21:21">
      <c r="U1123" s="6" t="s">
        <v>1954</v>
      </c>
    </row>
    <row r="1124" spans="21:21">
      <c r="U1124" s="6" t="s">
        <v>1954</v>
      </c>
    </row>
    <row r="1125" spans="21:21">
      <c r="U1125" s="6" t="s">
        <v>1954</v>
      </c>
    </row>
    <row r="1126" spans="21:21">
      <c r="U1126" s="6" t="s">
        <v>1983</v>
      </c>
    </row>
    <row r="1127" spans="21:21">
      <c r="U1127" s="6" t="s">
        <v>1954</v>
      </c>
    </row>
    <row r="1128" spans="21:21">
      <c r="U1128" s="6" t="s">
        <v>1954</v>
      </c>
    </row>
    <row r="1129" spans="21:21">
      <c r="U1129" s="6" t="s">
        <v>1954</v>
      </c>
    </row>
    <row r="1130" spans="21:21">
      <c r="U1130" s="6" t="s">
        <v>1954</v>
      </c>
    </row>
    <row r="1131" spans="21:21">
      <c r="U1131" s="6" t="s">
        <v>1954</v>
      </c>
    </row>
    <row r="1132" spans="21:21">
      <c r="U1132" s="6" t="s">
        <v>1954</v>
      </c>
    </row>
    <row r="1133" spans="21:21">
      <c r="U1133" s="6" t="s">
        <v>1954</v>
      </c>
    </row>
    <row r="1134" spans="21:21">
      <c r="U1134" s="6" t="s">
        <v>1954</v>
      </c>
    </row>
    <row r="1135" spans="21:21">
      <c r="U1135" s="6" t="s">
        <v>1954</v>
      </c>
    </row>
    <row r="1136" spans="21:21">
      <c r="U1136" s="6" t="s">
        <v>1954</v>
      </c>
    </row>
    <row r="1137" spans="21:21">
      <c r="U1137" s="6" t="s">
        <v>1954</v>
      </c>
    </row>
    <row r="1138" spans="21:21">
      <c r="U1138" s="6" t="s">
        <v>1954</v>
      </c>
    </row>
    <row r="1139" spans="21:21">
      <c r="U1139" s="6" t="s">
        <v>1954</v>
      </c>
    </row>
    <row r="1140" spans="21:21">
      <c r="U1140" s="6" t="s">
        <v>1954</v>
      </c>
    </row>
    <row r="1141" spans="21:21">
      <c r="U1141" s="6" t="s">
        <v>1954</v>
      </c>
    </row>
    <row r="1142" spans="21:21">
      <c r="U1142" s="6" t="s">
        <v>1954</v>
      </c>
    </row>
    <row r="1143" spans="21:21">
      <c r="U1143" s="6" t="s">
        <v>1954</v>
      </c>
    </row>
    <row r="1144" spans="21:21">
      <c r="U1144" s="6" t="s">
        <v>1954</v>
      </c>
    </row>
    <row r="1145" spans="21:21">
      <c r="U1145" s="6" t="s">
        <v>1954</v>
      </c>
    </row>
    <row r="1146" spans="21:21">
      <c r="U1146" s="6" t="s">
        <v>1954</v>
      </c>
    </row>
    <row r="1147" spans="21:21">
      <c r="U1147" s="6" t="s">
        <v>1954</v>
      </c>
    </row>
    <row r="1148" spans="21:21">
      <c r="U1148" s="6" t="s">
        <v>1954</v>
      </c>
    </row>
    <row r="1149" spans="21:21">
      <c r="U1149" s="6" t="s">
        <v>1954</v>
      </c>
    </row>
    <row r="1150" spans="21:21">
      <c r="U1150" s="6" t="s">
        <v>1954</v>
      </c>
    </row>
    <row r="1151" spans="21:21">
      <c r="U1151" s="6" t="s">
        <v>1954</v>
      </c>
    </row>
    <row r="1152" spans="21:21">
      <c r="U1152" s="6" t="s">
        <v>1954</v>
      </c>
    </row>
    <row r="1153" spans="21:21">
      <c r="U1153" s="6" t="s">
        <v>1954</v>
      </c>
    </row>
    <row r="1154" spans="21:21">
      <c r="U1154" s="6" t="s">
        <v>1954</v>
      </c>
    </row>
    <row r="1155" spans="21:21">
      <c r="U1155" s="6" t="s">
        <v>1984</v>
      </c>
    </row>
    <row r="1156" spans="21:21">
      <c r="U1156" s="6" t="s">
        <v>1985</v>
      </c>
    </row>
    <row r="1157" spans="21:21">
      <c r="U1157" s="6" t="s">
        <v>1986</v>
      </c>
    </row>
    <row r="1158" spans="21:21">
      <c r="U1158" s="6" t="s">
        <v>1987</v>
      </c>
    </row>
    <row r="1159" spans="21:21">
      <c r="U1159" s="6" t="s">
        <v>1954</v>
      </c>
    </row>
    <row r="1160" spans="21:21">
      <c r="U1160" s="6" t="s">
        <v>1954</v>
      </c>
    </row>
    <row r="1161" spans="21:21">
      <c r="U1161" s="6" t="s">
        <v>1954</v>
      </c>
    </row>
    <row r="1162" spans="21:21">
      <c r="U1162" s="6" t="s">
        <v>1954</v>
      </c>
    </row>
    <row r="1163" spans="21:21">
      <c r="U1163" s="6" t="s">
        <v>1954</v>
      </c>
    </row>
    <row r="1164" spans="21:21">
      <c r="U1164" s="6" t="s">
        <v>1954</v>
      </c>
    </row>
    <row r="1165" spans="21:21">
      <c r="U1165" s="6" t="s">
        <v>1954</v>
      </c>
    </row>
    <row r="1166" spans="21:21">
      <c r="U1166" s="6" t="s">
        <v>1954</v>
      </c>
    </row>
    <row r="1167" spans="21:21">
      <c r="U1167" s="6" t="s">
        <v>1954</v>
      </c>
    </row>
    <row r="1168" spans="21:21">
      <c r="U1168" s="6" t="s">
        <v>1954</v>
      </c>
    </row>
    <row r="1169" spans="21:21">
      <c r="U1169" s="6" t="s">
        <v>1954</v>
      </c>
    </row>
    <row r="1170" spans="21:21">
      <c r="U1170" s="6" t="s">
        <v>1954</v>
      </c>
    </row>
    <row r="1171" spans="21:21">
      <c r="U1171" s="6" t="s">
        <v>1954</v>
      </c>
    </row>
    <row r="1172" spans="21:21">
      <c r="U1172" s="6" t="s">
        <v>1954</v>
      </c>
    </row>
    <row r="1173" spans="21:21">
      <c r="U1173" s="6" t="s">
        <v>1954</v>
      </c>
    </row>
    <row r="1174" spans="21:21">
      <c r="U1174" s="6" t="s">
        <v>1954</v>
      </c>
    </row>
    <row r="1175" spans="21:21">
      <c r="U1175" s="6" t="s">
        <v>1954</v>
      </c>
    </row>
    <row r="1176" spans="21:21">
      <c r="U1176" s="6" t="s">
        <v>1954</v>
      </c>
    </row>
    <row r="1177" spans="21:21">
      <c r="U1177" s="6" t="s">
        <v>1954</v>
      </c>
    </row>
    <row r="1178" spans="21:21">
      <c r="U1178" s="6" t="s">
        <v>1954</v>
      </c>
    </row>
    <row r="1179" spans="21:21">
      <c r="U1179" s="6" t="s">
        <v>1954</v>
      </c>
    </row>
    <row r="1180" spans="21:21">
      <c r="U1180" s="6" t="s">
        <v>1954</v>
      </c>
    </row>
    <row r="1181" spans="21:21">
      <c r="U1181" s="6" t="s">
        <v>1954</v>
      </c>
    </row>
    <row r="1182" spans="21:21">
      <c r="U1182" s="6" t="s">
        <v>1954</v>
      </c>
    </row>
    <row r="1183" spans="21:21">
      <c r="U1183" s="6" t="s">
        <v>1954</v>
      </c>
    </row>
    <row r="1184" spans="21:21">
      <c r="U1184" s="6" t="s">
        <v>1954</v>
      </c>
    </row>
    <row r="1185" spans="21:21">
      <c r="U1185" s="6" t="s">
        <v>1954</v>
      </c>
    </row>
    <row r="1186" spans="21:21">
      <c r="U1186" s="6" t="s">
        <v>1954</v>
      </c>
    </row>
    <row r="1187" spans="21:21">
      <c r="U1187" s="6" t="s">
        <v>1954</v>
      </c>
    </row>
    <row r="1188" spans="21:21">
      <c r="U1188" s="6" t="s">
        <v>1954</v>
      </c>
    </row>
    <row r="1189" spans="21:21">
      <c r="U1189" s="6" t="s">
        <v>1954</v>
      </c>
    </row>
    <row r="1190" spans="21:21">
      <c r="U1190" s="6" t="s">
        <v>1954</v>
      </c>
    </row>
    <row r="1191" spans="21:21">
      <c r="U1191" s="6" t="s">
        <v>1954</v>
      </c>
    </row>
    <row r="1192" spans="21:21">
      <c r="U1192" s="6" t="s">
        <v>1954</v>
      </c>
    </row>
    <row r="1193" spans="21:21">
      <c r="U1193" s="6" t="s">
        <v>1954</v>
      </c>
    </row>
    <row r="1194" spans="21:21">
      <c r="U1194" s="6" t="s">
        <v>1954</v>
      </c>
    </row>
    <row r="1195" spans="21:21">
      <c r="U1195" s="6" t="s">
        <v>1954</v>
      </c>
    </row>
    <row r="1196" spans="21:21">
      <c r="U1196" s="6" t="s">
        <v>1954</v>
      </c>
    </row>
    <row r="1197" spans="21:21">
      <c r="U1197" s="6" t="s">
        <v>1954</v>
      </c>
    </row>
    <row r="1198" spans="21:21">
      <c r="U1198" s="6" t="s">
        <v>1954</v>
      </c>
    </row>
    <row r="1199" spans="21:21">
      <c r="U1199" s="6" t="s">
        <v>1954</v>
      </c>
    </row>
    <row r="1200" spans="21:21">
      <c r="U1200" s="6" t="s">
        <v>1954</v>
      </c>
    </row>
    <row r="1201" spans="21:21">
      <c r="U1201" s="6" t="s">
        <v>1954</v>
      </c>
    </row>
    <row r="1202" spans="21:21">
      <c r="U1202" s="6" t="s">
        <v>1954</v>
      </c>
    </row>
    <row r="1203" spans="21:21">
      <c r="U1203" s="6" t="s">
        <v>1954</v>
      </c>
    </row>
    <row r="1204" spans="21:21">
      <c r="U1204" s="6" t="s">
        <v>1954</v>
      </c>
    </row>
    <row r="1205" spans="21:21">
      <c r="U1205" s="6" t="s">
        <v>1954</v>
      </c>
    </row>
    <row r="1206" spans="21:21">
      <c r="U1206" s="6" t="s">
        <v>1954</v>
      </c>
    </row>
    <row r="1207" spans="21:21">
      <c r="U1207" s="6" t="s">
        <v>1954</v>
      </c>
    </row>
    <row r="1208" spans="21:21">
      <c r="U1208" s="6" t="s">
        <v>1954</v>
      </c>
    </row>
    <row r="1209" spans="21:21">
      <c r="U1209" s="6" t="s">
        <v>1954</v>
      </c>
    </row>
    <row r="1210" spans="21:21">
      <c r="U1210" s="6" t="s">
        <v>1954</v>
      </c>
    </row>
    <row r="1211" spans="21:21">
      <c r="U1211" s="6" t="s">
        <v>1954</v>
      </c>
    </row>
    <row r="1212" spans="21:21">
      <c r="U1212" s="6" t="s">
        <v>1954</v>
      </c>
    </row>
    <row r="1213" spans="21:21">
      <c r="U1213" s="6" t="s">
        <v>1954</v>
      </c>
    </row>
    <row r="1214" spans="21:21">
      <c r="U1214" s="6" t="s">
        <v>1954</v>
      </c>
    </row>
    <row r="1215" spans="21:21">
      <c r="U1215" s="6" t="s">
        <v>1954</v>
      </c>
    </row>
    <row r="1216" spans="21:21">
      <c r="U1216" s="6" t="s">
        <v>1954</v>
      </c>
    </row>
    <row r="1217" spans="21:21">
      <c r="U1217" s="6" t="s">
        <v>1954</v>
      </c>
    </row>
    <row r="1218" spans="21:21">
      <c r="U1218" s="6" t="s">
        <v>1954</v>
      </c>
    </row>
    <row r="1219" spans="21:21">
      <c r="U1219" s="6" t="s">
        <v>1954</v>
      </c>
    </row>
    <row r="1220" spans="21:21">
      <c r="U1220" s="6" t="s">
        <v>1954</v>
      </c>
    </row>
    <row r="1221" spans="21:21">
      <c r="U1221" s="6" t="s">
        <v>1954</v>
      </c>
    </row>
    <row r="1222" spans="21:21">
      <c r="U1222" s="6" t="s">
        <v>1954</v>
      </c>
    </row>
    <row r="1223" spans="21:21">
      <c r="U1223" s="6" t="s">
        <v>1954</v>
      </c>
    </row>
    <row r="1224" spans="21:21">
      <c r="U1224" s="6" t="s">
        <v>1954</v>
      </c>
    </row>
    <row r="1225" spans="21:21">
      <c r="U1225" s="6" t="s">
        <v>1954</v>
      </c>
    </row>
    <row r="1226" spans="21:21">
      <c r="U1226" s="6" t="s">
        <v>1954</v>
      </c>
    </row>
    <row r="1227" spans="21:21">
      <c r="U1227" s="6" t="s">
        <v>1954</v>
      </c>
    </row>
    <row r="1228" spans="21:21">
      <c r="U1228" s="6" t="s">
        <v>1954</v>
      </c>
    </row>
    <row r="1229" spans="21:21">
      <c r="U1229" s="6" t="s">
        <v>1954</v>
      </c>
    </row>
    <row r="1230" spans="21:21">
      <c r="U1230" s="6" t="s">
        <v>1954</v>
      </c>
    </row>
    <row r="1231" spans="21:21">
      <c r="U1231" s="6" t="s">
        <v>1954</v>
      </c>
    </row>
    <row r="1232" spans="21:21">
      <c r="U1232" s="6" t="s">
        <v>1954</v>
      </c>
    </row>
    <row r="1233" spans="21:21">
      <c r="U1233" s="6" t="s">
        <v>1954</v>
      </c>
    </row>
    <row r="1234" spans="21:21">
      <c r="U1234" s="6" t="s">
        <v>1954</v>
      </c>
    </row>
    <row r="1235" spans="21:21">
      <c r="U1235" s="6" t="s">
        <v>1954</v>
      </c>
    </row>
    <row r="1236" spans="21:21">
      <c r="U1236" s="6" t="s">
        <v>1954</v>
      </c>
    </row>
    <row r="1237" spans="21:21">
      <c r="U1237" s="6" t="s">
        <v>1954</v>
      </c>
    </row>
    <row r="1238" spans="21:21">
      <c r="U1238" s="6" t="s">
        <v>1954</v>
      </c>
    </row>
    <row r="1239" spans="21:21">
      <c r="U1239" s="6" t="s">
        <v>1954</v>
      </c>
    </row>
    <row r="1240" spans="21:21">
      <c r="U1240" s="6" t="s">
        <v>1954</v>
      </c>
    </row>
    <row r="1241" spans="21:21">
      <c r="U1241" s="6" t="s">
        <v>1954</v>
      </c>
    </row>
    <row r="1242" spans="21:21">
      <c r="U1242" s="6" t="s">
        <v>1954</v>
      </c>
    </row>
    <row r="1243" spans="21:21">
      <c r="U1243" s="6" t="s">
        <v>1954</v>
      </c>
    </row>
    <row r="1244" spans="21:21">
      <c r="U1244" s="6" t="s">
        <v>1954</v>
      </c>
    </row>
    <row r="1245" spans="21:21">
      <c r="U1245" s="6" t="s">
        <v>1954</v>
      </c>
    </row>
    <row r="1246" spans="21:21">
      <c r="U1246" s="6" t="s">
        <v>1954</v>
      </c>
    </row>
    <row r="1247" spans="21:21">
      <c r="U1247" s="6" t="s">
        <v>1954</v>
      </c>
    </row>
    <row r="1248" spans="21:21">
      <c r="U1248" s="6" t="s">
        <v>1954</v>
      </c>
    </row>
    <row r="1249" spans="21:21">
      <c r="U1249" s="6" t="s">
        <v>1954</v>
      </c>
    </row>
    <row r="1250" spans="21:21">
      <c r="U1250" s="6" t="s">
        <v>1954</v>
      </c>
    </row>
    <row r="1251" spans="21:21">
      <c r="U1251" s="6" t="s">
        <v>1954</v>
      </c>
    </row>
    <row r="1252" spans="21:21">
      <c r="U1252" s="6" t="s">
        <v>1954</v>
      </c>
    </row>
    <row r="1253" spans="21:21">
      <c r="U1253" s="6" t="s">
        <v>1954</v>
      </c>
    </row>
    <row r="1254" spans="21:21">
      <c r="U1254" s="6" t="s">
        <v>1954</v>
      </c>
    </row>
    <row r="1255" spans="21:21">
      <c r="U1255" s="6" t="s">
        <v>1954</v>
      </c>
    </row>
    <row r="1256" spans="21:21">
      <c r="U1256" s="6" t="s">
        <v>1954</v>
      </c>
    </row>
    <row r="1257" spans="21:21">
      <c r="U1257" s="6" t="s">
        <v>1954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71"/>
  <sheetViews>
    <sheetView topLeftCell="A45" workbookViewId="0">
      <selection activeCell="E51" sqref="E51"/>
    </sheetView>
  </sheetViews>
  <sheetFormatPr defaultRowHeight="15"/>
  <cols>
    <col min="2" max="2" width="29.42578125" bestFit="1" customWidth="1"/>
  </cols>
  <sheetData>
    <row r="1" spans="1:11">
      <c r="A1" t="s">
        <v>0</v>
      </c>
      <c r="B1" t="s">
        <v>3</v>
      </c>
      <c r="C1" t="s">
        <v>505</v>
      </c>
      <c r="D1" t="s">
        <v>209</v>
      </c>
      <c r="E1" t="s">
        <v>210</v>
      </c>
      <c r="F1" t="s">
        <v>211</v>
      </c>
      <c r="G1" t="s">
        <v>212</v>
      </c>
      <c r="H1" t="s">
        <v>213</v>
      </c>
      <c r="I1" t="s">
        <v>214</v>
      </c>
    </row>
    <row r="2" spans="1:11">
      <c r="A2">
        <v>1</v>
      </c>
      <c r="B2" t="s">
        <v>506</v>
      </c>
      <c r="C2" t="s">
        <v>11</v>
      </c>
      <c r="D2">
        <v>1</v>
      </c>
      <c r="E2">
        <v>1</v>
      </c>
      <c r="F2" t="s">
        <v>507</v>
      </c>
      <c r="G2">
        <v>0</v>
      </c>
      <c r="H2">
        <v>0</v>
      </c>
      <c r="I2">
        <v>0</v>
      </c>
      <c r="J2">
        <f>A2</f>
        <v>1</v>
      </c>
      <c r="K2" t="str">
        <f>"SELECT "&amp;A2&amp;", N'"&amp;B2&amp;"', "&amp;C2&amp;" UNION ALL"</f>
        <v>SELECT 1, N'root', NULL UNION ALL</v>
      </c>
    </row>
    <row r="3" spans="1:11">
      <c r="A3">
        <v>2</v>
      </c>
      <c r="B3" t="s">
        <v>508</v>
      </c>
      <c r="C3">
        <v>1</v>
      </c>
      <c r="D3">
        <v>1</v>
      </c>
      <c r="E3">
        <v>1</v>
      </c>
      <c r="F3" t="s">
        <v>509</v>
      </c>
      <c r="G3">
        <v>0</v>
      </c>
      <c r="H3">
        <v>0</v>
      </c>
      <c r="I3">
        <v>0</v>
      </c>
      <c r="J3">
        <f t="shared" ref="J3:J39" si="0">A3</f>
        <v>2</v>
      </c>
      <c r="K3" t="str">
        <f t="shared" ref="K3:K43" si="1">"SELECT "&amp;A3&amp;", N'"&amp;B3&amp;"', "&amp;C3&amp;" UNION ALL"</f>
        <v>SELECT 2, N'Geografia', 1 UNION ALL</v>
      </c>
    </row>
    <row r="4" spans="1:11">
      <c r="A4">
        <v>3</v>
      </c>
      <c r="B4" t="s">
        <v>510</v>
      </c>
      <c r="C4">
        <v>2</v>
      </c>
      <c r="D4">
        <v>1</v>
      </c>
      <c r="E4">
        <v>1</v>
      </c>
      <c r="F4" t="s">
        <v>511</v>
      </c>
      <c r="G4">
        <v>0</v>
      </c>
      <c r="H4">
        <v>0</v>
      </c>
      <c r="I4">
        <v>0</v>
      </c>
      <c r="J4">
        <f t="shared" si="0"/>
        <v>3</v>
      </c>
      <c r="K4" t="str">
        <f t="shared" si="1"/>
        <v>SELECT 3, N'Państwa', 2 UNION ALL</v>
      </c>
    </row>
    <row r="5" spans="1:11">
      <c r="A5">
        <v>4</v>
      </c>
      <c r="B5" t="s">
        <v>555</v>
      </c>
      <c r="C5">
        <v>3</v>
      </c>
      <c r="D5">
        <v>1</v>
      </c>
      <c r="E5">
        <v>1</v>
      </c>
      <c r="F5" t="s">
        <v>512</v>
      </c>
      <c r="G5">
        <v>0</v>
      </c>
      <c r="H5">
        <v>0</v>
      </c>
      <c r="I5">
        <v>0</v>
      </c>
      <c r="J5">
        <f t="shared" si="0"/>
        <v>4</v>
      </c>
      <c r="K5" t="str">
        <f t="shared" si="1"/>
        <v>SELECT 4, N'Państwa - Europa', 3 UNION ALL</v>
      </c>
    </row>
    <row r="6" spans="1:11">
      <c r="A6">
        <v>5</v>
      </c>
      <c r="B6" t="s">
        <v>556</v>
      </c>
      <c r="C6">
        <v>3</v>
      </c>
      <c r="D6">
        <v>1</v>
      </c>
      <c r="E6">
        <v>1</v>
      </c>
      <c r="F6" t="s">
        <v>513</v>
      </c>
      <c r="G6">
        <v>0</v>
      </c>
      <c r="H6">
        <v>0</v>
      </c>
      <c r="I6">
        <v>0</v>
      </c>
      <c r="J6">
        <f t="shared" si="0"/>
        <v>5</v>
      </c>
      <c r="K6" t="str">
        <f t="shared" si="1"/>
        <v>SELECT 5, N'Państwa - Ameryka Północna', 3 UNION ALL</v>
      </c>
    </row>
    <row r="7" spans="1:11">
      <c r="A7">
        <v>6</v>
      </c>
      <c r="B7" t="s">
        <v>557</v>
      </c>
      <c r="C7">
        <v>3</v>
      </c>
      <c r="D7">
        <v>1</v>
      </c>
      <c r="E7">
        <v>1</v>
      </c>
      <c r="F7" t="s">
        <v>514</v>
      </c>
      <c r="G7">
        <v>0</v>
      </c>
      <c r="H7">
        <v>0</v>
      </c>
      <c r="I7">
        <v>0</v>
      </c>
      <c r="J7">
        <f t="shared" si="0"/>
        <v>6</v>
      </c>
      <c r="K7" t="str">
        <f t="shared" si="1"/>
        <v>SELECT 6, N'Państwa - Ameryka Południowa', 3 UNION ALL</v>
      </c>
    </row>
    <row r="8" spans="1:11">
      <c r="A8">
        <v>7</v>
      </c>
      <c r="B8" t="s">
        <v>558</v>
      </c>
      <c r="C8">
        <v>3</v>
      </c>
      <c r="D8">
        <v>1</v>
      </c>
      <c r="E8">
        <v>1</v>
      </c>
      <c r="F8" t="s">
        <v>515</v>
      </c>
      <c r="G8">
        <v>0</v>
      </c>
      <c r="H8">
        <v>0</v>
      </c>
      <c r="I8">
        <v>0</v>
      </c>
      <c r="J8">
        <f t="shared" si="0"/>
        <v>7</v>
      </c>
      <c r="K8" t="str">
        <f t="shared" si="1"/>
        <v>SELECT 7, N'Państwa - Afryka', 3 UNION ALL</v>
      </c>
    </row>
    <row r="9" spans="1:11">
      <c r="A9">
        <v>8</v>
      </c>
      <c r="B9" t="s">
        <v>559</v>
      </c>
      <c r="C9">
        <v>3</v>
      </c>
      <c r="D9">
        <v>1</v>
      </c>
      <c r="E9">
        <v>1</v>
      </c>
      <c r="F9" t="s">
        <v>516</v>
      </c>
      <c r="G9">
        <v>0</v>
      </c>
      <c r="H9">
        <v>0</v>
      </c>
      <c r="I9">
        <v>0</v>
      </c>
      <c r="J9">
        <f t="shared" si="0"/>
        <v>8</v>
      </c>
      <c r="K9" t="str">
        <f t="shared" si="1"/>
        <v>SELECT 8, N'Państwa - Azja', 3 UNION ALL</v>
      </c>
    </row>
    <row r="10" spans="1:11">
      <c r="A10">
        <v>9</v>
      </c>
      <c r="B10" t="s">
        <v>560</v>
      </c>
      <c r="C10">
        <v>3</v>
      </c>
      <c r="D10">
        <v>1</v>
      </c>
      <c r="E10">
        <v>1</v>
      </c>
      <c r="F10" t="s">
        <v>517</v>
      </c>
      <c r="G10">
        <v>0</v>
      </c>
      <c r="H10">
        <v>0</v>
      </c>
      <c r="I10">
        <v>0</v>
      </c>
      <c r="J10">
        <f t="shared" si="0"/>
        <v>9</v>
      </c>
      <c r="K10" t="str">
        <f t="shared" si="1"/>
        <v>SELECT 9, N'Państwa - Oceania', 3 UNION ALL</v>
      </c>
    </row>
    <row r="11" spans="1:11">
      <c r="A11">
        <v>10</v>
      </c>
      <c r="B11" t="s">
        <v>518</v>
      </c>
      <c r="C11">
        <v>2</v>
      </c>
      <c r="D11">
        <v>1</v>
      </c>
      <c r="E11">
        <v>0</v>
      </c>
      <c r="F11" t="s">
        <v>519</v>
      </c>
      <c r="G11">
        <v>0</v>
      </c>
      <c r="H11">
        <v>0</v>
      </c>
      <c r="I11">
        <v>0</v>
      </c>
      <c r="J11">
        <f t="shared" si="0"/>
        <v>10</v>
      </c>
      <c r="K11" t="str">
        <f t="shared" si="1"/>
        <v>SELECT 10, N'Miasta', 2 UNION ALL</v>
      </c>
    </row>
    <row r="12" spans="1:11">
      <c r="A12">
        <v>11</v>
      </c>
      <c r="B12" t="s">
        <v>1436</v>
      </c>
      <c r="C12">
        <v>2</v>
      </c>
      <c r="D12">
        <v>1</v>
      </c>
      <c r="E12">
        <v>0</v>
      </c>
      <c r="F12" t="s">
        <v>521</v>
      </c>
      <c r="G12">
        <v>0</v>
      </c>
      <c r="H12">
        <v>0</v>
      </c>
      <c r="I12">
        <v>0</v>
      </c>
      <c r="J12">
        <f t="shared" si="0"/>
        <v>11</v>
      </c>
      <c r="K12" t="str">
        <f t="shared" si="1"/>
        <v>SELECT 11, N'Akweny', 2 UNION ALL</v>
      </c>
    </row>
    <row r="13" spans="1:11">
      <c r="A13">
        <v>12</v>
      </c>
      <c r="B13" t="s">
        <v>522</v>
      </c>
      <c r="C13">
        <v>2</v>
      </c>
      <c r="D13">
        <v>1</v>
      </c>
      <c r="E13">
        <v>0</v>
      </c>
      <c r="F13" t="s">
        <v>523</v>
      </c>
      <c r="G13">
        <v>0</v>
      </c>
      <c r="H13">
        <v>0</v>
      </c>
      <c r="I13">
        <v>0</v>
      </c>
      <c r="J13">
        <f t="shared" si="0"/>
        <v>12</v>
      </c>
      <c r="K13" t="str">
        <f t="shared" si="1"/>
        <v>SELECT 12, N'Góry', 2 UNION ALL</v>
      </c>
    </row>
    <row r="14" spans="1:11">
      <c r="A14">
        <v>13</v>
      </c>
      <c r="B14" t="s">
        <v>524</v>
      </c>
      <c r="C14">
        <v>11</v>
      </c>
      <c r="D14">
        <v>1</v>
      </c>
      <c r="E14">
        <v>0</v>
      </c>
      <c r="F14" t="s">
        <v>525</v>
      </c>
      <c r="G14">
        <v>0</v>
      </c>
      <c r="H14">
        <v>0</v>
      </c>
      <c r="I14">
        <v>0</v>
      </c>
      <c r="J14">
        <f t="shared" si="0"/>
        <v>13</v>
      </c>
      <c r="K14" t="str">
        <f t="shared" si="1"/>
        <v>SELECT 13, N'Morza', 11 UNION ALL</v>
      </c>
    </row>
    <row r="15" spans="1:11">
      <c r="A15">
        <v>14</v>
      </c>
      <c r="B15" t="s">
        <v>526</v>
      </c>
      <c r="C15">
        <v>1</v>
      </c>
      <c r="D15">
        <v>1</v>
      </c>
      <c r="E15">
        <v>0</v>
      </c>
      <c r="F15" t="s">
        <v>527</v>
      </c>
      <c r="G15">
        <v>0</v>
      </c>
      <c r="H15">
        <v>0</v>
      </c>
      <c r="I15">
        <v>0</v>
      </c>
      <c r="J15">
        <f t="shared" si="0"/>
        <v>14</v>
      </c>
      <c r="K15" t="str">
        <f t="shared" si="1"/>
        <v>SELECT 14, N'Przyroda', 1 UNION ALL</v>
      </c>
    </row>
    <row r="16" spans="1:11">
      <c r="A16">
        <v>15</v>
      </c>
      <c r="B16" t="s">
        <v>528</v>
      </c>
      <c r="C16">
        <v>14</v>
      </c>
      <c r="D16">
        <v>1</v>
      </c>
      <c r="E16">
        <v>0</v>
      </c>
      <c r="F16" t="s">
        <v>529</v>
      </c>
      <c r="G16">
        <v>0</v>
      </c>
      <c r="H16">
        <v>0</v>
      </c>
      <c r="I16">
        <v>0</v>
      </c>
      <c r="J16">
        <f t="shared" si="0"/>
        <v>15</v>
      </c>
      <c r="K16" t="str">
        <f t="shared" si="1"/>
        <v>SELECT 15, N'Rośliny', 14 UNION ALL</v>
      </c>
    </row>
    <row r="17" spans="1:11">
      <c r="A17">
        <v>16</v>
      </c>
      <c r="B17" t="s">
        <v>530</v>
      </c>
      <c r="C17">
        <v>14</v>
      </c>
      <c r="D17">
        <v>1</v>
      </c>
      <c r="E17">
        <v>0</v>
      </c>
      <c r="F17" t="s">
        <v>531</v>
      </c>
      <c r="G17">
        <v>0</v>
      </c>
      <c r="H17">
        <v>0</v>
      </c>
      <c r="I17">
        <v>0</v>
      </c>
      <c r="J17">
        <f t="shared" si="0"/>
        <v>16</v>
      </c>
      <c r="K17" t="str">
        <f t="shared" si="1"/>
        <v>SELECT 16, N'Zwierzęta', 14 UNION ALL</v>
      </c>
    </row>
    <row r="18" spans="1:11">
      <c r="A18">
        <v>17</v>
      </c>
      <c r="B18" t="s">
        <v>567</v>
      </c>
      <c r="C18">
        <v>16</v>
      </c>
      <c r="D18">
        <v>1</v>
      </c>
      <c r="E18">
        <v>0</v>
      </c>
      <c r="F18" t="s">
        <v>532</v>
      </c>
      <c r="G18">
        <v>0</v>
      </c>
      <c r="H18">
        <v>0</v>
      </c>
      <c r="I18">
        <v>0</v>
      </c>
      <c r="J18">
        <f t="shared" si="0"/>
        <v>17</v>
      </c>
      <c r="K18" t="str">
        <f t="shared" si="1"/>
        <v>SELECT 17, N'Zwierzęta - Ptaki', 16 UNION ALL</v>
      </c>
    </row>
    <row r="19" spans="1:11">
      <c r="A19">
        <v>18</v>
      </c>
      <c r="B19" t="s">
        <v>561</v>
      </c>
      <c r="C19">
        <v>16</v>
      </c>
      <c r="D19">
        <v>1</v>
      </c>
      <c r="E19">
        <v>0</v>
      </c>
      <c r="F19" t="s">
        <v>533</v>
      </c>
      <c r="G19">
        <v>0</v>
      </c>
      <c r="H19">
        <v>0</v>
      </c>
      <c r="I19">
        <v>0</v>
      </c>
      <c r="J19">
        <f t="shared" si="0"/>
        <v>18</v>
      </c>
      <c r="K19" t="str">
        <f t="shared" si="1"/>
        <v>SELECT 18, N'Zwierzęta - Domowe', 16 UNION ALL</v>
      </c>
    </row>
    <row r="20" spans="1:11">
      <c r="A20">
        <v>19</v>
      </c>
      <c r="B20" t="s">
        <v>562</v>
      </c>
      <c r="C20">
        <v>16</v>
      </c>
      <c r="D20">
        <v>1</v>
      </c>
      <c r="E20">
        <v>0</v>
      </c>
      <c r="F20" t="s">
        <v>534</v>
      </c>
      <c r="G20">
        <v>0</v>
      </c>
      <c r="H20">
        <v>0</v>
      </c>
      <c r="I20">
        <v>0</v>
      </c>
      <c r="J20">
        <f t="shared" si="0"/>
        <v>19</v>
      </c>
      <c r="K20" t="str">
        <f t="shared" si="1"/>
        <v>SELECT 19, N'Zwierzęta - Gospodarcze', 16 UNION ALL</v>
      </c>
    </row>
    <row r="21" spans="1:11">
      <c r="A21">
        <v>20</v>
      </c>
      <c r="B21" t="s">
        <v>563</v>
      </c>
      <c r="C21">
        <v>16</v>
      </c>
      <c r="D21">
        <v>1</v>
      </c>
      <c r="E21">
        <v>0</v>
      </c>
      <c r="F21" t="s">
        <v>535</v>
      </c>
      <c r="G21">
        <v>0</v>
      </c>
      <c r="H21">
        <v>0</v>
      </c>
      <c r="I21">
        <v>0</v>
      </c>
      <c r="J21">
        <f t="shared" si="0"/>
        <v>20</v>
      </c>
      <c r="K21" t="str">
        <f t="shared" si="1"/>
        <v>SELECT 20, N'Zwierzęta - Ryby', 16 UNION ALL</v>
      </c>
    </row>
    <row r="22" spans="1:11">
      <c r="A22">
        <v>21</v>
      </c>
      <c r="B22" t="s">
        <v>564</v>
      </c>
      <c r="C22">
        <v>16</v>
      </c>
      <c r="D22">
        <v>1</v>
      </c>
      <c r="E22">
        <v>0</v>
      </c>
      <c r="F22" t="s">
        <v>536</v>
      </c>
      <c r="G22">
        <v>0</v>
      </c>
      <c r="H22">
        <v>0</v>
      </c>
      <c r="I22">
        <v>0</v>
      </c>
      <c r="J22">
        <f t="shared" si="0"/>
        <v>21</v>
      </c>
      <c r="K22" t="str">
        <f t="shared" si="1"/>
        <v>SELECT 21, N'Zwierzęta - Owady', 16 UNION ALL</v>
      </c>
    </row>
    <row r="23" spans="1:11">
      <c r="A23">
        <v>22</v>
      </c>
      <c r="B23" t="s">
        <v>565</v>
      </c>
      <c r="C23">
        <v>16</v>
      </c>
      <c r="D23">
        <v>1</v>
      </c>
      <c r="E23">
        <v>0</v>
      </c>
      <c r="F23" t="s">
        <v>537</v>
      </c>
      <c r="G23">
        <v>0</v>
      </c>
      <c r="H23">
        <v>0</v>
      </c>
      <c r="I23">
        <v>0</v>
      </c>
      <c r="J23">
        <f t="shared" si="0"/>
        <v>22</v>
      </c>
      <c r="K23" t="str">
        <f t="shared" si="1"/>
        <v>SELECT 22, N'Zwierzęta - Płazy i gady', 16 UNION ALL</v>
      </c>
    </row>
    <row r="24" spans="1:11">
      <c r="A24">
        <v>23</v>
      </c>
      <c r="B24" t="s">
        <v>566</v>
      </c>
      <c r="C24">
        <v>16</v>
      </c>
      <c r="D24">
        <v>1</v>
      </c>
      <c r="E24">
        <v>0</v>
      </c>
      <c r="F24" t="s">
        <v>538</v>
      </c>
      <c r="G24">
        <v>0</v>
      </c>
      <c r="H24">
        <v>0</v>
      </c>
      <c r="I24">
        <v>0</v>
      </c>
      <c r="J24">
        <f t="shared" si="0"/>
        <v>23</v>
      </c>
      <c r="K24" t="str">
        <f t="shared" si="1"/>
        <v>SELECT 23, N'Zwierzęta - Egzotyczne', 16 UNION ALL</v>
      </c>
    </row>
    <row r="25" spans="1:11">
      <c r="A25">
        <v>24</v>
      </c>
      <c r="B25" t="s">
        <v>568</v>
      </c>
      <c r="C25">
        <v>15</v>
      </c>
      <c r="D25">
        <v>1</v>
      </c>
      <c r="E25">
        <v>0</v>
      </c>
      <c r="F25" t="s">
        <v>539</v>
      </c>
      <c r="G25">
        <v>0</v>
      </c>
      <c r="H25">
        <v>0</v>
      </c>
      <c r="I25">
        <v>0</v>
      </c>
      <c r="J25">
        <f t="shared" si="0"/>
        <v>24</v>
      </c>
      <c r="K25" t="str">
        <f t="shared" si="1"/>
        <v>SELECT 24, N'Rośliny - Owoce', 15 UNION ALL</v>
      </c>
    </row>
    <row r="26" spans="1:11">
      <c r="A26">
        <v>25</v>
      </c>
      <c r="B26" t="s">
        <v>569</v>
      </c>
      <c r="C26">
        <v>15</v>
      </c>
      <c r="D26">
        <v>1</v>
      </c>
      <c r="E26">
        <v>0</v>
      </c>
      <c r="F26" t="s">
        <v>540</v>
      </c>
      <c r="G26">
        <v>0</v>
      </c>
      <c r="H26">
        <v>0</v>
      </c>
      <c r="I26">
        <v>0</v>
      </c>
      <c r="J26">
        <f t="shared" si="0"/>
        <v>25</v>
      </c>
      <c r="K26" t="str">
        <f t="shared" si="1"/>
        <v>SELECT 25, N'Rośliny - Warzywa', 15 UNION ALL</v>
      </c>
    </row>
    <row r="27" spans="1:11">
      <c r="A27">
        <v>26</v>
      </c>
      <c r="B27" t="s">
        <v>570</v>
      </c>
      <c r="C27">
        <v>15</v>
      </c>
      <c r="D27">
        <v>1</v>
      </c>
      <c r="E27">
        <v>0</v>
      </c>
      <c r="F27" t="s">
        <v>541</v>
      </c>
      <c r="G27">
        <v>0</v>
      </c>
      <c r="H27">
        <v>0</v>
      </c>
      <c r="I27">
        <v>0</v>
      </c>
      <c r="J27">
        <f t="shared" si="0"/>
        <v>26</v>
      </c>
      <c r="K27" t="str">
        <f t="shared" si="1"/>
        <v>SELECT 26, N'Rośliny - Drzewa', 15 UNION ALL</v>
      </c>
    </row>
    <row r="28" spans="1:11">
      <c r="A28">
        <v>27</v>
      </c>
      <c r="B28" t="s">
        <v>542</v>
      </c>
      <c r="C28">
        <v>1</v>
      </c>
      <c r="D28">
        <v>1</v>
      </c>
      <c r="E28">
        <v>0</v>
      </c>
      <c r="F28" t="s">
        <v>543</v>
      </c>
      <c r="G28">
        <v>0</v>
      </c>
      <c r="H28">
        <v>0</v>
      </c>
      <c r="I28">
        <v>0</v>
      </c>
      <c r="J28">
        <f t="shared" si="0"/>
        <v>27</v>
      </c>
      <c r="K28" t="str">
        <f t="shared" si="1"/>
        <v>SELECT 27, N'Osoby', 1 UNION ALL</v>
      </c>
    </row>
    <row r="29" spans="1:11">
      <c r="A29">
        <v>28</v>
      </c>
      <c r="B29" t="s">
        <v>544</v>
      </c>
      <c r="C29">
        <v>27</v>
      </c>
      <c r="D29">
        <v>1</v>
      </c>
      <c r="E29">
        <v>0</v>
      </c>
      <c r="F29" t="s">
        <v>545</v>
      </c>
      <c r="G29">
        <v>0</v>
      </c>
      <c r="H29">
        <v>0</v>
      </c>
      <c r="I29">
        <v>0</v>
      </c>
      <c r="J29">
        <f t="shared" si="0"/>
        <v>28</v>
      </c>
      <c r="K29" t="str">
        <f t="shared" si="1"/>
        <v>SELECT 28, N'Profesje', 27 UNION ALL</v>
      </c>
    </row>
    <row r="30" spans="1:11">
      <c r="A30">
        <v>29</v>
      </c>
      <c r="B30" t="s">
        <v>546</v>
      </c>
      <c r="C30">
        <v>27</v>
      </c>
      <c r="D30">
        <v>1</v>
      </c>
      <c r="E30">
        <v>0</v>
      </c>
      <c r="F30" t="s">
        <v>547</v>
      </c>
      <c r="G30">
        <v>0</v>
      </c>
      <c r="H30">
        <v>0</v>
      </c>
      <c r="I30">
        <v>0</v>
      </c>
      <c r="J30">
        <f t="shared" si="0"/>
        <v>29</v>
      </c>
      <c r="K30" t="str">
        <f t="shared" si="1"/>
        <v>SELECT 29, N'Narodowości', 27 UNION ALL</v>
      </c>
    </row>
    <row r="31" spans="1:11">
      <c r="A31">
        <v>30</v>
      </c>
      <c r="B31" t="s">
        <v>548</v>
      </c>
      <c r="C31">
        <v>27</v>
      </c>
      <c r="D31">
        <v>1</v>
      </c>
      <c r="E31">
        <v>0</v>
      </c>
      <c r="F31" t="s">
        <v>549</v>
      </c>
      <c r="G31">
        <v>0</v>
      </c>
      <c r="H31">
        <v>0</v>
      </c>
      <c r="I31">
        <v>0</v>
      </c>
      <c r="J31">
        <f t="shared" si="0"/>
        <v>30</v>
      </c>
      <c r="K31" t="str">
        <f t="shared" si="1"/>
        <v>SELECT 30, N'Rodzina', 27 UNION ALL</v>
      </c>
    </row>
    <row r="32" spans="1:11">
      <c r="A32">
        <v>41</v>
      </c>
      <c r="B32" t="s">
        <v>551</v>
      </c>
      <c r="C32">
        <v>2</v>
      </c>
      <c r="D32">
        <v>1</v>
      </c>
      <c r="E32">
        <v>0</v>
      </c>
      <c r="F32" t="s">
        <v>552</v>
      </c>
      <c r="G32">
        <v>0</v>
      </c>
      <c r="H32">
        <v>0</v>
      </c>
      <c r="I32">
        <v>0</v>
      </c>
      <c r="J32">
        <f t="shared" si="0"/>
        <v>41</v>
      </c>
      <c r="K32" t="str">
        <f t="shared" si="1"/>
        <v>SELECT 41, N'Kontynenty', 2 UNION ALL</v>
      </c>
    </row>
    <row r="33" spans="1:11">
      <c r="A33">
        <v>42</v>
      </c>
      <c r="B33" t="s">
        <v>553</v>
      </c>
      <c r="C33">
        <v>2</v>
      </c>
      <c r="D33">
        <v>1</v>
      </c>
      <c r="E33">
        <v>0</v>
      </c>
      <c r="F33" t="s">
        <v>554</v>
      </c>
      <c r="G33">
        <v>0</v>
      </c>
      <c r="H33">
        <v>0</v>
      </c>
      <c r="I33">
        <v>0</v>
      </c>
      <c r="J33">
        <f t="shared" si="0"/>
        <v>42</v>
      </c>
      <c r="K33" t="str">
        <f t="shared" si="1"/>
        <v>SELECT 42, N'Wyspy', 2 UNION ALL</v>
      </c>
    </row>
    <row r="34" spans="1:11">
      <c r="A34">
        <f>A33+1</f>
        <v>43</v>
      </c>
      <c r="B34" t="s">
        <v>991</v>
      </c>
      <c r="C34">
        <v>2</v>
      </c>
      <c r="D34">
        <v>1</v>
      </c>
      <c r="E34">
        <v>0</v>
      </c>
      <c r="J34">
        <f t="shared" si="0"/>
        <v>43</v>
      </c>
      <c r="K34" t="str">
        <f t="shared" si="1"/>
        <v>SELECT 43, N'Krainy', 2 UNION ALL</v>
      </c>
    </row>
    <row r="35" spans="1:11">
      <c r="A35">
        <f>A34+1</f>
        <v>44</v>
      </c>
      <c r="B35" t="s">
        <v>992</v>
      </c>
      <c r="C35">
        <v>43</v>
      </c>
      <c r="D35">
        <v>1</v>
      </c>
      <c r="E35">
        <v>0</v>
      </c>
      <c r="J35">
        <f t="shared" si="0"/>
        <v>44</v>
      </c>
      <c r="K35" t="str">
        <f t="shared" si="1"/>
        <v>SELECT 44, N'Krainy - Europa', 43 UNION ALL</v>
      </c>
    </row>
    <row r="36" spans="1:11">
      <c r="A36">
        <f t="shared" ref="A36:A71" si="2">A35+1</f>
        <v>45</v>
      </c>
      <c r="B36" t="s">
        <v>993</v>
      </c>
      <c r="C36">
        <v>43</v>
      </c>
      <c r="D36">
        <v>1</v>
      </c>
      <c r="E36">
        <v>0</v>
      </c>
      <c r="J36">
        <f t="shared" si="0"/>
        <v>45</v>
      </c>
      <c r="K36" t="str">
        <f t="shared" si="1"/>
        <v>SELECT 45, N'Krainy - Ameryka', 43 UNION ALL</v>
      </c>
    </row>
    <row r="37" spans="1:11">
      <c r="A37">
        <f t="shared" si="2"/>
        <v>46</v>
      </c>
      <c r="B37" t="s">
        <v>994</v>
      </c>
      <c r="C37">
        <v>43</v>
      </c>
      <c r="D37">
        <v>1</v>
      </c>
      <c r="E37">
        <v>0</v>
      </c>
      <c r="J37">
        <f t="shared" si="0"/>
        <v>46</v>
      </c>
      <c r="K37" t="str">
        <f t="shared" si="1"/>
        <v>SELECT 46, N'Krainy - Azja', 43 UNION ALL</v>
      </c>
    </row>
    <row r="38" spans="1:11">
      <c r="A38">
        <f t="shared" si="2"/>
        <v>47</v>
      </c>
      <c r="B38" t="s">
        <v>995</v>
      </c>
      <c r="C38">
        <v>43</v>
      </c>
      <c r="D38">
        <v>1</v>
      </c>
      <c r="E38">
        <v>0</v>
      </c>
      <c r="J38">
        <f t="shared" si="0"/>
        <v>47</v>
      </c>
      <c r="K38" t="str">
        <f t="shared" si="1"/>
        <v>SELECT 47, N'Krainy - Afryka', 43 UNION ALL</v>
      </c>
    </row>
    <row r="39" spans="1:11">
      <c r="A39">
        <f t="shared" si="2"/>
        <v>48</v>
      </c>
      <c r="B39" t="s">
        <v>1036</v>
      </c>
      <c r="C39">
        <v>1</v>
      </c>
      <c r="D39">
        <v>1</v>
      </c>
      <c r="E39">
        <v>0</v>
      </c>
      <c r="J39">
        <f t="shared" si="0"/>
        <v>48</v>
      </c>
      <c r="K39" t="str">
        <f t="shared" si="1"/>
        <v>SELECT 48, N'Kolory', 1 UNION ALL</v>
      </c>
    </row>
    <row r="40" spans="1:11">
      <c r="A40">
        <f t="shared" si="2"/>
        <v>49</v>
      </c>
      <c r="B40" t="s">
        <v>1047</v>
      </c>
      <c r="C40">
        <v>1</v>
      </c>
      <c r="D40">
        <v>1</v>
      </c>
      <c r="E40">
        <v>0</v>
      </c>
      <c r="J40">
        <f t="shared" ref="J40:J43" si="3">A40</f>
        <v>49</v>
      </c>
      <c r="K40" t="str">
        <f t="shared" si="1"/>
        <v>SELECT 49, N'Czas', 1 UNION ALL</v>
      </c>
    </row>
    <row r="41" spans="1:11">
      <c r="A41">
        <f t="shared" si="2"/>
        <v>50</v>
      </c>
      <c r="B41" t="s">
        <v>1048</v>
      </c>
      <c r="C41">
        <v>49</v>
      </c>
      <c r="D41">
        <v>1</v>
      </c>
      <c r="E41">
        <v>0</v>
      </c>
      <c r="J41">
        <f t="shared" si="3"/>
        <v>50</v>
      </c>
      <c r="K41" t="str">
        <f t="shared" si="1"/>
        <v>SELECT 50, N'Dni tygodnia i miesiące', 49 UNION ALL</v>
      </c>
    </row>
    <row r="42" spans="1:11">
      <c r="A42">
        <f t="shared" si="2"/>
        <v>51</v>
      </c>
      <c r="B42" t="s">
        <v>1049</v>
      </c>
      <c r="C42">
        <v>49</v>
      </c>
      <c r="D42">
        <v>1</v>
      </c>
      <c r="E42">
        <v>0</v>
      </c>
      <c r="J42">
        <f t="shared" si="3"/>
        <v>51</v>
      </c>
      <c r="K42" t="str">
        <f t="shared" si="1"/>
        <v>SELECT 51, N'Jednostki czasu', 49 UNION ALL</v>
      </c>
    </row>
    <row r="43" spans="1:11">
      <c r="A43" s="6">
        <f t="shared" si="2"/>
        <v>52</v>
      </c>
      <c r="B43" s="6" t="s">
        <v>1430</v>
      </c>
      <c r="C43">
        <v>1</v>
      </c>
      <c r="D43" s="6">
        <v>1</v>
      </c>
      <c r="E43" s="6">
        <v>0</v>
      </c>
      <c r="J43" s="6">
        <f t="shared" si="3"/>
        <v>52</v>
      </c>
      <c r="K43" t="str">
        <f t="shared" si="1"/>
        <v>SELECT 52, N'Społeczeństwo', 1 UNION ALL</v>
      </c>
    </row>
    <row r="44" spans="1:11">
      <c r="A44" s="6">
        <f t="shared" si="2"/>
        <v>53</v>
      </c>
      <c r="B44" s="6" t="s">
        <v>1431</v>
      </c>
      <c r="C44" s="6">
        <v>1</v>
      </c>
      <c r="D44" s="6">
        <v>1</v>
      </c>
      <c r="E44" s="6">
        <v>0</v>
      </c>
      <c r="F44" s="6"/>
      <c r="G44" s="6"/>
      <c r="H44" s="6"/>
      <c r="I44" s="6"/>
      <c r="J44" s="6">
        <f t="shared" ref="J44:J50" si="4">A44</f>
        <v>53</v>
      </c>
      <c r="K44" s="6" t="str">
        <f t="shared" ref="K44:K50" si="5">"SELECT "&amp;A44&amp;", N'"&amp;B44&amp;"', "&amp;C44&amp;" UNION ALL"</f>
        <v>SELECT 53, N'Środowisko', 1 UNION ALL</v>
      </c>
    </row>
    <row r="45" spans="1:11">
      <c r="A45" s="6">
        <f t="shared" si="2"/>
        <v>54</v>
      </c>
      <c r="B45" t="s">
        <v>1426</v>
      </c>
      <c r="C45">
        <v>1</v>
      </c>
      <c r="D45" s="6">
        <v>1</v>
      </c>
      <c r="E45" s="6">
        <v>0</v>
      </c>
      <c r="F45" s="6"/>
      <c r="G45" s="6"/>
      <c r="H45" s="6"/>
      <c r="I45" s="6"/>
      <c r="J45" s="6">
        <f t="shared" si="4"/>
        <v>54</v>
      </c>
      <c r="K45" s="6" t="str">
        <f t="shared" si="5"/>
        <v>SELECT 54, N'Komunikacja', 1 UNION ALL</v>
      </c>
    </row>
    <row r="46" spans="1:11">
      <c r="A46" s="6">
        <f t="shared" si="2"/>
        <v>55</v>
      </c>
      <c r="B46" t="s">
        <v>1440</v>
      </c>
      <c r="C46" s="6">
        <v>1</v>
      </c>
      <c r="D46" s="6">
        <v>1</v>
      </c>
      <c r="E46" s="6">
        <v>0</v>
      </c>
      <c r="J46" s="6">
        <f t="shared" si="4"/>
        <v>55</v>
      </c>
      <c r="K46" s="6" t="str">
        <f t="shared" si="5"/>
        <v>SELECT 55, N'Dom', 1 UNION ALL</v>
      </c>
    </row>
    <row r="47" spans="1:11">
      <c r="A47" s="6">
        <f t="shared" si="2"/>
        <v>56</v>
      </c>
      <c r="B47" t="s">
        <v>1441</v>
      </c>
      <c r="C47" s="6">
        <v>57</v>
      </c>
      <c r="D47" s="6">
        <v>1</v>
      </c>
      <c r="E47" s="6">
        <v>0</v>
      </c>
      <c r="J47" s="6">
        <f t="shared" si="4"/>
        <v>56</v>
      </c>
      <c r="K47" s="6" t="str">
        <f t="shared" si="5"/>
        <v>SELECT 56, N'Dom - kuchnia', 57 UNION ALL</v>
      </c>
    </row>
    <row r="48" spans="1:11">
      <c r="A48" s="6">
        <f t="shared" si="2"/>
        <v>57</v>
      </c>
      <c r="B48" t="s">
        <v>1442</v>
      </c>
      <c r="C48" s="6">
        <v>57</v>
      </c>
      <c r="D48" s="6">
        <v>1</v>
      </c>
      <c r="E48" s="6">
        <v>0</v>
      </c>
      <c r="J48" s="6">
        <f t="shared" si="4"/>
        <v>57</v>
      </c>
      <c r="K48" s="6" t="str">
        <f t="shared" si="5"/>
        <v>SELECT 57, N'Dom - łazienka', 57 UNION ALL</v>
      </c>
    </row>
    <row r="49" spans="1:11">
      <c r="A49" s="6">
        <f t="shared" si="2"/>
        <v>58</v>
      </c>
      <c r="B49" t="s">
        <v>1443</v>
      </c>
      <c r="C49" s="6">
        <v>57</v>
      </c>
      <c r="D49" s="6">
        <v>1</v>
      </c>
      <c r="E49" s="6">
        <v>0</v>
      </c>
      <c r="J49" s="6">
        <f t="shared" si="4"/>
        <v>58</v>
      </c>
      <c r="K49" s="6" t="str">
        <f t="shared" si="5"/>
        <v>SELECT 58, N'Dom - pokój', 57 UNION ALL</v>
      </c>
    </row>
    <row r="50" spans="1:11">
      <c r="A50" s="6">
        <f t="shared" si="2"/>
        <v>59</v>
      </c>
      <c r="B50" t="s">
        <v>1427</v>
      </c>
      <c r="C50" s="6">
        <v>54</v>
      </c>
      <c r="D50" s="6">
        <v>1</v>
      </c>
      <c r="E50" s="6">
        <v>0</v>
      </c>
      <c r="J50" s="6">
        <f t="shared" si="4"/>
        <v>59</v>
      </c>
      <c r="K50" t="str">
        <f t="shared" si="5"/>
        <v>SELECT 59, N'Komunikacja - Media', 54 UNION ALL</v>
      </c>
    </row>
    <row r="51" spans="1:11">
      <c r="A51" s="6">
        <f t="shared" si="2"/>
        <v>60</v>
      </c>
      <c r="B51" t="s">
        <v>1428</v>
      </c>
      <c r="C51" s="6">
        <v>54</v>
      </c>
      <c r="D51" s="6">
        <v>1</v>
      </c>
      <c r="E51" s="6">
        <v>0</v>
      </c>
      <c r="J51" s="6">
        <f t="shared" ref="J51" si="6">A51</f>
        <v>60</v>
      </c>
      <c r="K51" s="6" t="str">
        <f t="shared" ref="K51" si="7">"SELECT "&amp;A51&amp;", N'"&amp;B51&amp;"', "&amp;C51&amp;" UNION ALL"</f>
        <v>SELECT 60, N'Komunikacja - Transport', 54 UNION ALL</v>
      </c>
    </row>
    <row r="52" spans="1:11">
      <c r="A52" s="6">
        <f t="shared" si="2"/>
        <v>61</v>
      </c>
      <c r="B52" t="s">
        <v>1429</v>
      </c>
      <c r="C52" s="6">
        <v>1</v>
      </c>
      <c r="D52" s="6">
        <v>1</v>
      </c>
      <c r="E52" s="6">
        <v>0</v>
      </c>
      <c r="J52" s="6">
        <f t="shared" ref="J52" si="8">A52</f>
        <v>61</v>
      </c>
      <c r="K52" s="6" t="str">
        <f t="shared" ref="K52" si="9">"SELECT "&amp;A52&amp;", N'"&amp;B52&amp;"', "&amp;C52&amp;" UNION ALL"</f>
        <v>SELECT 61, N'Człowiek', 1 UNION ALL</v>
      </c>
    </row>
    <row r="53" spans="1:11">
      <c r="A53" s="6">
        <f t="shared" si="2"/>
        <v>62</v>
      </c>
      <c r="B53" t="s">
        <v>1421</v>
      </c>
      <c r="C53" s="6">
        <v>52</v>
      </c>
      <c r="D53" s="6">
        <v>1</v>
      </c>
      <c r="E53" s="6">
        <v>0</v>
      </c>
      <c r="J53" s="6">
        <f t="shared" ref="J53" si="10">A53</f>
        <v>62</v>
      </c>
      <c r="K53" s="6" t="str">
        <f t="shared" ref="K53" si="11">"SELECT "&amp;A53&amp;", N'"&amp;B53&amp;"', "&amp;C53&amp;" UNION ALL"</f>
        <v>SELECT 62, N'Instytucje', 52 UNION ALL</v>
      </c>
    </row>
    <row r="54" spans="1:11">
      <c r="A54" s="6">
        <f t="shared" si="2"/>
        <v>63</v>
      </c>
      <c r="B54" t="s">
        <v>1423</v>
      </c>
      <c r="C54" s="6">
        <v>54</v>
      </c>
      <c r="D54" s="6">
        <v>1</v>
      </c>
      <c r="E54" s="6">
        <v>0</v>
      </c>
      <c r="J54" s="6">
        <f t="shared" ref="J54" si="12">A54</f>
        <v>63</v>
      </c>
      <c r="K54" s="6" t="str">
        <f t="shared" ref="K54" si="13">"SELECT "&amp;A54&amp;", N'"&amp;B54&amp;"', "&amp;C54&amp;" UNION ALL"</f>
        <v>SELECT 63, N'Obiekty topograficzne', 54 UNION ALL</v>
      </c>
    </row>
    <row r="55" spans="1:11">
      <c r="A55" s="6">
        <f t="shared" si="2"/>
        <v>64</v>
      </c>
      <c r="B55" t="s">
        <v>1422</v>
      </c>
      <c r="C55" s="6">
        <v>54</v>
      </c>
      <c r="D55" s="6">
        <v>1</v>
      </c>
      <c r="E55" s="6">
        <v>0</v>
      </c>
      <c r="F55" s="6"/>
      <c r="G55" s="6"/>
      <c r="H55" s="6"/>
      <c r="I55" s="6"/>
      <c r="J55" s="6">
        <f t="shared" ref="J55" si="14">A55</f>
        <v>64</v>
      </c>
      <c r="K55" s="6" t="str">
        <f t="shared" ref="K55" si="15">"SELECT "&amp;A55&amp;", N'"&amp;B55&amp;"', "&amp;C55&amp;" UNION ALL"</f>
        <v>SELECT 64, N'Budynki', 54 UNION ALL</v>
      </c>
    </row>
    <row r="56" spans="1:11">
      <c r="A56" s="6">
        <f t="shared" si="2"/>
        <v>65</v>
      </c>
      <c r="B56" t="s">
        <v>1432</v>
      </c>
      <c r="C56" s="6">
        <v>1</v>
      </c>
      <c r="D56" s="6">
        <v>1</v>
      </c>
      <c r="E56" s="6">
        <v>0</v>
      </c>
      <c r="J56" s="6">
        <f t="shared" ref="J56" si="16">A56</f>
        <v>65</v>
      </c>
      <c r="K56" s="6" t="str">
        <f t="shared" ref="K56" si="17">"SELECT "&amp;A56&amp;", N'"&amp;B56&amp;"', "&amp;C56&amp;" UNION ALL"</f>
        <v>SELECT 65, N'Rozrywka', 1 UNION ALL</v>
      </c>
    </row>
    <row r="57" spans="1:11">
      <c r="A57" s="6">
        <f t="shared" si="2"/>
        <v>66</v>
      </c>
      <c r="B57" t="s">
        <v>1433</v>
      </c>
      <c r="C57">
        <v>66</v>
      </c>
      <c r="D57" s="6">
        <v>1</v>
      </c>
      <c r="E57" s="6">
        <v>0</v>
      </c>
      <c r="J57" s="6">
        <f t="shared" ref="J57:J59" si="18">A57</f>
        <v>66</v>
      </c>
      <c r="K57" s="6" t="str">
        <f t="shared" ref="K57:K59" si="19">"SELECT "&amp;A57&amp;", N'"&amp;B57&amp;"', "&amp;C57&amp;" UNION ALL"</f>
        <v>SELECT 66, N'Sport', 66 UNION ALL</v>
      </c>
    </row>
    <row r="58" spans="1:11">
      <c r="A58" s="6">
        <f t="shared" si="2"/>
        <v>67</v>
      </c>
      <c r="B58" t="s">
        <v>1435</v>
      </c>
      <c r="C58" s="6">
        <v>66</v>
      </c>
      <c r="D58" s="6">
        <v>1</v>
      </c>
      <c r="E58" s="6">
        <v>0</v>
      </c>
      <c r="J58" s="6">
        <f t="shared" si="18"/>
        <v>67</v>
      </c>
      <c r="K58" s="6" t="str">
        <f t="shared" si="19"/>
        <v>SELECT 67, N'Sztuka', 66 UNION ALL</v>
      </c>
    </row>
    <row r="59" spans="1:11">
      <c r="A59" s="6">
        <f t="shared" si="2"/>
        <v>68</v>
      </c>
      <c r="B59" t="s">
        <v>1434</v>
      </c>
      <c r="C59" s="6">
        <v>66</v>
      </c>
      <c r="D59" s="6">
        <v>1</v>
      </c>
      <c r="E59" s="6">
        <v>0</v>
      </c>
      <c r="J59" s="6">
        <f t="shared" si="18"/>
        <v>68</v>
      </c>
      <c r="K59" s="6" t="str">
        <f t="shared" si="19"/>
        <v>SELECT 68, N'Zabawa', 66 UNION ALL</v>
      </c>
    </row>
    <row r="60" spans="1:11">
      <c r="A60" s="6">
        <f t="shared" si="2"/>
        <v>69</v>
      </c>
      <c r="B60" t="s">
        <v>520</v>
      </c>
      <c r="C60">
        <v>11</v>
      </c>
      <c r="D60" s="6">
        <v>1</v>
      </c>
      <c r="E60" s="6">
        <v>0</v>
      </c>
      <c r="J60" s="6">
        <f t="shared" ref="J60:J62" si="20">A60</f>
        <v>69</v>
      </c>
      <c r="K60" s="6" t="str">
        <f t="shared" ref="K60:K62" si="21">"SELECT "&amp;A60&amp;", N'"&amp;B60&amp;"', "&amp;C60&amp;" UNION ALL"</f>
        <v>SELECT 69, N'Rzeki', 11 UNION ALL</v>
      </c>
    </row>
    <row r="61" spans="1:11">
      <c r="A61" s="6">
        <f t="shared" si="2"/>
        <v>70</v>
      </c>
      <c r="B61" t="s">
        <v>1437</v>
      </c>
      <c r="C61" s="6">
        <v>11</v>
      </c>
      <c r="D61" s="6">
        <v>1</v>
      </c>
      <c r="E61" s="6">
        <v>0</v>
      </c>
      <c r="J61" s="6">
        <f t="shared" si="20"/>
        <v>70</v>
      </c>
      <c r="K61" s="6" t="str">
        <f t="shared" si="21"/>
        <v>SELECT 70, N'Jeziora', 11 UNION ALL</v>
      </c>
    </row>
    <row r="62" spans="1:11">
      <c r="A62" s="6">
        <f t="shared" si="2"/>
        <v>71</v>
      </c>
      <c r="B62" t="s">
        <v>1439</v>
      </c>
      <c r="C62">
        <v>1</v>
      </c>
      <c r="D62" s="6">
        <v>1</v>
      </c>
      <c r="E62" s="6">
        <v>0</v>
      </c>
      <c r="J62" s="6">
        <f t="shared" si="20"/>
        <v>71</v>
      </c>
      <c r="K62" t="str">
        <f t="shared" si="21"/>
        <v>SELECT 71, N'Jedzenie', 1 UNION ALL</v>
      </c>
    </row>
    <row r="63" spans="1:11">
      <c r="A63" s="6">
        <f t="shared" si="2"/>
        <v>72</v>
      </c>
      <c r="B63" t="s">
        <v>550</v>
      </c>
      <c r="C63" s="6">
        <v>1</v>
      </c>
      <c r="D63" s="6">
        <v>1</v>
      </c>
      <c r="E63" s="6">
        <v>0</v>
      </c>
      <c r="J63" s="6">
        <f t="shared" ref="J63" si="22">A63</f>
        <v>72</v>
      </c>
      <c r="K63" s="6" t="str">
        <f t="shared" ref="K63" si="23">"SELECT "&amp;A63&amp;", N'"&amp;B63&amp;"', "&amp;C63&amp;" UNION ALL"</f>
        <v>SELECT 72, N'Przedmioty', 1 UNION ALL</v>
      </c>
    </row>
    <row r="64" spans="1:11">
      <c r="A64" s="6">
        <f t="shared" si="2"/>
        <v>73</v>
      </c>
      <c r="B64" t="s">
        <v>1444</v>
      </c>
      <c r="C64" s="6">
        <v>72</v>
      </c>
      <c r="D64" s="6">
        <v>1</v>
      </c>
      <c r="E64" s="6">
        <v>0</v>
      </c>
      <c r="J64" s="6">
        <f t="shared" ref="J64" si="24">A64</f>
        <v>73</v>
      </c>
      <c r="K64" s="6" t="str">
        <f t="shared" ref="K64" si="25">"SELECT "&amp;A64&amp;", N'"&amp;B64&amp;"', "&amp;C64&amp;" UNION ALL"</f>
        <v>SELECT 73, N'Przedmioty - warsztat', 72 UNION ALL</v>
      </c>
    </row>
    <row r="65" spans="1:11">
      <c r="A65" s="6">
        <f t="shared" si="2"/>
        <v>74</v>
      </c>
      <c r="B65" t="s">
        <v>1445</v>
      </c>
      <c r="C65" s="6">
        <v>72</v>
      </c>
      <c r="D65" s="6">
        <v>1</v>
      </c>
      <c r="E65" s="6">
        <v>0</v>
      </c>
      <c r="J65" s="6">
        <f t="shared" ref="J65" si="26">A65</f>
        <v>74</v>
      </c>
      <c r="K65" s="6" t="str">
        <f t="shared" ref="K65" si="27">"SELECT "&amp;A65&amp;", N'"&amp;B65&amp;"', "&amp;C65&amp;" UNION ALL"</f>
        <v>SELECT 74, N'Przedmioty - szkoła', 72 UNION ALL</v>
      </c>
    </row>
    <row r="66" spans="1:11">
      <c r="A66" s="6">
        <f t="shared" si="2"/>
        <v>75</v>
      </c>
      <c r="B66" t="s">
        <v>1446</v>
      </c>
      <c r="C66" s="6">
        <v>61</v>
      </c>
      <c r="D66" s="6">
        <v>1</v>
      </c>
      <c r="E66" s="6">
        <v>0</v>
      </c>
      <c r="F66" s="6"/>
      <c r="G66" s="6"/>
      <c r="H66" s="6"/>
      <c r="I66" s="6"/>
      <c r="J66" s="6">
        <f t="shared" ref="J66" si="28">A66</f>
        <v>75</v>
      </c>
      <c r="K66" s="6" t="str">
        <f t="shared" ref="K66" si="29">"SELECT "&amp;A66&amp;", N'"&amp;B66&amp;"', "&amp;C66&amp;" UNION ALL"</f>
        <v>SELECT 75, N'Człowiek - części ciała', 61 UNION ALL</v>
      </c>
    </row>
    <row r="67" spans="1:11">
      <c r="A67" s="6">
        <f t="shared" si="2"/>
        <v>76</v>
      </c>
      <c r="B67" t="s">
        <v>1447</v>
      </c>
      <c r="C67" s="6">
        <v>61</v>
      </c>
      <c r="D67" s="6">
        <v>1</v>
      </c>
      <c r="E67" s="6">
        <v>0</v>
      </c>
      <c r="F67" s="6"/>
      <c r="G67" s="6"/>
      <c r="H67" s="6"/>
      <c r="I67" s="6"/>
      <c r="J67" s="6">
        <f t="shared" ref="J67:J68" si="30">A67</f>
        <v>76</v>
      </c>
      <c r="K67" s="6" t="str">
        <f t="shared" ref="K67:K68" si="31">"SELECT "&amp;A67&amp;", N'"&amp;B67&amp;"', "&amp;C67&amp;" UNION ALL"</f>
        <v>SELECT 76, N'Człowiek - uczucia', 61 UNION ALL</v>
      </c>
    </row>
    <row r="68" spans="1:11">
      <c r="A68" s="6">
        <f t="shared" si="2"/>
        <v>77</v>
      </c>
      <c r="B68" s="6" t="s">
        <v>1480</v>
      </c>
      <c r="C68">
        <v>54</v>
      </c>
      <c r="D68" s="6">
        <v>1</v>
      </c>
      <c r="E68" s="6">
        <v>0</v>
      </c>
      <c r="J68" s="6">
        <f t="shared" si="30"/>
        <v>77</v>
      </c>
      <c r="K68" t="str">
        <f t="shared" si="31"/>
        <v>SELECT 77, N'Komunikacja - Informacje', 54 UNION ALL</v>
      </c>
    </row>
    <row r="69" spans="1:11">
      <c r="A69" s="6">
        <f t="shared" si="2"/>
        <v>78</v>
      </c>
      <c r="B69" t="s">
        <v>1481</v>
      </c>
      <c r="C69" s="6">
        <v>65</v>
      </c>
      <c r="D69" s="6">
        <v>1</v>
      </c>
      <c r="E69" s="6">
        <v>0</v>
      </c>
      <c r="J69" s="6">
        <f t="shared" ref="J69" si="32">A69</f>
        <v>78</v>
      </c>
      <c r="K69" s="6" t="str">
        <f t="shared" ref="K69" si="33">"SELECT "&amp;A69&amp;", N'"&amp;B69&amp;"', "&amp;C69&amp;" UNION ALL"</f>
        <v>SELECT 78, N'Nagrody', 65 UNION ALL</v>
      </c>
    </row>
    <row r="70" spans="1:11">
      <c r="A70" s="6">
        <f t="shared" si="2"/>
        <v>79</v>
      </c>
      <c r="B70" t="s">
        <v>1482</v>
      </c>
      <c r="C70" s="6">
        <v>65</v>
      </c>
      <c r="D70" s="6">
        <v>1</v>
      </c>
      <c r="E70" s="6">
        <v>0</v>
      </c>
      <c r="J70" s="6">
        <f t="shared" ref="J70:J71" si="34">A70</f>
        <v>79</v>
      </c>
      <c r="K70" s="6" t="str">
        <f t="shared" ref="K70:K71" si="35">"SELECT "&amp;A70&amp;", N'"&amp;B70&amp;"', "&amp;C70&amp;" UNION ALL"</f>
        <v>SELECT 79, N'Prawo', 65 UNION ALL</v>
      </c>
    </row>
    <row r="71" spans="1:11">
      <c r="A71" s="6">
        <f t="shared" si="2"/>
        <v>80</v>
      </c>
      <c r="B71" t="s">
        <v>1483</v>
      </c>
      <c r="C71" s="6">
        <v>65</v>
      </c>
      <c r="D71" s="6">
        <v>1</v>
      </c>
      <c r="E71" s="6">
        <v>0</v>
      </c>
      <c r="J71" s="6">
        <f t="shared" si="34"/>
        <v>80</v>
      </c>
      <c r="K71" s="6" t="str">
        <f t="shared" si="35"/>
        <v>SELECT 80, N'Prawo - przestępstwa', 65 UNION ALL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A1184"/>
  <sheetViews>
    <sheetView tabSelected="1" workbookViewId="0"/>
  </sheetViews>
  <sheetFormatPr defaultRowHeight="15"/>
  <cols>
    <col min="6" max="11" width="0" hidden="1" customWidth="1"/>
    <col min="13" max="13" width="17.42578125" customWidth="1"/>
  </cols>
  <sheetData>
    <row r="1" spans="1:27">
      <c r="A1" t="s">
        <v>0</v>
      </c>
      <c r="B1" t="s">
        <v>572</v>
      </c>
      <c r="C1" t="s">
        <v>1</v>
      </c>
      <c r="D1" t="s">
        <v>3</v>
      </c>
      <c r="E1" t="s">
        <v>208</v>
      </c>
      <c r="F1" t="s">
        <v>209</v>
      </c>
      <c r="G1" t="s">
        <v>210</v>
      </c>
      <c r="H1" t="s">
        <v>211</v>
      </c>
      <c r="I1" t="s">
        <v>212</v>
      </c>
      <c r="J1" t="s">
        <v>213</v>
      </c>
      <c r="K1" t="s">
        <v>214</v>
      </c>
      <c r="L1" t="s">
        <v>573</v>
      </c>
      <c r="N1" t="s">
        <v>972</v>
      </c>
      <c r="R1" t="s">
        <v>976</v>
      </c>
      <c r="S1" t="s">
        <v>977</v>
      </c>
      <c r="T1" t="s">
        <v>978</v>
      </c>
      <c r="U1" t="s">
        <v>979</v>
      </c>
      <c r="X1" t="s">
        <v>0</v>
      </c>
      <c r="Y1" t="s">
        <v>973</v>
      </c>
      <c r="Z1" t="s">
        <v>974</v>
      </c>
      <c r="AA1" t="s">
        <v>975</v>
      </c>
    </row>
    <row r="2" spans="1:27">
      <c r="A2">
        <v>1</v>
      </c>
      <c r="B2">
        <v>1</v>
      </c>
      <c r="C2">
        <v>1</v>
      </c>
      <c r="D2" t="s">
        <v>215</v>
      </c>
      <c r="E2">
        <v>10</v>
      </c>
      <c r="F2">
        <v>1</v>
      </c>
      <c r="G2">
        <v>1</v>
      </c>
      <c r="H2" t="s">
        <v>574</v>
      </c>
      <c r="I2">
        <v>0</v>
      </c>
      <c r="J2">
        <v>0</v>
      </c>
      <c r="K2">
        <v>0</v>
      </c>
      <c r="L2">
        <v>1</v>
      </c>
      <c r="N2" t="str">
        <f>"SELECT "&amp;A2&amp;", "&amp;B2&amp;", "&amp;C2&amp;", '"&amp;D2&amp;"', "&amp;E2&amp;", "&amp;L2&amp;" UNION ALL"</f>
        <v>SELECT 1, 1, 1, 'Polska', 10, 1 UNION ALL</v>
      </c>
      <c r="R2">
        <v>1</v>
      </c>
      <c r="S2" t="s">
        <v>980</v>
      </c>
      <c r="X2">
        <v>1</v>
      </c>
      <c r="Y2">
        <v>1</v>
      </c>
      <c r="Z2">
        <v>1</v>
      </c>
      <c r="AA2">
        <v>2</v>
      </c>
    </row>
    <row r="3" spans="1:27">
      <c r="A3">
        <v>2</v>
      </c>
      <c r="B3">
        <v>1</v>
      </c>
      <c r="C3">
        <v>2</v>
      </c>
      <c r="D3" t="s">
        <v>575</v>
      </c>
      <c r="E3">
        <v>10</v>
      </c>
      <c r="F3">
        <v>1</v>
      </c>
      <c r="G3">
        <v>1</v>
      </c>
      <c r="H3" t="s">
        <v>576</v>
      </c>
      <c r="I3">
        <v>0</v>
      </c>
      <c r="J3">
        <v>0</v>
      </c>
      <c r="K3">
        <v>0</v>
      </c>
      <c r="L3">
        <v>1</v>
      </c>
      <c r="N3" t="str">
        <f t="shared" ref="N3:N66" si="0">"SELECT "&amp;A3&amp;", "&amp;B3&amp;", "&amp;C3&amp;", '"&amp;D3&amp;"', "&amp;E3&amp;", "&amp;L3&amp;" UNION ALL"</f>
        <v>SELECT 2, 1, 2, 'Poland', 10, 1 UNION ALL</v>
      </c>
      <c r="S3" t="s">
        <v>980</v>
      </c>
      <c r="X3">
        <v>2</v>
      </c>
      <c r="Y3">
        <v>1</v>
      </c>
      <c r="Z3">
        <v>2</v>
      </c>
      <c r="AA3">
        <v>4</v>
      </c>
    </row>
    <row r="4" spans="1:27">
      <c r="A4">
        <v>3</v>
      </c>
      <c r="B4">
        <v>2</v>
      </c>
      <c r="C4">
        <v>1</v>
      </c>
      <c r="D4" t="s">
        <v>217</v>
      </c>
      <c r="E4">
        <v>10</v>
      </c>
      <c r="F4">
        <v>1</v>
      </c>
      <c r="G4">
        <v>1</v>
      </c>
      <c r="H4" t="s">
        <v>577</v>
      </c>
      <c r="I4">
        <v>0</v>
      </c>
      <c r="J4">
        <v>0</v>
      </c>
      <c r="K4">
        <v>0</v>
      </c>
      <c r="L4">
        <v>1</v>
      </c>
      <c r="N4" t="str">
        <f t="shared" si="0"/>
        <v>SELECT 3, 2, 1, 'pies', 10, 1 UNION ALL</v>
      </c>
      <c r="S4" t="s">
        <v>981</v>
      </c>
      <c r="X4">
        <v>4</v>
      </c>
      <c r="Y4">
        <v>1</v>
      </c>
      <c r="Z4">
        <v>3</v>
      </c>
      <c r="AA4">
        <v>0</v>
      </c>
    </row>
    <row r="5" spans="1:27">
      <c r="A5">
        <v>4</v>
      </c>
      <c r="B5">
        <v>1</v>
      </c>
      <c r="C5">
        <v>3</v>
      </c>
      <c r="D5" t="s">
        <v>578</v>
      </c>
      <c r="E5">
        <v>10</v>
      </c>
      <c r="F5">
        <v>1</v>
      </c>
      <c r="G5">
        <v>1</v>
      </c>
      <c r="H5" t="s">
        <v>579</v>
      </c>
      <c r="I5">
        <v>0</v>
      </c>
      <c r="J5">
        <v>0</v>
      </c>
      <c r="K5">
        <v>0</v>
      </c>
      <c r="L5">
        <v>0</v>
      </c>
      <c r="N5" t="str">
        <f t="shared" si="0"/>
        <v>SELECT 4, 1, 3, 'Polonia', 10, 0 UNION ALL</v>
      </c>
      <c r="X5">
        <v>5</v>
      </c>
      <c r="Y5">
        <v>3</v>
      </c>
      <c r="Z5">
        <v>1</v>
      </c>
      <c r="AA5">
        <v>1</v>
      </c>
    </row>
    <row r="6" spans="1:27">
      <c r="A6">
        <v>5</v>
      </c>
      <c r="B6">
        <v>1</v>
      </c>
      <c r="C6">
        <v>4</v>
      </c>
      <c r="D6" t="s">
        <v>578</v>
      </c>
      <c r="E6">
        <v>10</v>
      </c>
      <c r="F6">
        <v>1</v>
      </c>
      <c r="G6">
        <v>1</v>
      </c>
      <c r="H6" t="s">
        <v>580</v>
      </c>
      <c r="I6">
        <v>0</v>
      </c>
      <c r="J6">
        <v>0</v>
      </c>
      <c r="K6">
        <v>0</v>
      </c>
      <c r="L6">
        <v>0</v>
      </c>
      <c r="N6" t="str">
        <f t="shared" si="0"/>
        <v>SELECT 5, 1, 4, 'Polonia', 10, 0 UNION ALL</v>
      </c>
      <c r="X6">
        <v>6</v>
      </c>
      <c r="Y6">
        <v>3</v>
      </c>
      <c r="Z6">
        <v>2</v>
      </c>
      <c r="AA6">
        <v>6</v>
      </c>
    </row>
    <row r="7" spans="1:27">
      <c r="A7">
        <v>6</v>
      </c>
      <c r="B7">
        <v>2</v>
      </c>
      <c r="C7">
        <v>2</v>
      </c>
      <c r="D7" t="s">
        <v>581</v>
      </c>
      <c r="E7">
        <v>10</v>
      </c>
      <c r="F7">
        <v>1</v>
      </c>
      <c r="G7">
        <v>1</v>
      </c>
      <c r="H7" t="s">
        <v>582</v>
      </c>
      <c r="I7">
        <v>0</v>
      </c>
      <c r="J7">
        <v>0</v>
      </c>
      <c r="K7">
        <v>0</v>
      </c>
      <c r="L7">
        <v>1</v>
      </c>
      <c r="N7" t="str">
        <f t="shared" si="0"/>
        <v>SELECT 6, 2, 2, 'dog', 10, 1 UNION ALL</v>
      </c>
      <c r="X7">
        <v>7</v>
      </c>
      <c r="Y7">
        <v>3</v>
      </c>
      <c r="Z7">
        <v>3</v>
      </c>
      <c r="AA7">
        <v>0</v>
      </c>
    </row>
    <row r="8" spans="1:27">
      <c r="A8">
        <v>7</v>
      </c>
      <c r="B8">
        <v>2</v>
      </c>
      <c r="C8">
        <v>3</v>
      </c>
      <c r="D8" t="s">
        <v>583</v>
      </c>
      <c r="E8">
        <v>10</v>
      </c>
      <c r="F8">
        <v>1</v>
      </c>
      <c r="G8">
        <v>1</v>
      </c>
      <c r="H8" t="s">
        <v>584</v>
      </c>
      <c r="I8">
        <v>0</v>
      </c>
      <c r="J8">
        <v>0</v>
      </c>
      <c r="K8">
        <v>0</v>
      </c>
      <c r="L8">
        <v>0</v>
      </c>
      <c r="N8" t="str">
        <f t="shared" si="0"/>
        <v>SELECT 7, 2, 3, 'perro', 10, 0 UNION ALL</v>
      </c>
      <c r="X8">
        <v>8</v>
      </c>
      <c r="Y8">
        <v>11</v>
      </c>
      <c r="Z8">
        <v>1</v>
      </c>
      <c r="AA8">
        <v>1</v>
      </c>
    </row>
    <row r="9" spans="1:27">
      <c r="A9">
        <v>8</v>
      </c>
      <c r="B9">
        <v>2</v>
      </c>
      <c r="C9">
        <v>4</v>
      </c>
      <c r="D9" t="s">
        <v>585</v>
      </c>
      <c r="E9">
        <v>10</v>
      </c>
      <c r="F9">
        <v>1</v>
      </c>
      <c r="G9">
        <v>1</v>
      </c>
      <c r="H9" t="s">
        <v>586</v>
      </c>
      <c r="I9">
        <v>0</v>
      </c>
      <c r="J9">
        <v>0</v>
      </c>
      <c r="K9">
        <v>0</v>
      </c>
      <c r="L9">
        <v>0</v>
      </c>
      <c r="N9" t="str">
        <f t="shared" si="0"/>
        <v>SELECT 8, 2, 4, 'cane', 10, 0 UNION ALL</v>
      </c>
      <c r="X9">
        <v>9</v>
      </c>
      <c r="Y9">
        <v>11</v>
      </c>
      <c r="Z9">
        <v>2</v>
      </c>
      <c r="AA9">
        <v>5</v>
      </c>
    </row>
    <row r="10" spans="1:27">
      <c r="A10">
        <v>11</v>
      </c>
      <c r="B10">
        <v>4</v>
      </c>
      <c r="C10">
        <v>1</v>
      </c>
      <c r="D10" t="s">
        <v>219</v>
      </c>
      <c r="E10">
        <v>10</v>
      </c>
      <c r="F10">
        <v>1</v>
      </c>
      <c r="G10">
        <v>1</v>
      </c>
      <c r="H10" t="s">
        <v>587</v>
      </c>
      <c r="I10">
        <v>0</v>
      </c>
      <c r="J10">
        <v>0</v>
      </c>
      <c r="K10">
        <v>0</v>
      </c>
      <c r="L10">
        <v>1</v>
      </c>
      <c r="N10" t="str">
        <f t="shared" si="0"/>
        <v>SELECT 11, 4, 1, 'Włochy', 10, 1 UNION ALL</v>
      </c>
      <c r="X10">
        <v>10</v>
      </c>
      <c r="Y10">
        <v>11</v>
      </c>
      <c r="Z10">
        <v>3</v>
      </c>
      <c r="AA10">
        <v>0</v>
      </c>
    </row>
    <row r="11" spans="1:27">
      <c r="A11">
        <v>12</v>
      </c>
      <c r="B11">
        <v>4</v>
      </c>
      <c r="C11">
        <v>2</v>
      </c>
      <c r="D11" t="s">
        <v>588</v>
      </c>
      <c r="E11">
        <v>10</v>
      </c>
      <c r="F11">
        <v>1</v>
      </c>
      <c r="G11">
        <v>1</v>
      </c>
      <c r="H11" t="s">
        <v>587</v>
      </c>
      <c r="I11">
        <v>0</v>
      </c>
      <c r="J11">
        <v>0</v>
      </c>
      <c r="K11">
        <v>0</v>
      </c>
      <c r="L11">
        <v>1</v>
      </c>
      <c r="N11" t="str">
        <f t="shared" si="0"/>
        <v>SELECT 12, 4, 2, 'Italy', 10, 1 UNION ALL</v>
      </c>
      <c r="X11">
        <v>11</v>
      </c>
      <c r="Y11">
        <v>15</v>
      </c>
      <c r="Z11">
        <v>1</v>
      </c>
      <c r="AA11">
        <v>2</v>
      </c>
    </row>
    <row r="12" spans="1:27">
      <c r="A12">
        <v>13</v>
      </c>
      <c r="B12">
        <v>4</v>
      </c>
      <c r="C12">
        <v>3</v>
      </c>
      <c r="D12" t="s">
        <v>589</v>
      </c>
      <c r="E12">
        <v>10</v>
      </c>
      <c r="F12">
        <v>1</v>
      </c>
      <c r="G12">
        <v>1</v>
      </c>
      <c r="H12" t="s">
        <v>590</v>
      </c>
      <c r="I12">
        <v>0</v>
      </c>
      <c r="J12">
        <v>0</v>
      </c>
      <c r="K12">
        <v>0</v>
      </c>
      <c r="L12">
        <v>0</v>
      </c>
      <c r="N12" t="str">
        <f t="shared" si="0"/>
        <v>SELECT 13, 4, 3, 'Italia', 10, 0 UNION ALL</v>
      </c>
      <c r="X12">
        <v>12</v>
      </c>
      <c r="Y12">
        <v>15</v>
      </c>
      <c r="Z12">
        <v>2</v>
      </c>
      <c r="AA12">
        <v>4</v>
      </c>
    </row>
    <row r="13" spans="1:27">
      <c r="A13">
        <v>14</v>
      </c>
      <c r="B13">
        <v>4</v>
      </c>
      <c r="C13">
        <v>4</v>
      </c>
      <c r="D13" t="s">
        <v>589</v>
      </c>
      <c r="E13">
        <v>10</v>
      </c>
      <c r="F13">
        <v>1</v>
      </c>
      <c r="G13">
        <v>1</v>
      </c>
      <c r="H13" t="s">
        <v>590</v>
      </c>
      <c r="I13">
        <v>0</v>
      </c>
      <c r="J13">
        <v>0</v>
      </c>
      <c r="K13">
        <v>0</v>
      </c>
      <c r="L13">
        <v>0</v>
      </c>
      <c r="N13" t="str">
        <f t="shared" si="0"/>
        <v>SELECT 14, 4, 4, 'Italia', 10, 0 UNION ALL</v>
      </c>
      <c r="X13">
        <v>13</v>
      </c>
      <c r="Y13">
        <v>15</v>
      </c>
      <c r="Z13">
        <v>3</v>
      </c>
      <c r="AA13">
        <v>0</v>
      </c>
    </row>
    <row r="14" spans="1:27">
      <c r="A14">
        <v>15</v>
      </c>
      <c r="B14">
        <v>5</v>
      </c>
      <c r="C14">
        <v>1</v>
      </c>
      <c r="D14" t="s">
        <v>221</v>
      </c>
      <c r="E14">
        <v>10</v>
      </c>
      <c r="F14">
        <v>1</v>
      </c>
      <c r="G14">
        <v>1</v>
      </c>
      <c r="H14" t="s">
        <v>222</v>
      </c>
      <c r="I14">
        <v>0</v>
      </c>
      <c r="J14">
        <v>0</v>
      </c>
      <c r="K14">
        <v>0</v>
      </c>
      <c r="L14">
        <v>1</v>
      </c>
      <c r="N14" t="str">
        <f t="shared" si="0"/>
        <v>SELECT 15, 5, 1, 'Hiszpania', 10, 1 UNION ALL</v>
      </c>
      <c r="X14">
        <v>14</v>
      </c>
      <c r="Y14">
        <v>19</v>
      </c>
      <c r="Z14">
        <v>1</v>
      </c>
      <c r="AA14">
        <v>2</v>
      </c>
    </row>
    <row r="15" spans="1:27">
      <c r="A15">
        <v>16</v>
      </c>
      <c r="B15">
        <v>5</v>
      </c>
      <c r="C15">
        <v>2</v>
      </c>
      <c r="D15" t="s">
        <v>591</v>
      </c>
      <c r="E15">
        <v>10</v>
      </c>
      <c r="F15">
        <v>1</v>
      </c>
      <c r="G15">
        <v>1</v>
      </c>
      <c r="H15" t="s">
        <v>222</v>
      </c>
      <c r="I15">
        <v>0</v>
      </c>
      <c r="J15">
        <v>0</v>
      </c>
      <c r="K15">
        <v>0</v>
      </c>
      <c r="L15">
        <v>1</v>
      </c>
      <c r="N15" t="str">
        <f t="shared" si="0"/>
        <v>SELECT 16, 5, 2, 'Spain', 10, 1 UNION ALL</v>
      </c>
      <c r="X15">
        <v>15</v>
      </c>
      <c r="Y15">
        <v>19</v>
      </c>
      <c r="Z15">
        <v>2</v>
      </c>
      <c r="AA15">
        <v>4</v>
      </c>
    </row>
    <row r="16" spans="1:27">
      <c r="A16">
        <v>17</v>
      </c>
      <c r="B16">
        <v>5</v>
      </c>
      <c r="C16">
        <v>3</v>
      </c>
      <c r="D16" t="s">
        <v>592</v>
      </c>
      <c r="E16">
        <v>10</v>
      </c>
      <c r="F16">
        <v>1</v>
      </c>
      <c r="G16">
        <v>1</v>
      </c>
      <c r="H16" t="s">
        <v>222</v>
      </c>
      <c r="I16">
        <v>0</v>
      </c>
      <c r="J16">
        <v>0</v>
      </c>
      <c r="K16">
        <v>0</v>
      </c>
      <c r="L16">
        <v>0</v>
      </c>
      <c r="N16" t="str">
        <f t="shared" si="0"/>
        <v>SELECT 17, 5, 3, 'España', 10, 0 UNION ALL</v>
      </c>
      <c r="X16">
        <v>16</v>
      </c>
      <c r="Y16">
        <v>19</v>
      </c>
      <c r="Z16">
        <v>3</v>
      </c>
      <c r="AA16">
        <v>0</v>
      </c>
    </row>
    <row r="17" spans="1:27">
      <c r="A17">
        <v>18</v>
      </c>
      <c r="B17">
        <v>5</v>
      </c>
      <c r="C17">
        <v>4</v>
      </c>
      <c r="D17" t="s">
        <v>593</v>
      </c>
      <c r="E17">
        <v>10</v>
      </c>
      <c r="F17">
        <v>1</v>
      </c>
      <c r="G17">
        <v>1</v>
      </c>
      <c r="H17" t="s">
        <v>222</v>
      </c>
      <c r="I17">
        <v>0</v>
      </c>
      <c r="J17">
        <v>0</v>
      </c>
      <c r="K17">
        <v>0</v>
      </c>
      <c r="L17">
        <v>0</v>
      </c>
      <c r="N17" t="str">
        <f t="shared" si="0"/>
        <v>SELECT 18, 5, 4, 'Spagna', 10, 0 UNION ALL</v>
      </c>
      <c r="X17">
        <v>17</v>
      </c>
      <c r="Y17">
        <v>35</v>
      </c>
      <c r="Z17">
        <v>1</v>
      </c>
      <c r="AA17">
        <v>2</v>
      </c>
    </row>
    <row r="18" spans="1:27">
      <c r="A18">
        <v>19</v>
      </c>
      <c r="B18">
        <v>6</v>
      </c>
      <c r="C18">
        <v>1</v>
      </c>
      <c r="D18" t="s">
        <v>223</v>
      </c>
      <c r="E18">
        <v>10</v>
      </c>
      <c r="F18">
        <v>1</v>
      </c>
      <c r="G18">
        <v>1</v>
      </c>
      <c r="H18" t="s">
        <v>224</v>
      </c>
      <c r="I18">
        <v>0</v>
      </c>
      <c r="J18">
        <v>0</v>
      </c>
      <c r="K18">
        <v>0</v>
      </c>
      <c r="L18">
        <v>1</v>
      </c>
      <c r="N18" t="str">
        <f t="shared" si="0"/>
        <v>SELECT 19, 6, 1, 'Francja', 10, 1 UNION ALL</v>
      </c>
      <c r="X18">
        <v>18</v>
      </c>
      <c r="Y18">
        <v>35</v>
      </c>
      <c r="Z18">
        <v>2</v>
      </c>
      <c r="AA18">
        <v>4</v>
      </c>
    </row>
    <row r="19" spans="1:27">
      <c r="A19">
        <v>20</v>
      </c>
      <c r="B19">
        <v>6</v>
      </c>
      <c r="C19">
        <v>2</v>
      </c>
      <c r="D19" t="s">
        <v>594</v>
      </c>
      <c r="E19">
        <v>10</v>
      </c>
      <c r="F19">
        <v>1</v>
      </c>
      <c r="G19">
        <v>1</v>
      </c>
      <c r="H19" t="s">
        <v>224</v>
      </c>
      <c r="I19">
        <v>0</v>
      </c>
      <c r="J19">
        <v>0</v>
      </c>
      <c r="K19">
        <v>0</v>
      </c>
      <c r="L19">
        <v>1</v>
      </c>
      <c r="N19" t="str">
        <f t="shared" si="0"/>
        <v>SELECT 20, 6, 2, 'France', 10, 1 UNION ALL</v>
      </c>
      <c r="X19">
        <v>19</v>
      </c>
      <c r="Y19">
        <v>35</v>
      </c>
      <c r="Z19">
        <v>3</v>
      </c>
      <c r="AA19">
        <v>0</v>
      </c>
    </row>
    <row r="20" spans="1:27">
      <c r="A20">
        <v>21</v>
      </c>
      <c r="B20">
        <v>6</v>
      </c>
      <c r="C20">
        <v>3</v>
      </c>
      <c r="D20" t="s">
        <v>595</v>
      </c>
      <c r="E20">
        <v>10</v>
      </c>
      <c r="F20">
        <v>1</v>
      </c>
      <c r="G20">
        <v>1</v>
      </c>
      <c r="H20" t="s">
        <v>224</v>
      </c>
      <c r="I20">
        <v>0</v>
      </c>
      <c r="J20">
        <v>0</v>
      </c>
      <c r="K20">
        <v>0</v>
      </c>
      <c r="L20">
        <v>0</v>
      </c>
      <c r="N20" t="str">
        <f t="shared" si="0"/>
        <v>SELECT 21, 6, 3, 'Francia', 10, 0 UNION ALL</v>
      </c>
      <c r="X20">
        <v>20</v>
      </c>
      <c r="Y20">
        <v>1</v>
      </c>
      <c r="Z20">
        <v>4</v>
      </c>
      <c r="AA20">
        <v>1</v>
      </c>
    </row>
    <row r="21" spans="1:27">
      <c r="A21">
        <v>22</v>
      </c>
      <c r="B21">
        <v>6</v>
      </c>
      <c r="C21">
        <v>4</v>
      </c>
      <c r="D21" t="s">
        <v>595</v>
      </c>
      <c r="E21">
        <v>10</v>
      </c>
      <c r="F21">
        <v>1</v>
      </c>
      <c r="G21">
        <v>1</v>
      </c>
      <c r="H21" t="s">
        <v>224</v>
      </c>
      <c r="I21">
        <v>0</v>
      </c>
      <c r="J21">
        <v>0</v>
      </c>
      <c r="K21">
        <v>0</v>
      </c>
      <c r="L21">
        <v>0</v>
      </c>
      <c r="N21" t="str">
        <f t="shared" si="0"/>
        <v>SELECT 22, 6, 4, 'Francia', 10, 0 UNION ALL</v>
      </c>
      <c r="X21">
        <v>21</v>
      </c>
      <c r="Y21">
        <v>11</v>
      </c>
      <c r="Z21">
        <v>4</v>
      </c>
      <c r="AA21">
        <v>1</v>
      </c>
    </row>
    <row r="22" spans="1:27">
      <c r="A22">
        <v>23</v>
      </c>
      <c r="B22">
        <v>9</v>
      </c>
      <c r="C22">
        <v>1</v>
      </c>
      <c r="D22" t="s">
        <v>225</v>
      </c>
      <c r="E22">
        <v>10</v>
      </c>
      <c r="F22">
        <v>1</v>
      </c>
      <c r="G22">
        <v>1</v>
      </c>
      <c r="H22" t="s">
        <v>226</v>
      </c>
      <c r="I22">
        <v>0</v>
      </c>
      <c r="J22">
        <v>0</v>
      </c>
      <c r="K22">
        <v>0</v>
      </c>
      <c r="L22">
        <v>1</v>
      </c>
      <c r="N22" t="str">
        <f t="shared" si="0"/>
        <v>SELECT 23, 9, 1, 'Niemcy', 10, 1 UNION ALL</v>
      </c>
      <c r="X22">
        <v>22</v>
      </c>
      <c r="Y22">
        <v>15</v>
      </c>
      <c r="Z22">
        <v>4</v>
      </c>
      <c r="AA22">
        <v>1</v>
      </c>
    </row>
    <row r="23" spans="1:27">
      <c r="A23">
        <v>24</v>
      </c>
      <c r="B23">
        <v>9</v>
      </c>
      <c r="C23">
        <v>2</v>
      </c>
      <c r="D23" t="s">
        <v>596</v>
      </c>
      <c r="E23">
        <v>10</v>
      </c>
      <c r="F23">
        <v>1</v>
      </c>
      <c r="G23">
        <v>1</v>
      </c>
      <c r="H23" t="s">
        <v>226</v>
      </c>
      <c r="I23">
        <v>0</v>
      </c>
      <c r="J23">
        <v>0</v>
      </c>
      <c r="K23">
        <v>0</v>
      </c>
      <c r="L23">
        <v>1</v>
      </c>
      <c r="N23" t="str">
        <f t="shared" si="0"/>
        <v>SELECT 24, 9, 2, 'Germany', 10, 1 UNION ALL</v>
      </c>
      <c r="X23">
        <v>23</v>
      </c>
      <c r="Y23">
        <v>19</v>
      </c>
      <c r="Z23">
        <v>4</v>
      </c>
      <c r="AA23">
        <v>1</v>
      </c>
    </row>
    <row r="24" spans="1:27">
      <c r="A24">
        <v>25</v>
      </c>
      <c r="B24">
        <v>9</v>
      </c>
      <c r="C24">
        <v>3</v>
      </c>
      <c r="D24" t="s">
        <v>597</v>
      </c>
      <c r="E24">
        <v>10</v>
      </c>
      <c r="F24">
        <v>1</v>
      </c>
      <c r="G24">
        <v>1</v>
      </c>
      <c r="H24" t="s">
        <v>226</v>
      </c>
      <c r="I24">
        <v>0</v>
      </c>
      <c r="J24">
        <v>0</v>
      </c>
      <c r="K24">
        <v>0</v>
      </c>
      <c r="L24">
        <v>0</v>
      </c>
      <c r="N24" t="str">
        <f t="shared" si="0"/>
        <v>SELECT 25, 9, 3, 'Alemania', 10, 0 UNION ALL</v>
      </c>
      <c r="X24">
        <v>24</v>
      </c>
      <c r="Y24">
        <v>23</v>
      </c>
      <c r="Z24">
        <v>1</v>
      </c>
      <c r="AA24">
        <v>3</v>
      </c>
    </row>
    <row r="25" spans="1:27">
      <c r="A25">
        <v>26</v>
      </c>
      <c r="B25">
        <v>9</v>
      </c>
      <c r="C25">
        <v>4</v>
      </c>
      <c r="D25" t="s">
        <v>598</v>
      </c>
      <c r="E25">
        <v>10</v>
      </c>
      <c r="F25">
        <v>1</v>
      </c>
      <c r="G25">
        <v>1</v>
      </c>
      <c r="H25" t="s">
        <v>226</v>
      </c>
      <c r="I25">
        <v>0</v>
      </c>
      <c r="J25">
        <v>0</v>
      </c>
      <c r="K25">
        <v>0</v>
      </c>
      <c r="L25">
        <v>0</v>
      </c>
      <c r="N25" t="str">
        <f t="shared" si="0"/>
        <v>SELECT 26, 9, 4, 'Germania', 10, 0 UNION ALL</v>
      </c>
      <c r="X25">
        <v>25</v>
      </c>
      <c r="Y25">
        <v>23</v>
      </c>
      <c r="Z25">
        <v>2</v>
      </c>
      <c r="AA25">
        <v>5</v>
      </c>
    </row>
    <row r="26" spans="1:27">
      <c r="A26">
        <v>27</v>
      </c>
      <c r="B26">
        <v>10</v>
      </c>
      <c r="C26">
        <v>1</v>
      </c>
      <c r="D26" t="s">
        <v>227</v>
      </c>
      <c r="E26">
        <v>10</v>
      </c>
      <c r="F26">
        <v>1</v>
      </c>
      <c r="G26">
        <v>1</v>
      </c>
      <c r="H26" t="s">
        <v>228</v>
      </c>
      <c r="I26">
        <v>0</v>
      </c>
      <c r="J26">
        <v>0</v>
      </c>
      <c r="K26">
        <v>0</v>
      </c>
      <c r="L26">
        <v>1</v>
      </c>
      <c r="N26" t="str">
        <f t="shared" si="0"/>
        <v>SELECT 27, 10, 1, 'Anglia', 10, 1 UNION ALL</v>
      </c>
      <c r="X26">
        <v>26</v>
      </c>
      <c r="Y26">
        <v>23</v>
      </c>
      <c r="Z26">
        <v>3</v>
      </c>
      <c r="AA26">
        <v>0</v>
      </c>
    </row>
    <row r="27" spans="1:27">
      <c r="A27">
        <v>28</v>
      </c>
      <c r="B27">
        <v>10</v>
      </c>
      <c r="C27">
        <v>2</v>
      </c>
      <c r="D27" t="s">
        <v>599</v>
      </c>
      <c r="E27">
        <v>10</v>
      </c>
      <c r="F27">
        <v>1</v>
      </c>
      <c r="G27">
        <v>1</v>
      </c>
      <c r="H27" t="s">
        <v>228</v>
      </c>
      <c r="I27">
        <v>0</v>
      </c>
      <c r="J27">
        <v>0</v>
      </c>
      <c r="K27">
        <v>0</v>
      </c>
      <c r="L27">
        <v>1</v>
      </c>
      <c r="N27" t="str">
        <f t="shared" si="0"/>
        <v>SELECT 28, 10, 2, 'England', 10, 1 UNION ALL</v>
      </c>
      <c r="X27">
        <v>27</v>
      </c>
      <c r="Y27">
        <v>23</v>
      </c>
      <c r="Z27">
        <v>4</v>
      </c>
      <c r="AA27">
        <v>1</v>
      </c>
    </row>
    <row r="28" spans="1:27">
      <c r="A28">
        <v>29</v>
      </c>
      <c r="B28">
        <v>10</v>
      </c>
      <c r="C28">
        <v>3</v>
      </c>
      <c r="D28" t="s">
        <v>600</v>
      </c>
      <c r="E28">
        <v>10</v>
      </c>
      <c r="F28">
        <v>1</v>
      </c>
      <c r="G28">
        <v>1</v>
      </c>
      <c r="H28" t="s">
        <v>228</v>
      </c>
      <c r="I28">
        <v>0</v>
      </c>
      <c r="J28">
        <v>0</v>
      </c>
      <c r="K28">
        <v>0</v>
      </c>
      <c r="L28">
        <v>0</v>
      </c>
      <c r="N28" t="str">
        <f t="shared" si="0"/>
        <v>SELECT 29, 10, 3, 'Inglaterra', 10, 0 UNION ALL</v>
      </c>
      <c r="X28">
        <v>28</v>
      </c>
      <c r="Y28">
        <v>27</v>
      </c>
      <c r="Z28">
        <v>1</v>
      </c>
      <c r="AA28">
        <v>2</v>
      </c>
    </row>
    <row r="29" spans="1:27">
      <c r="A29">
        <v>30</v>
      </c>
      <c r="B29">
        <v>10</v>
      </c>
      <c r="C29">
        <v>4</v>
      </c>
      <c r="D29" t="s">
        <v>601</v>
      </c>
      <c r="E29">
        <v>10</v>
      </c>
      <c r="F29">
        <v>1</v>
      </c>
      <c r="G29">
        <v>1</v>
      </c>
      <c r="H29" t="s">
        <v>228</v>
      </c>
      <c r="I29">
        <v>0</v>
      </c>
      <c r="J29">
        <v>0</v>
      </c>
      <c r="K29">
        <v>0</v>
      </c>
      <c r="L29">
        <v>0</v>
      </c>
      <c r="N29" t="str">
        <f t="shared" si="0"/>
        <v>SELECT 30, 10, 4, 'Inghilterra', 10, 0 UNION ALL</v>
      </c>
      <c r="X29">
        <v>29</v>
      </c>
      <c r="Y29">
        <v>27</v>
      </c>
      <c r="Z29">
        <v>2</v>
      </c>
      <c r="AA29">
        <v>4</v>
      </c>
    </row>
    <row r="30" spans="1:27">
      <c r="A30">
        <v>31</v>
      </c>
      <c r="B30">
        <v>11</v>
      </c>
      <c r="C30">
        <v>1</v>
      </c>
      <c r="D30" t="s">
        <v>229</v>
      </c>
      <c r="E30">
        <v>10</v>
      </c>
      <c r="F30">
        <v>1</v>
      </c>
      <c r="G30">
        <v>1</v>
      </c>
      <c r="H30" t="s">
        <v>230</v>
      </c>
      <c r="I30">
        <v>0</v>
      </c>
      <c r="J30">
        <v>0</v>
      </c>
      <c r="K30">
        <v>0</v>
      </c>
      <c r="L30">
        <v>1</v>
      </c>
      <c r="N30" t="str">
        <f t="shared" si="0"/>
        <v>SELECT 31, 11, 1, 'Rosja', 10, 1 UNION ALL</v>
      </c>
      <c r="X30">
        <v>30</v>
      </c>
      <c r="Y30">
        <v>27</v>
      </c>
      <c r="Z30">
        <v>3</v>
      </c>
      <c r="AA30">
        <v>0</v>
      </c>
    </row>
    <row r="31" spans="1:27">
      <c r="A31">
        <v>32</v>
      </c>
      <c r="B31">
        <v>11</v>
      </c>
      <c r="C31">
        <v>2</v>
      </c>
      <c r="D31" t="s">
        <v>602</v>
      </c>
      <c r="E31">
        <v>10</v>
      </c>
      <c r="F31">
        <v>1</v>
      </c>
      <c r="G31">
        <v>1</v>
      </c>
      <c r="H31" t="s">
        <v>230</v>
      </c>
      <c r="I31">
        <v>0</v>
      </c>
      <c r="J31">
        <v>0</v>
      </c>
      <c r="K31">
        <v>0</v>
      </c>
      <c r="L31">
        <v>1</v>
      </c>
      <c r="N31" t="str">
        <f t="shared" si="0"/>
        <v>SELECT 32, 11, 2, 'Russia', 10, 1 UNION ALL</v>
      </c>
      <c r="X31">
        <v>31</v>
      </c>
      <c r="Y31">
        <v>27</v>
      </c>
      <c r="Z31">
        <v>4</v>
      </c>
      <c r="AA31">
        <v>1</v>
      </c>
    </row>
    <row r="32" spans="1:27">
      <c r="A32">
        <v>33</v>
      </c>
      <c r="B32">
        <v>11</v>
      </c>
      <c r="C32">
        <v>3</v>
      </c>
      <c r="D32" t="s">
        <v>603</v>
      </c>
      <c r="E32">
        <v>10</v>
      </c>
      <c r="F32">
        <v>1</v>
      </c>
      <c r="G32">
        <v>1</v>
      </c>
      <c r="H32" t="s">
        <v>230</v>
      </c>
      <c r="I32">
        <v>0</v>
      </c>
      <c r="J32">
        <v>0</v>
      </c>
      <c r="K32">
        <v>0</v>
      </c>
      <c r="L32">
        <v>0</v>
      </c>
      <c r="N32" t="str">
        <f t="shared" si="0"/>
        <v>SELECT 33, 11, 3, 'Rusia', 10, 0 UNION ALL</v>
      </c>
      <c r="X32">
        <v>32</v>
      </c>
      <c r="Y32">
        <v>31</v>
      </c>
      <c r="Z32">
        <v>1</v>
      </c>
      <c r="AA32">
        <v>2</v>
      </c>
    </row>
    <row r="33" spans="1:27">
      <c r="A33">
        <v>34</v>
      </c>
      <c r="B33">
        <v>11</v>
      </c>
      <c r="C33">
        <v>4</v>
      </c>
      <c r="D33" t="s">
        <v>602</v>
      </c>
      <c r="E33">
        <v>10</v>
      </c>
      <c r="F33">
        <v>1</v>
      </c>
      <c r="G33">
        <v>1</v>
      </c>
      <c r="H33" t="s">
        <v>230</v>
      </c>
      <c r="I33">
        <v>0</v>
      </c>
      <c r="J33">
        <v>0</v>
      </c>
      <c r="K33">
        <v>0</v>
      </c>
      <c r="L33">
        <v>0</v>
      </c>
      <c r="N33" t="str">
        <f t="shared" si="0"/>
        <v>SELECT 34, 11, 4, 'Russia', 10, 0 UNION ALL</v>
      </c>
      <c r="X33">
        <v>33</v>
      </c>
      <c r="Y33">
        <v>31</v>
      </c>
      <c r="Z33">
        <v>2</v>
      </c>
      <c r="AA33">
        <v>4</v>
      </c>
    </row>
    <row r="34" spans="1:27">
      <c r="A34">
        <v>35</v>
      </c>
      <c r="B34">
        <v>12</v>
      </c>
      <c r="C34">
        <v>1</v>
      </c>
      <c r="D34" t="s">
        <v>231</v>
      </c>
      <c r="E34">
        <v>10</v>
      </c>
      <c r="F34">
        <v>1</v>
      </c>
      <c r="G34">
        <v>1</v>
      </c>
      <c r="H34" t="s">
        <v>604</v>
      </c>
      <c r="I34">
        <v>0</v>
      </c>
      <c r="J34">
        <v>0</v>
      </c>
      <c r="K34">
        <v>0</v>
      </c>
      <c r="L34">
        <v>1</v>
      </c>
      <c r="N34" t="str">
        <f t="shared" si="0"/>
        <v>SELECT 35, 12, 1, 'Albania', 10, 1 UNION ALL</v>
      </c>
      <c r="X34">
        <v>34</v>
      </c>
      <c r="Y34">
        <v>31</v>
      </c>
      <c r="Z34">
        <v>3</v>
      </c>
      <c r="AA34">
        <v>0</v>
      </c>
    </row>
    <row r="35" spans="1:27">
      <c r="A35">
        <v>36</v>
      </c>
      <c r="B35">
        <v>12</v>
      </c>
      <c r="C35">
        <v>2</v>
      </c>
      <c r="D35" t="s">
        <v>231</v>
      </c>
      <c r="E35">
        <v>10</v>
      </c>
      <c r="F35">
        <v>1</v>
      </c>
      <c r="G35">
        <v>1</v>
      </c>
      <c r="H35" t="s">
        <v>604</v>
      </c>
      <c r="I35">
        <v>0</v>
      </c>
      <c r="J35">
        <v>0</v>
      </c>
      <c r="K35">
        <v>0</v>
      </c>
      <c r="L35">
        <v>1</v>
      </c>
      <c r="N35" t="str">
        <f t="shared" si="0"/>
        <v>SELECT 36, 12, 2, 'Albania', 10, 1 UNION ALL</v>
      </c>
      <c r="X35">
        <v>35</v>
      </c>
      <c r="Y35">
        <v>31</v>
      </c>
      <c r="Z35">
        <v>4</v>
      </c>
      <c r="AA35">
        <v>1</v>
      </c>
    </row>
    <row r="36" spans="1:27">
      <c r="A36">
        <v>37</v>
      </c>
      <c r="B36">
        <v>12</v>
      </c>
      <c r="C36">
        <v>3</v>
      </c>
      <c r="D36" t="s">
        <v>231</v>
      </c>
      <c r="E36">
        <v>10</v>
      </c>
      <c r="F36">
        <v>1</v>
      </c>
      <c r="G36">
        <v>1</v>
      </c>
      <c r="H36" t="s">
        <v>604</v>
      </c>
      <c r="I36">
        <v>0</v>
      </c>
      <c r="J36">
        <v>0</v>
      </c>
      <c r="K36">
        <v>0</v>
      </c>
      <c r="L36">
        <v>0</v>
      </c>
      <c r="N36" t="str">
        <f t="shared" si="0"/>
        <v>SELECT 37, 12, 3, 'Albania', 10, 0 UNION ALL</v>
      </c>
      <c r="X36">
        <v>36</v>
      </c>
      <c r="Y36">
        <v>35</v>
      </c>
      <c r="Z36">
        <v>4</v>
      </c>
      <c r="AA36">
        <v>1</v>
      </c>
    </row>
    <row r="37" spans="1:27">
      <c r="A37">
        <v>38</v>
      </c>
      <c r="B37">
        <v>12</v>
      </c>
      <c r="C37">
        <v>4</v>
      </c>
      <c r="D37" t="s">
        <v>231</v>
      </c>
      <c r="E37">
        <v>10</v>
      </c>
      <c r="F37">
        <v>1</v>
      </c>
      <c r="G37">
        <v>1</v>
      </c>
      <c r="H37" t="s">
        <v>604</v>
      </c>
      <c r="I37">
        <v>0</v>
      </c>
      <c r="J37">
        <v>0</v>
      </c>
      <c r="K37">
        <v>0</v>
      </c>
      <c r="L37">
        <v>0</v>
      </c>
      <c r="N37" t="str">
        <f t="shared" si="0"/>
        <v>SELECT 38, 12, 4, 'Albania', 10, 0 UNION ALL</v>
      </c>
      <c r="X37">
        <v>37</v>
      </c>
      <c r="Y37">
        <v>41</v>
      </c>
      <c r="Z37">
        <v>1</v>
      </c>
      <c r="AA37">
        <v>2</v>
      </c>
    </row>
    <row r="38" spans="1:27">
      <c r="A38">
        <v>40</v>
      </c>
      <c r="B38">
        <v>13</v>
      </c>
      <c r="C38">
        <v>1</v>
      </c>
      <c r="D38" t="s">
        <v>233</v>
      </c>
      <c r="E38">
        <v>10</v>
      </c>
      <c r="F38">
        <v>1</v>
      </c>
      <c r="G38">
        <v>1</v>
      </c>
      <c r="H38" t="s">
        <v>605</v>
      </c>
      <c r="I38">
        <v>0</v>
      </c>
      <c r="J38">
        <v>0</v>
      </c>
      <c r="K38">
        <v>0</v>
      </c>
      <c r="L38">
        <v>1</v>
      </c>
      <c r="N38" t="str">
        <f t="shared" si="0"/>
        <v>SELECT 40, 13, 1, 'Andora', 10, 1 UNION ALL</v>
      </c>
      <c r="X38">
        <v>38</v>
      </c>
      <c r="Y38">
        <v>41</v>
      </c>
      <c r="Z38">
        <v>2</v>
      </c>
      <c r="AA38">
        <v>4</v>
      </c>
    </row>
    <row r="39" spans="1:27">
      <c r="A39">
        <v>41</v>
      </c>
      <c r="B39">
        <v>14</v>
      </c>
      <c r="C39">
        <v>1</v>
      </c>
      <c r="D39" t="s">
        <v>235</v>
      </c>
      <c r="E39">
        <v>10</v>
      </c>
      <c r="F39">
        <v>1</v>
      </c>
      <c r="G39">
        <v>1</v>
      </c>
      <c r="H39" t="s">
        <v>605</v>
      </c>
      <c r="I39">
        <v>0</v>
      </c>
      <c r="J39">
        <v>0</v>
      </c>
      <c r="K39">
        <v>0</v>
      </c>
      <c r="L39">
        <v>1</v>
      </c>
      <c r="N39" t="str">
        <f t="shared" si="0"/>
        <v>SELECT 41, 14, 1, 'Armenia', 10, 1 UNION ALL</v>
      </c>
      <c r="X39">
        <v>39</v>
      </c>
      <c r="Y39">
        <v>41</v>
      </c>
      <c r="Z39">
        <v>3</v>
      </c>
      <c r="AA39">
        <v>0</v>
      </c>
    </row>
    <row r="40" spans="1:27">
      <c r="A40">
        <v>42</v>
      </c>
      <c r="B40">
        <v>15</v>
      </c>
      <c r="C40">
        <v>1</v>
      </c>
      <c r="D40" t="s">
        <v>236</v>
      </c>
      <c r="E40">
        <v>10</v>
      </c>
      <c r="F40">
        <v>1</v>
      </c>
      <c r="G40">
        <v>1</v>
      </c>
      <c r="H40" t="s">
        <v>605</v>
      </c>
      <c r="I40">
        <v>0</v>
      </c>
      <c r="J40">
        <v>0</v>
      </c>
      <c r="K40">
        <v>0</v>
      </c>
      <c r="L40">
        <v>1</v>
      </c>
      <c r="N40" t="str">
        <f t="shared" si="0"/>
        <v>SELECT 42, 15, 1, 'Austria', 10, 1 UNION ALL</v>
      </c>
      <c r="X40">
        <v>40</v>
      </c>
      <c r="Y40">
        <v>41</v>
      </c>
      <c r="Z40">
        <v>4</v>
      </c>
      <c r="AA40">
        <v>1</v>
      </c>
    </row>
    <row r="41" spans="1:27">
      <c r="A41">
        <v>43</v>
      </c>
      <c r="B41">
        <v>16</v>
      </c>
      <c r="C41">
        <v>1</v>
      </c>
      <c r="D41" t="s">
        <v>238</v>
      </c>
      <c r="E41">
        <v>10</v>
      </c>
      <c r="F41">
        <v>1</v>
      </c>
      <c r="G41">
        <v>1</v>
      </c>
      <c r="H41" t="s">
        <v>605</v>
      </c>
      <c r="I41">
        <v>0</v>
      </c>
      <c r="J41">
        <v>0</v>
      </c>
      <c r="K41">
        <v>0</v>
      </c>
      <c r="L41">
        <v>1</v>
      </c>
      <c r="N41" t="str">
        <f t="shared" si="0"/>
        <v>SELECT 43, 16, 1, 'Azerbejdżan', 10, 1 UNION ALL</v>
      </c>
      <c r="X41">
        <v>41</v>
      </c>
      <c r="Y41">
        <v>42</v>
      </c>
      <c r="Z41">
        <v>1</v>
      </c>
      <c r="AA41">
        <v>2</v>
      </c>
    </row>
    <row r="42" spans="1:27">
      <c r="A42">
        <v>44</v>
      </c>
      <c r="B42">
        <v>17</v>
      </c>
      <c r="C42">
        <v>1</v>
      </c>
      <c r="D42" t="s">
        <v>239</v>
      </c>
      <c r="E42">
        <v>10</v>
      </c>
      <c r="F42">
        <v>1</v>
      </c>
      <c r="G42">
        <v>1</v>
      </c>
      <c r="H42" t="s">
        <v>605</v>
      </c>
      <c r="I42">
        <v>0</v>
      </c>
      <c r="J42">
        <v>0</v>
      </c>
      <c r="K42">
        <v>0</v>
      </c>
      <c r="L42">
        <v>1</v>
      </c>
      <c r="N42" t="str">
        <f t="shared" si="0"/>
        <v>SELECT 44, 17, 1, 'Białoruś', 10, 1 UNION ALL</v>
      </c>
      <c r="X42">
        <v>42</v>
      </c>
      <c r="Y42">
        <v>42</v>
      </c>
      <c r="Z42">
        <v>2</v>
      </c>
      <c r="AA42">
        <v>4</v>
      </c>
    </row>
    <row r="43" spans="1:27">
      <c r="A43">
        <v>45</v>
      </c>
      <c r="B43">
        <v>18</v>
      </c>
      <c r="C43">
        <v>1</v>
      </c>
      <c r="D43" t="s">
        <v>240</v>
      </c>
      <c r="E43">
        <v>10</v>
      </c>
      <c r="F43">
        <v>1</v>
      </c>
      <c r="G43">
        <v>1</v>
      </c>
      <c r="H43" t="s">
        <v>605</v>
      </c>
      <c r="I43">
        <v>0</v>
      </c>
      <c r="J43">
        <v>0</v>
      </c>
      <c r="K43">
        <v>0</v>
      </c>
      <c r="L43">
        <v>1</v>
      </c>
      <c r="N43" t="str">
        <f t="shared" si="0"/>
        <v>SELECT 45, 18, 1, 'Belgia', 10, 1 UNION ALL</v>
      </c>
      <c r="X43">
        <v>43</v>
      </c>
      <c r="Y43">
        <v>42</v>
      </c>
      <c r="Z43">
        <v>3</v>
      </c>
      <c r="AA43">
        <v>0</v>
      </c>
    </row>
    <row r="44" spans="1:27">
      <c r="A44">
        <v>46</v>
      </c>
      <c r="B44">
        <v>19</v>
      </c>
      <c r="C44">
        <v>1</v>
      </c>
      <c r="D44" t="s">
        <v>241</v>
      </c>
      <c r="E44">
        <v>10</v>
      </c>
      <c r="F44">
        <v>1</v>
      </c>
      <c r="G44">
        <v>1</v>
      </c>
      <c r="H44" t="s">
        <v>605</v>
      </c>
      <c r="I44">
        <v>0</v>
      </c>
      <c r="J44">
        <v>0</v>
      </c>
      <c r="K44">
        <v>0</v>
      </c>
      <c r="L44">
        <v>1</v>
      </c>
      <c r="N44" t="str">
        <f t="shared" si="0"/>
        <v>SELECT 46, 19, 1, 'Bośnia i Hercegowina', 10, 1 UNION ALL</v>
      </c>
      <c r="X44">
        <v>44</v>
      </c>
      <c r="Y44">
        <v>42</v>
      </c>
      <c r="Z44">
        <v>4</v>
      </c>
      <c r="AA44">
        <v>1</v>
      </c>
    </row>
    <row r="45" spans="1:27">
      <c r="A45">
        <v>47</v>
      </c>
      <c r="B45">
        <v>20</v>
      </c>
      <c r="C45">
        <v>1</v>
      </c>
      <c r="D45" t="s">
        <v>242</v>
      </c>
      <c r="E45">
        <v>10</v>
      </c>
      <c r="F45">
        <v>1</v>
      </c>
      <c r="G45">
        <v>1</v>
      </c>
      <c r="H45" t="s">
        <v>605</v>
      </c>
      <c r="I45">
        <v>0</v>
      </c>
      <c r="J45">
        <v>0</v>
      </c>
      <c r="K45">
        <v>0</v>
      </c>
      <c r="L45">
        <v>1</v>
      </c>
      <c r="N45" t="str">
        <f t="shared" si="0"/>
        <v>SELECT 47, 20, 1, 'Bułgaria', 10, 1 UNION ALL</v>
      </c>
      <c r="X45">
        <v>45</v>
      </c>
      <c r="Y45">
        <v>40</v>
      </c>
      <c r="Z45">
        <v>1</v>
      </c>
      <c r="AA45">
        <v>2</v>
      </c>
    </row>
    <row r="46" spans="1:27">
      <c r="A46">
        <v>48</v>
      </c>
      <c r="B46">
        <v>21</v>
      </c>
      <c r="C46">
        <v>1</v>
      </c>
      <c r="D46" t="s">
        <v>243</v>
      </c>
      <c r="E46">
        <v>10</v>
      </c>
      <c r="F46">
        <v>1</v>
      </c>
      <c r="G46">
        <v>1</v>
      </c>
      <c r="H46" t="s">
        <v>605</v>
      </c>
      <c r="I46">
        <v>0</v>
      </c>
      <c r="J46">
        <v>0</v>
      </c>
      <c r="K46">
        <v>0</v>
      </c>
      <c r="L46">
        <v>1</v>
      </c>
      <c r="N46" t="str">
        <f t="shared" si="0"/>
        <v>SELECT 48, 21, 1, 'Chorwacja', 10, 1 UNION ALL</v>
      </c>
      <c r="X46">
        <v>46</v>
      </c>
      <c r="Y46">
        <v>40</v>
      </c>
      <c r="Z46">
        <v>2</v>
      </c>
      <c r="AA46">
        <v>4</v>
      </c>
    </row>
    <row r="47" spans="1:27">
      <c r="A47">
        <v>49</v>
      </c>
      <c r="B47">
        <v>22</v>
      </c>
      <c r="C47">
        <v>1</v>
      </c>
      <c r="D47" t="s">
        <v>244</v>
      </c>
      <c r="E47">
        <v>10</v>
      </c>
      <c r="F47">
        <v>1</v>
      </c>
      <c r="G47">
        <v>1</v>
      </c>
      <c r="H47" t="s">
        <v>605</v>
      </c>
      <c r="I47">
        <v>0</v>
      </c>
      <c r="J47">
        <v>0</v>
      </c>
      <c r="K47">
        <v>0</v>
      </c>
      <c r="L47">
        <v>1</v>
      </c>
      <c r="N47" t="str">
        <f t="shared" si="0"/>
        <v>SELECT 49, 22, 1, 'Cypr', 10, 1 UNION ALL</v>
      </c>
      <c r="X47">
        <v>47</v>
      </c>
      <c r="Y47">
        <v>40</v>
      </c>
      <c r="Z47">
        <v>3</v>
      </c>
      <c r="AA47">
        <v>0</v>
      </c>
    </row>
    <row r="48" spans="1:27">
      <c r="A48">
        <v>50</v>
      </c>
      <c r="B48">
        <v>23</v>
      </c>
      <c r="C48">
        <v>1</v>
      </c>
      <c r="D48" t="s">
        <v>245</v>
      </c>
      <c r="E48">
        <v>10</v>
      </c>
      <c r="F48">
        <v>1</v>
      </c>
      <c r="G48">
        <v>1</v>
      </c>
      <c r="H48" t="s">
        <v>605</v>
      </c>
      <c r="I48">
        <v>0</v>
      </c>
      <c r="J48">
        <v>0</v>
      </c>
      <c r="K48">
        <v>0</v>
      </c>
      <c r="L48">
        <v>1</v>
      </c>
      <c r="N48" t="str">
        <f t="shared" si="0"/>
        <v>SELECT 50, 23, 1, 'Czechy', 10, 1 UNION ALL</v>
      </c>
      <c r="X48">
        <v>48</v>
      </c>
      <c r="Y48">
        <v>40</v>
      </c>
      <c r="Z48">
        <v>4</v>
      </c>
      <c r="AA48">
        <v>1</v>
      </c>
    </row>
    <row r="49" spans="1:27">
      <c r="A49">
        <v>51</v>
      </c>
      <c r="B49">
        <v>24</v>
      </c>
      <c r="C49">
        <v>1</v>
      </c>
      <c r="D49" t="s">
        <v>246</v>
      </c>
      <c r="E49">
        <v>10</v>
      </c>
      <c r="F49">
        <v>1</v>
      </c>
      <c r="G49">
        <v>1</v>
      </c>
      <c r="H49" t="s">
        <v>605</v>
      </c>
      <c r="I49">
        <v>0</v>
      </c>
      <c r="J49">
        <v>0</v>
      </c>
      <c r="K49">
        <v>0</v>
      </c>
      <c r="L49">
        <v>1</v>
      </c>
      <c r="N49" t="str">
        <f t="shared" si="0"/>
        <v>SELECT 51, 24, 1, 'Dania', 10, 1 UNION ALL</v>
      </c>
      <c r="X49">
        <v>49</v>
      </c>
      <c r="Y49">
        <v>43</v>
      </c>
      <c r="Z49">
        <v>1</v>
      </c>
      <c r="AA49">
        <v>1</v>
      </c>
    </row>
    <row r="50" spans="1:27">
      <c r="A50">
        <v>52</v>
      </c>
      <c r="B50">
        <v>25</v>
      </c>
      <c r="C50">
        <v>1</v>
      </c>
      <c r="D50" t="s">
        <v>247</v>
      </c>
      <c r="E50">
        <v>10</v>
      </c>
      <c r="F50">
        <v>1</v>
      </c>
      <c r="G50">
        <v>1</v>
      </c>
      <c r="H50" t="s">
        <v>605</v>
      </c>
      <c r="I50">
        <v>0</v>
      </c>
      <c r="J50">
        <v>0</v>
      </c>
      <c r="K50">
        <v>0</v>
      </c>
      <c r="L50">
        <v>1</v>
      </c>
      <c r="N50" t="str">
        <f t="shared" si="0"/>
        <v>SELECT 52, 25, 1, 'Estonia', 10, 1 UNION ALL</v>
      </c>
      <c r="X50">
        <v>50</v>
      </c>
      <c r="Y50">
        <v>43</v>
      </c>
      <c r="Z50">
        <v>2</v>
      </c>
      <c r="AA50">
        <v>4</v>
      </c>
    </row>
    <row r="51" spans="1:27">
      <c r="A51">
        <v>53</v>
      </c>
      <c r="B51">
        <v>26</v>
      </c>
      <c r="C51">
        <v>1</v>
      </c>
      <c r="D51" t="s">
        <v>248</v>
      </c>
      <c r="E51">
        <v>10</v>
      </c>
      <c r="F51">
        <v>1</v>
      </c>
      <c r="G51">
        <v>1</v>
      </c>
      <c r="H51" t="s">
        <v>605</v>
      </c>
      <c r="I51">
        <v>0</v>
      </c>
      <c r="J51">
        <v>0</v>
      </c>
      <c r="K51">
        <v>0</v>
      </c>
      <c r="L51">
        <v>1</v>
      </c>
      <c r="N51" t="str">
        <f t="shared" si="0"/>
        <v>SELECT 53, 26, 1, 'Finlandia', 10, 1 UNION ALL</v>
      </c>
      <c r="X51">
        <v>51</v>
      </c>
      <c r="Y51">
        <v>43</v>
      </c>
      <c r="Z51">
        <v>3</v>
      </c>
      <c r="AA51">
        <v>0</v>
      </c>
    </row>
    <row r="52" spans="1:27">
      <c r="A52">
        <v>54</v>
      </c>
      <c r="B52">
        <v>27</v>
      </c>
      <c r="C52">
        <v>1</v>
      </c>
      <c r="D52" t="s">
        <v>249</v>
      </c>
      <c r="E52">
        <v>10</v>
      </c>
      <c r="F52">
        <v>1</v>
      </c>
      <c r="G52">
        <v>1</v>
      </c>
      <c r="H52" t="s">
        <v>605</v>
      </c>
      <c r="I52">
        <v>0</v>
      </c>
      <c r="J52">
        <v>0</v>
      </c>
      <c r="K52">
        <v>0</v>
      </c>
      <c r="L52">
        <v>1</v>
      </c>
      <c r="N52" t="str">
        <f t="shared" si="0"/>
        <v>SELECT 54, 27, 1, 'Gruzja', 10, 1 UNION ALL</v>
      </c>
      <c r="X52">
        <v>52</v>
      </c>
      <c r="Y52">
        <v>43</v>
      </c>
      <c r="Z52">
        <v>4</v>
      </c>
      <c r="AA52">
        <v>1</v>
      </c>
    </row>
    <row r="53" spans="1:27">
      <c r="A53">
        <v>55</v>
      </c>
      <c r="B53">
        <v>28</v>
      </c>
      <c r="C53">
        <v>1</v>
      </c>
      <c r="D53" t="s">
        <v>250</v>
      </c>
      <c r="E53">
        <v>10</v>
      </c>
      <c r="F53">
        <v>1</v>
      </c>
      <c r="G53">
        <v>1</v>
      </c>
      <c r="H53" t="s">
        <v>605</v>
      </c>
      <c r="I53">
        <v>0</v>
      </c>
      <c r="J53">
        <v>0</v>
      </c>
      <c r="K53">
        <v>0</v>
      </c>
      <c r="L53">
        <v>1</v>
      </c>
      <c r="N53" t="str">
        <f t="shared" si="0"/>
        <v>SELECT 55, 28, 1, 'Grecja', 10, 1 UNION ALL</v>
      </c>
      <c r="X53">
        <v>53</v>
      </c>
      <c r="Y53">
        <v>44</v>
      </c>
      <c r="Z53">
        <v>1</v>
      </c>
      <c r="AA53">
        <v>2</v>
      </c>
    </row>
    <row r="54" spans="1:27">
      <c r="A54">
        <v>56</v>
      </c>
      <c r="B54">
        <v>29</v>
      </c>
      <c r="C54">
        <v>1</v>
      </c>
      <c r="D54" t="s">
        <v>251</v>
      </c>
      <c r="E54">
        <v>10</v>
      </c>
      <c r="F54">
        <v>1</v>
      </c>
      <c r="G54">
        <v>1</v>
      </c>
      <c r="H54" t="s">
        <v>605</v>
      </c>
      <c r="I54">
        <v>0</v>
      </c>
      <c r="J54">
        <v>0</v>
      </c>
      <c r="K54">
        <v>0</v>
      </c>
      <c r="L54">
        <v>1</v>
      </c>
      <c r="N54" t="str">
        <f t="shared" si="0"/>
        <v>SELECT 56, 29, 1, 'Węgry', 10, 1 UNION ALL</v>
      </c>
      <c r="X54">
        <v>54</v>
      </c>
      <c r="Y54">
        <v>44</v>
      </c>
      <c r="Z54">
        <v>2</v>
      </c>
      <c r="AA54">
        <v>4</v>
      </c>
    </row>
    <row r="55" spans="1:27">
      <c r="A55">
        <v>57</v>
      </c>
      <c r="B55">
        <v>30</v>
      </c>
      <c r="C55">
        <v>1</v>
      </c>
      <c r="D55" t="s">
        <v>252</v>
      </c>
      <c r="E55">
        <v>10</v>
      </c>
      <c r="F55">
        <v>1</v>
      </c>
      <c r="G55">
        <v>1</v>
      </c>
      <c r="H55" t="s">
        <v>605</v>
      </c>
      <c r="I55">
        <v>0</v>
      </c>
      <c r="J55">
        <v>0</v>
      </c>
      <c r="K55">
        <v>0</v>
      </c>
      <c r="L55">
        <v>1</v>
      </c>
      <c r="N55" t="str">
        <f t="shared" si="0"/>
        <v>SELECT 57, 30, 1, 'Islandia', 10, 1 UNION ALL</v>
      </c>
      <c r="X55">
        <v>55</v>
      </c>
      <c r="Y55">
        <v>44</v>
      </c>
      <c r="Z55">
        <v>3</v>
      </c>
      <c r="AA55">
        <v>0</v>
      </c>
    </row>
    <row r="56" spans="1:27">
      <c r="A56">
        <v>58</v>
      </c>
      <c r="B56">
        <v>31</v>
      </c>
      <c r="C56">
        <v>1</v>
      </c>
      <c r="D56" t="s">
        <v>253</v>
      </c>
      <c r="E56">
        <v>10</v>
      </c>
      <c r="F56">
        <v>1</v>
      </c>
      <c r="G56">
        <v>1</v>
      </c>
      <c r="H56" t="s">
        <v>605</v>
      </c>
      <c r="I56">
        <v>0</v>
      </c>
      <c r="J56">
        <v>0</v>
      </c>
      <c r="K56">
        <v>0</v>
      </c>
      <c r="L56">
        <v>1</v>
      </c>
      <c r="N56" t="str">
        <f t="shared" si="0"/>
        <v>SELECT 58, 31, 1, 'Irlandia', 10, 1 UNION ALL</v>
      </c>
      <c r="X56">
        <v>56</v>
      </c>
      <c r="Y56">
        <v>44</v>
      </c>
      <c r="Z56">
        <v>4</v>
      </c>
      <c r="AA56">
        <v>1</v>
      </c>
    </row>
    <row r="57" spans="1:27">
      <c r="A57">
        <v>59</v>
      </c>
      <c r="B57">
        <v>32</v>
      </c>
      <c r="C57">
        <v>1</v>
      </c>
      <c r="D57" t="s">
        <v>254</v>
      </c>
      <c r="E57">
        <v>10</v>
      </c>
      <c r="F57">
        <v>1</v>
      </c>
      <c r="G57">
        <v>1</v>
      </c>
      <c r="H57" t="s">
        <v>605</v>
      </c>
      <c r="I57">
        <v>0</v>
      </c>
      <c r="J57">
        <v>0</v>
      </c>
      <c r="K57">
        <v>0</v>
      </c>
      <c r="L57">
        <v>1</v>
      </c>
      <c r="N57" t="str">
        <f t="shared" si="0"/>
        <v>SELECT 59, 32, 1, 'Kazachstan', 10, 1 UNION ALL</v>
      </c>
      <c r="X57">
        <v>57</v>
      </c>
      <c r="Y57">
        <v>45</v>
      </c>
      <c r="Z57">
        <v>1</v>
      </c>
      <c r="AA57">
        <v>2</v>
      </c>
    </row>
    <row r="58" spans="1:27">
      <c r="A58">
        <v>60</v>
      </c>
      <c r="B58">
        <v>33</v>
      </c>
      <c r="C58">
        <v>1</v>
      </c>
      <c r="D58" t="s">
        <v>255</v>
      </c>
      <c r="E58">
        <v>10</v>
      </c>
      <c r="F58">
        <v>1</v>
      </c>
      <c r="G58">
        <v>1</v>
      </c>
      <c r="H58" t="s">
        <v>605</v>
      </c>
      <c r="I58">
        <v>0</v>
      </c>
      <c r="J58">
        <v>0</v>
      </c>
      <c r="K58">
        <v>0</v>
      </c>
      <c r="L58">
        <v>1</v>
      </c>
      <c r="N58" t="str">
        <f t="shared" si="0"/>
        <v>SELECT 60, 33, 1, 'Łotwa', 10, 1 UNION ALL</v>
      </c>
      <c r="X58">
        <v>58</v>
      </c>
      <c r="Y58">
        <v>45</v>
      </c>
      <c r="Z58">
        <v>2</v>
      </c>
      <c r="AA58">
        <v>4</v>
      </c>
    </row>
    <row r="59" spans="1:27">
      <c r="A59">
        <v>61</v>
      </c>
      <c r="B59">
        <v>34</v>
      </c>
      <c r="C59">
        <v>1</v>
      </c>
      <c r="D59" t="s">
        <v>256</v>
      </c>
      <c r="E59">
        <v>10</v>
      </c>
      <c r="F59">
        <v>1</v>
      </c>
      <c r="G59">
        <v>1</v>
      </c>
      <c r="H59" t="s">
        <v>605</v>
      </c>
      <c r="I59">
        <v>0</v>
      </c>
      <c r="J59">
        <v>0</v>
      </c>
      <c r="K59">
        <v>0</v>
      </c>
      <c r="L59">
        <v>1</v>
      </c>
      <c r="N59" t="str">
        <f t="shared" si="0"/>
        <v>SELECT 61, 34, 1, 'Liechtenstein', 10, 1 UNION ALL</v>
      </c>
      <c r="X59">
        <v>59</v>
      </c>
      <c r="Y59">
        <v>45</v>
      </c>
      <c r="Z59">
        <v>3</v>
      </c>
      <c r="AA59">
        <v>0</v>
      </c>
    </row>
    <row r="60" spans="1:27">
      <c r="A60">
        <v>62</v>
      </c>
      <c r="B60">
        <v>35</v>
      </c>
      <c r="C60">
        <v>1</v>
      </c>
      <c r="D60" t="s">
        <v>257</v>
      </c>
      <c r="E60">
        <v>10</v>
      </c>
      <c r="F60">
        <v>1</v>
      </c>
      <c r="G60">
        <v>1</v>
      </c>
      <c r="H60" t="s">
        <v>605</v>
      </c>
      <c r="I60">
        <v>0</v>
      </c>
      <c r="J60">
        <v>0</v>
      </c>
      <c r="K60">
        <v>0</v>
      </c>
      <c r="L60">
        <v>1</v>
      </c>
      <c r="N60" t="str">
        <f t="shared" si="0"/>
        <v>SELECT 62, 35, 1, 'Litwa', 10, 1 UNION ALL</v>
      </c>
      <c r="X60">
        <v>60</v>
      </c>
      <c r="Y60">
        <v>45</v>
      </c>
      <c r="Z60">
        <v>4</v>
      </c>
      <c r="AA60">
        <v>1</v>
      </c>
    </row>
    <row r="61" spans="1:27">
      <c r="A61">
        <v>63</v>
      </c>
      <c r="B61">
        <v>36</v>
      </c>
      <c r="C61">
        <v>1</v>
      </c>
      <c r="D61" t="s">
        <v>258</v>
      </c>
      <c r="E61">
        <v>10</v>
      </c>
      <c r="F61">
        <v>1</v>
      </c>
      <c r="G61">
        <v>1</v>
      </c>
      <c r="H61" t="s">
        <v>605</v>
      </c>
      <c r="I61">
        <v>0</v>
      </c>
      <c r="J61">
        <v>0</v>
      </c>
      <c r="K61">
        <v>0</v>
      </c>
      <c r="L61">
        <v>1</v>
      </c>
      <c r="N61" t="str">
        <f t="shared" si="0"/>
        <v>SELECT 63, 36, 1, 'Luksemburg', 10, 1 UNION ALL</v>
      </c>
      <c r="X61">
        <v>61</v>
      </c>
      <c r="Y61">
        <v>51</v>
      </c>
      <c r="Z61">
        <v>1</v>
      </c>
      <c r="AA61">
        <v>2</v>
      </c>
    </row>
    <row r="62" spans="1:27">
      <c r="A62">
        <v>64</v>
      </c>
      <c r="B62">
        <v>37</v>
      </c>
      <c r="C62">
        <v>1</v>
      </c>
      <c r="D62" t="s">
        <v>259</v>
      </c>
      <c r="E62">
        <v>10</v>
      </c>
      <c r="F62">
        <v>1</v>
      </c>
      <c r="G62">
        <v>1</v>
      </c>
      <c r="H62" t="s">
        <v>605</v>
      </c>
      <c r="I62">
        <v>0</v>
      </c>
      <c r="J62">
        <v>0</v>
      </c>
      <c r="K62">
        <v>0</v>
      </c>
      <c r="L62">
        <v>1</v>
      </c>
      <c r="N62" t="str">
        <f t="shared" si="0"/>
        <v>SELECT 64, 37, 1, 'Macedonia', 10, 1 UNION ALL</v>
      </c>
      <c r="X62">
        <v>62</v>
      </c>
      <c r="Y62">
        <v>51</v>
      </c>
      <c r="Z62">
        <v>2</v>
      </c>
      <c r="AA62">
        <v>4</v>
      </c>
    </row>
    <row r="63" spans="1:27">
      <c r="A63">
        <v>65</v>
      </c>
      <c r="B63">
        <v>38</v>
      </c>
      <c r="C63">
        <v>1</v>
      </c>
      <c r="D63" t="s">
        <v>260</v>
      </c>
      <c r="E63">
        <v>10</v>
      </c>
      <c r="F63">
        <v>1</v>
      </c>
      <c r="G63">
        <v>1</v>
      </c>
      <c r="H63" t="s">
        <v>605</v>
      </c>
      <c r="I63">
        <v>0</v>
      </c>
      <c r="J63">
        <v>0</v>
      </c>
      <c r="K63">
        <v>0</v>
      </c>
      <c r="L63">
        <v>1</v>
      </c>
      <c r="N63" t="str">
        <f t="shared" si="0"/>
        <v>SELECT 65, 38, 1, 'Malta', 10, 1 UNION ALL</v>
      </c>
      <c r="X63">
        <v>63</v>
      </c>
      <c r="Y63">
        <v>51</v>
      </c>
      <c r="Z63">
        <v>3</v>
      </c>
      <c r="AA63">
        <v>0</v>
      </c>
    </row>
    <row r="64" spans="1:27">
      <c r="A64">
        <v>66</v>
      </c>
      <c r="B64">
        <v>39</v>
      </c>
      <c r="C64">
        <v>1</v>
      </c>
      <c r="D64" t="s">
        <v>261</v>
      </c>
      <c r="E64">
        <v>10</v>
      </c>
      <c r="F64">
        <v>1</v>
      </c>
      <c r="G64">
        <v>1</v>
      </c>
      <c r="H64" t="s">
        <v>605</v>
      </c>
      <c r="I64">
        <v>0</v>
      </c>
      <c r="J64">
        <v>0</v>
      </c>
      <c r="K64">
        <v>0</v>
      </c>
      <c r="L64">
        <v>1</v>
      </c>
      <c r="N64" t="str">
        <f t="shared" si="0"/>
        <v>SELECT 66, 39, 1, 'Mołdawia', 10, 1 UNION ALL</v>
      </c>
      <c r="X64">
        <v>64</v>
      </c>
      <c r="Y64">
        <v>51</v>
      </c>
      <c r="Z64">
        <v>4</v>
      </c>
      <c r="AA64">
        <v>1</v>
      </c>
    </row>
    <row r="65" spans="1:27">
      <c r="A65">
        <v>67</v>
      </c>
      <c r="B65">
        <v>40</v>
      </c>
      <c r="C65">
        <v>1</v>
      </c>
      <c r="D65" t="s">
        <v>262</v>
      </c>
      <c r="E65">
        <v>10</v>
      </c>
      <c r="F65">
        <v>1</v>
      </c>
      <c r="G65">
        <v>1</v>
      </c>
      <c r="H65" t="s">
        <v>605</v>
      </c>
      <c r="I65">
        <v>0</v>
      </c>
      <c r="J65">
        <v>0</v>
      </c>
      <c r="K65">
        <v>0</v>
      </c>
      <c r="L65">
        <v>1</v>
      </c>
      <c r="N65" t="str">
        <f t="shared" si="0"/>
        <v>SELECT 67, 40, 1, 'Monako', 10, 1 UNION ALL</v>
      </c>
      <c r="X65">
        <v>65</v>
      </c>
      <c r="Y65">
        <v>52</v>
      </c>
      <c r="Z65">
        <v>1</v>
      </c>
      <c r="AA65">
        <v>2</v>
      </c>
    </row>
    <row r="66" spans="1:27">
      <c r="A66">
        <v>68</v>
      </c>
      <c r="B66">
        <v>41</v>
      </c>
      <c r="C66">
        <v>1</v>
      </c>
      <c r="D66" t="s">
        <v>263</v>
      </c>
      <c r="E66">
        <v>10</v>
      </c>
      <c r="F66">
        <v>1</v>
      </c>
      <c r="G66">
        <v>1</v>
      </c>
      <c r="H66" t="s">
        <v>605</v>
      </c>
      <c r="I66">
        <v>0</v>
      </c>
      <c r="J66">
        <v>0</v>
      </c>
      <c r="K66">
        <v>0</v>
      </c>
      <c r="L66">
        <v>1</v>
      </c>
      <c r="N66" t="str">
        <f t="shared" si="0"/>
        <v>SELECT 68, 41, 1, 'Czarnogóra', 10, 1 UNION ALL</v>
      </c>
      <c r="X66">
        <v>66</v>
      </c>
      <c r="Y66">
        <v>52</v>
      </c>
      <c r="Z66">
        <v>2</v>
      </c>
      <c r="AA66">
        <v>4</v>
      </c>
    </row>
    <row r="67" spans="1:27">
      <c r="A67">
        <v>69</v>
      </c>
      <c r="B67">
        <v>42</v>
      </c>
      <c r="C67">
        <v>1</v>
      </c>
      <c r="D67" t="s">
        <v>264</v>
      </c>
      <c r="E67">
        <v>10</v>
      </c>
      <c r="F67">
        <v>1</v>
      </c>
      <c r="G67">
        <v>1</v>
      </c>
      <c r="H67" t="s">
        <v>605</v>
      </c>
      <c r="I67">
        <v>0</v>
      </c>
      <c r="J67">
        <v>0</v>
      </c>
      <c r="K67">
        <v>0</v>
      </c>
      <c r="L67">
        <v>1</v>
      </c>
      <c r="N67" t="str">
        <f t="shared" ref="N67:N130" si="1">"SELECT "&amp;A67&amp;", "&amp;B67&amp;", "&amp;C67&amp;", '"&amp;D67&amp;"', "&amp;E67&amp;", "&amp;L67&amp;" UNION ALL"</f>
        <v>SELECT 69, 42, 1, 'Holandia', 10, 1 UNION ALL</v>
      </c>
      <c r="X67">
        <v>67</v>
      </c>
      <c r="Y67">
        <v>52</v>
      </c>
      <c r="Z67">
        <v>3</v>
      </c>
      <c r="AA67">
        <v>0</v>
      </c>
    </row>
    <row r="68" spans="1:27">
      <c r="A68">
        <v>70</v>
      </c>
      <c r="B68">
        <v>43</v>
      </c>
      <c r="C68">
        <v>1</v>
      </c>
      <c r="D68" t="s">
        <v>265</v>
      </c>
      <c r="E68">
        <v>10</v>
      </c>
      <c r="F68">
        <v>1</v>
      </c>
      <c r="G68">
        <v>1</v>
      </c>
      <c r="H68" t="s">
        <v>605</v>
      </c>
      <c r="I68">
        <v>0</v>
      </c>
      <c r="J68">
        <v>0</v>
      </c>
      <c r="K68">
        <v>0</v>
      </c>
      <c r="L68">
        <v>1</v>
      </c>
      <c r="N68" t="str">
        <f t="shared" si="1"/>
        <v>SELECT 70, 43, 1, 'Norwegia', 10, 1 UNION ALL</v>
      </c>
      <c r="X68">
        <v>68</v>
      </c>
      <c r="Y68">
        <v>52</v>
      </c>
      <c r="Z68">
        <v>4</v>
      </c>
      <c r="AA68">
        <v>1</v>
      </c>
    </row>
    <row r="69" spans="1:27">
      <c r="A69">
        <v>71</v>
      </c>
      <c r="B69">
        <v>44</v>
      </c>
      <c r="C69">
        <v>1</v>
      </c>
      <c r="D69" t="s">
        <v>266</v>
      </c>
      <c r="E69">
        <v>10</v>
      </c>
      <c r="F69">
        <v>1</v>
      </c>
      <c r="G69">
        <v>1</v>
      </c>
      <c r="H69" t="s">
        <v>605</v>
      </c>
      <c r="I69">
        <v>0</v>
      </c>
      <c r="J69">
        <v>0</v>
      </c>
      <c r="K69">
        <v>0</v>
      </c>
      <c r="L69">
        <v>1</v>
      </c>
      <c r="N69" t="str">
        <f t="shared" si="1"/>
        <v>SELECT 71, 44, 1, 'Portugalia', 10, 1 UNION ALL</v>
      </c>
      <c r="X69">
        <v>69</v>
      </c>
      <c r="Y69">
        <v>53</v>
      </c>
      <c r="Z69">
        <v>1</v>
      </c>
      <c r="AA69">
        <v>2</v>
      </c>
    </row>
    <row r="70" spans="1:27">
      <c r="A70">
        <v>72</v>
      </c>
      <c r="B70">
        <v>45</v>
      </c>
      <c r="C70">
        <v>1</v>
      </c>
      <c r="D70" t="s">
        <v>267</v>
      </c>
      <c r="E70">
        <v>10</v>
      </c>
      <c r="F70">
        <v>1</v>
      </c>
      <c r="G70">
        <v>1</v>
      </c>
      <c r="H70" t="s">
        <v>605</v>
      </c>
      <c r="I70">
        <v>0</v>
      </c>
      <c r="J70">
        <v>0</v>
      </c>
      <c r="K70">
        <v>0</v>
      </c>
      <c r="L70">
        <v>1</v>
      </c>
      <c r="N70" t="str">
        <f t="shared" si="1"/>
        <v>SELECT 72, 45, 1, 'Rumunia', 10, 1 UNION ALL</v>
      </c>
      <c r="X70">
        <v>70</v>
      </c>
      <c r="Y70">
        <v>53</v>
      </c>
      <c r="Z70">
        <v>2</v>
      </c>
      <c r="AA70">
        <v>4</v>
      </c>
    </row>
    <row r="71" spans="1:27">
      <c r="A71">
        <v>73</v>
      </c>
      <c r="B71">
        <v>46</v>
      </c>
      <c r="C71">
        <v>1</v>
      </c>
      <c r="D71" t="s">
        <v>268</v>
      </c>
      <c r="E71">
        <v>10</v>
      </c>
      <c r="F71">
        <v>1</v>
      </c>
      <c r="G71">
        <v>1</v>
      </c>
      <c r="H71" t="s">
        <v>605</v>
      </c>
      <c r="I71">
        <v>0</v>
      </c>
      <c r="J71">
        <v>0</v>
      </c>
      <c r="K71">
        <v>0</v>
      </c>
      <c r="L71">
        <v>1</v>
      </c>
      <c r="N71" t="str">
        <f t="shared" si="1"/>
        <v>SELECT 73, 46, 1, 'San Marino', 10, 1 UNION ALL</v>
      </c>
      <c r="X71">
        <v>71</v>
      </c>
      <c r="Y71">
        <v>53</v>
      </c>
      <c r="Z71">
        <v>3</v>
      </c>
      <c r="AA71">
        <v>0</v>
      </c>
    </row>
    <row r="72" spans="1:27">
      <c r="A72">
        <v>74</v>
      </c>
      <c r="B72">
        <v>47</v>
      </c>
      <c r="C72">
        <v>1</v>
      </c>
      <c r="D72" t="s">
        <v>269</v>
      </c>
      <c r="E72">
        <v>10</v>
      </c>
      <c r="F72">
        <v>1</v>
      </c>
      <c r="G72">
        <v>1</v>
      </c>
      <c r="H72" t="s">
        <v>605</v>
      </c>
      <c r="I72">
        <v>0</v>
      </c>
      <c r="J72">
        <v>0</v>
      </c>
      <c r="K72">
        <v>0</v>
      </c>
      <c r="L72">
        <v>1</v>
      </c>
      <c r="N72" t="str">
        <f t="shared" si="1"/>
        <v>SELECT 74, 47, 1, 'Serbia', 10, 1 UNION ALL</v>
      </c>
      <c r="X72">
        <v>72</v>
      </c>
      <c r="Y72">
        <v>53</v>
      </c>
      <c r="Z72">
        <v>4</v>
      </c>
      <c r="AA72">
        <v>1</v>
      </c>
    </row>
    <row r="73" spans="1:27">
      <c r="A73">
        <v>75</v>
      </c>
      <c r="B73">
        <v>48</v>
      </c>
      <c r="C73">
        <v>1</v>
      </c>
      <c r="D73" t="s">
        <v>270</v>
      </c>
      <c r="E73">
        <v>10</v>
      </c>
      <c r="F73">
        <v>1</v>
      </c>
      <c r="G73">
        <v>1</v>
      </c>
      <c r="H73" t="s">
        <v>605</v>
      </c>
      <c r="I73">
        <v>0</v>
      </c>
      <c r="J73">
        <v>0</v>
      </c>
      <c r="K73">
        <v>0</v>
      </c>
      <c r="L73">
        <v>1</v>
      </c>
      <c r="N73" t="str">
        <f t="shared" si="1"/>
        <v>SELECT 75, 48, 1, 'Słowacja', 10, 1 UNION ALL</v>
      </c>
      <c r="X73">
        <v>73</v>
      </c>
      <c r="Y73">
        <v>46</v>
      </c>
      <c r="Z73">
        <v>1</v>
      </c>
      <c r="AA73">
        <v>2</v>
      </c>
    </row>
    <row r="74" spans="1:27">
      <c r="A74">
        <v>76</v>
      </c>
      <c r="B74">
        <v>49</v>
      </c>
      <c r="C74">
        <v>1</v>
      </c>
      <c r="D74" t="s">
        <v>271</v>
      </c>
      <c r="E74">
        <v>10</v>
      </c>
      <c r="F74">
        <v>1</v>
      </c>
      <c r="G74">
        <v>1</v>
      </c>
      <c r="H74" t="s">
        <v>605</v>
      </c>
      <c r="I74">
        <v>0</v>
      </c>
      <c r="J74">
        <v>0</v>
      </c>
      <c r="K74">
        <v>0</v>
      </c>
      <c r="L74">
        <v>1</v>
      </c>
      <c r="N74" t="str">
        <f t="shared" si="1"/>
        <v>SELECT 76, 49, 1, 'Słowenia', 10, 1 UNION ALL</v>
      </c>
      <c r="X74">
        <v>74</v>
      </c>
      <c r="Y74">
        <v>46</v>
      </c>
      <c r="Z74">
        <v>2</v>
      </c>
      <c r="AA74">
        <v>4</v>
      </c>
    </row>
    <row r="75" spans="1:27">
      <c r="A75">
        <v>77</v>
      </c>
      <c r="B75">
        <v>50</v>
      </c>
      <c r="C75">
        <v>1</v>
      </c>
      <c r="D75" t="s">
        <v>272</v>
      </c>
      <c r="E75">
        <v>10</v>
      </c>
      <c r="F75">
        <v>1</v>
      </c>
      <c r="G75">
        <v>1</v>
      </c>
      <c r="H75" t="s">
        <v>605</v>
      </c>
      <c r="I75">
        <v>0</v>
      </c>
      <c r="J75">
        <v>0</v>
      </c>
      <c r="K75">
        <v>0</v>
      </c>
      <c r="L75">
        <v>1</v>
      </c>
      <c r="N75" t="str">
        <f t="shared" si="1"/>
        <v>SELECT 77, 50, 1, 'Szwecja', 10, 1 UNION ALL</v>
      </c>
      <c r="X75">
        <v>75</v>
      </c>
      <c r="Y75">
        <v>46</v>
      </c>
      <c r="Z75">
        <v>3</v>
      </c>
      <c r="AA75">
        <v>0</v>
      </c>
    </row>
    <row r="76" spans="1:27">
      <c r="A76">
        <v>78</v>
      </c>
      <c r="B76">
        <v>51</v>
      </c>
      <c r="C76">
        <v>1</v>
      </c>
      <c r="D76" t="s">
        <v>273</v>
      </c>
      <c r="E76">
        <v>10</v>
      </c>
      <c r="F76">
        <v>1</v>
      </c>
      <c r="G76">
        <v>1</v>
      </c>
      <c r="H76" t="s">
        <v>605</v>
      </c>
      <c r="I76">
        <v>0</v>
      </c>
      <c r="J76">
        <v>0</v>
      </c>
      <c r="K76">
        <v>0</v>
      </c>
      <c r="L76">
        <v>1</v>
      </c>
      <c r="N76" t="str">
        <f t="shared" si="1"/>
        <v>SELECT 78, 51, 1, 'Szwajcaria', 10, 1 UNION ALL</v>
      </c>
      <c r="X76">
        <v>76</v>
      </c>
      <c r="Y76">
        <v>46</v>
      </c>
      <c r="Z76">
        <v>4</v>
      </c>
      <c r="AA76">
        <v>1</v>
      </c>
    </row>
    <row r="77" spans="1:27">
      <c r="A77">
        <v>79</v>
      </c>
      <c r="B77">
        <v>52</v>
      </c>
      <c r="C77">
        <v>1</v>
      </c>
      <c r="D77" t="s">
        <v>274</v>
      </c>
      <c r="E77">
        <v>10</v>
      </c>
      <c r="F77">
        <v>1</v>
      </c>
      <c r="G77">
        <v>1</v>
      </c>
      <c r="H77" t="s">
        <v>605</v>
      </c>
      <c r="I77">
        <v>0</v>
      </c>
      <c r="J77">
        <v>0</v>
      </c>
      <c r="K77">
        <v>0</v>
      </c>
      <c r="L77">
        <v>1</v>
      </c>
      <c r="N77" t="str">
        <f t="shared" si="1"/>
        <v>SELECT 79, 52, 1, 'Turcja', 10, 1 UNION ALL</v>
      </c>
      <c r="X77">
        <v>77</v>
      </c>
      <c r="Y77">
        <v>47</v>
      </c>
      <c r="Z77">
        <v>1</v>
      </c>
      <c r="AA77">
        <v>2</v>
      </c>
    </row>
    <row r="78" spans="1:27">
      <c r="A78">
        <v>80</v>
      </c>
      <c r="B78">
        <v>53</v>
      </c>
      <c r="C78">
        <v>1</v>
      </c>
      <c r="D78" t="s">
        <v>275</v>
      </c>
      <c r="E78">
        <v>10</v>
      </c>
      <c r="F78">
        <v>1</v>
      </c>
      <c r="G78">
        <v>1</v>
      </c>
      <c r="H78" t="s">
        <v>605</v>
      </c>
      <c r="I78">
        <v>0</v>
      </c>
      <c r="J78">
        <v>0</v>
      </c>
      <c r="K78">
        <v>0</v>
      </c>
      <c r="L78">
        <v>1</v>
      </c>
      <c r="N78" t="str">
        <f t="shared" si="1"/>
        <v>SELECT 80, 53, 1, 'Ukraina', 10, 1 UNION ALL</v>
      </c>
      <c r="X78">
        <v>78</v>
      </c>
      <c r="Y78">
        <v>47</v>
      </c>
      <c r="Z78">
        <v>2</v>
      </c>
      <c r="AA78">
        <v>4</v>
      </c>
    </row>
    <row r="79" spans="1:27">
      <c r="A79">
        <v>81</v>
      </c>
      <c r="B79">
        <v>54</v>
      </c>
      <c r="C79">
        <v>1</v>
      </c>
      <c r="D79" t="s">
        <v>276</v>
      </c>
      <c r="E79">
        <v>10</v>
      </c>
      <c r="F79">
        <v>1</v>
      </c>
      <c r="G79">
        <v>1</v>
      </c>
      <c r="H79" t="s">
        <v>605</v>
      </c>
      <c r="I79">
        <v>0</v>
      </c>
      <c r="J79">
        <v>0</v>
      </c>
      <c r="K79">
        <v>0</v>
      </c>
      <c r="L79">
        <v>1</v>
      </c>
      <c r="N79" t="str">
        <f t="shared" si="1"/>
        <v>SELECT 81, 54, 1, 'Wielka Brytania', 10, 1 UNION ALL</v>
      </c>
      <c r="X79">
        <v>79</v>
      </c>
      <c r="Y79">
        <v>47</v>
      </c>
      <c r="Z79">
        <v>3</v>
      </c>
      <c r="AA79">
        <v>0</v>
      </c>
    </row>
    <row r="80" spans="1:27">
      <c r="A80">
        <v>82</v>
      </c>
      <c r="B80">
        <v>55</v>
      </c>
      <c r="C80">
        <v>1</v>
      </c>
      <c r="D80" t="s">
        <v>277</v>
      </c>
      <c r="E80">
        <v>10</v>
      </c>
      <c r="F80">
        <v>1</v>
      </c>
      <c r="G80">
        <v>1</v>
      </c>
      <c r="H80" t="s">
        <v>605</v>
      </c>
      <c r="I80">
        <v>0</v>
      </c>
      <c r="J80">
        <v>0</v>
      </c>
      <c r="K80">
        <v>0</v>
      </c>
      <c r="L80">
        <v>1</v>
      </c>
      <c r="N80" t="str">
        <f t="shared" si="1"/>
        <v>SELECT 82, 55, 1, 'Watykan', 10, 1 UNION ALL</v>
      </c>
      <c r="X80">
        <v>80</v>
      </c>
      <c r="Y80">
        <v>47</v>
      </c>
      <c r="Z80">
        <v>4</v>
      </c>
      <c r="AA80">
        <v>1</v>
      </c>
    </row>
    <row r="81" spans="1:27">
      <c r="A81">
        <v>83</v>
      </c>
      <c r="B81">
        <v>56</v>
      </c>
      <c r="C81">
        <v>1</v>
      </c>
      <c r="D81" t="s">
        <v>278</v>
      </c>
      <c r="E81">
        <v>10</v>
      </c>
      <c r="F81">
        <v>1</v>
      </c>
      <c r="G81">
        <v>1</v>
      </c>
      <c r="H81" t="s">
        <v>605</v>
      </c>
      <c r="I81">
        <v>0</v>
      </c>
      <c r="J81">
        <v>0</v>
      </c>
      <c r="K81">
        <v>0</v>
      </c>
      <c r="L81">
        <v>1</v>
      </c>
      <c r="N81" t="str">
        <f t="shared" si="1"/>
        <v>SELECT 83, 56, 1, 'Szkocja', 10, 1 UNION ALL</v>
      </c>
      <c r="X81">
        <v>81</v>
      </c>
      <c r="Y81">
        <v>48</v>
      </c>
      <c r="Z81">
        <v>1</v>
      </c>
      <c r="AA81">
        <v>2</v>
      </c>
    </row>
    <row r="82" spans="1:27">
      <c r="A82">
        <v>85</v>
      </c>
      <c r="B82">
        <v>13</v>
      </c>
      <c r="C82">
        <v>2</v>
      </c>
      <c r="D82" t="s">
        <v>606</v>
      </c>
      <c r="E82">
        <v>10</v>
      </c>
      <c r="F82">
        <v>1</v>
      </c>
      <c r="G82">
        <v>1</v>
      </c>
      <c r="H82" t="s">
        <v>605</v>
      </c>
      <c r="I82">
        <v>0</v>
      </c>
      <c r="J82">
        <v>0</v>
      </c>
      <c r="K82">
        <v>0</v>
      </c>
      <c r="L82">
        <v>1</v>
      </c>
      <c r="N82" t="str">
        <f t="shared" si="1"/>
        <v>SELECT 85, 13, 2, 'Andorra', 10, 1 UNION ALL</v>
      </c>
      <c r="X82">
        <v>82</v>
      </c>
      <c r="Y82">
        <v>48</v>
      </c>
      <c r="Z82">
        <v>2</v>
      </c>
      <c r="AA82">
        <v>4</v>
      </c>
    </row>
    <row r="83" spans="1:27">
      <c r="A83">
        <v>86</v>
      </c>
      <c r="B83">
        <v>14</v>
      </c>
      <c r="C83">
        <v>2</v>
      </c>
      <c r="D83" t="s">
        <v>235</v>
      </c>
      <c r="E83">
        <v>10</v>
      </c>
      <c r="F83">
        <v>1</v>
      </c>
      <c r="G83">
        <v>1</v>
      </c>
      <c r="H83" t="s">
        <v>605</v>
      </c>
      <c r="I83">
        <v>0</v>
      </c>
      <c r="J83">
        <v>0</v>
      </c>
      <c r="K83">
        <v>0</v>
      </c>
      <c r="L83">
        <v>1</v>
      </c>
      <c r="N83" t="str">
        <f t="shared" si="1"/>
        <v>SELECT 86, 14, 2, 'Armenia', 10, 1 UNION ALL</v>
      </c>
      <c r="X83">
        <v>83</v>
      </c>
      <c r="Y83">
        <v>48</v>
      </c>
      <c r="Z83">
        <v>3</v>
      </c>
      <c r="AA83">
        <v>0</v>
      </c>
    </row>
    <row r="84" spans="1:27">
      <c r="A84">
        <v>87</v>
      </c>
      <c r="B84">
        <v>15</v>
      </c>
      <c r="C84">
        <v>2</v>
      </c>
      <c r="D84" t="s">
        <v>236</v>
      </c>
      <c r="E84">
        <v>10</v>
      </c>
      <c r="F84">
        <v>1</v>
      </c>
      <c r="G84">
        <v>1</v>
      </c>
      <c r="H84" t="s">
        <v>605</v>
      </c>
      <c r="I84">
        <v>0</v>
      </c>
      <c r="J84">
        <v>0</v>
      </c>
      <c r="K84">
        <v>0</v>
      </c>
      <c r="L84">
        <v>1</v>
      </c>
      <c r="N84" t="str">
        <f t="shared" si="1"/>
        <v>SELECT 87, 15, 2, 'Austria', 10, 1 UNION ALL</v>
      </c>
      <c r="X84">
        <v>84</v>
      </c>
      <c r="Y84">
        <v>48</v>
      </c>
      <c r="Z84">
        <v>4</v>
      </c>
      <c r="AA84">
        <v>1</v>
      </c>
    </row>
    <row r="85" spans="1:27">
      <c r="A85">
        <v>88</v>
      </c>
      <c r="B85">
        <v>16</v>
      </c>
      <c r="C85">
        <v>2</v>
      </c>
      <c r="D85" t="s">
        <v>607</v>
      </c>
      <c r="E85">
        <v>10</v>
      </c>
      <c r="F85">
        <v>1</v>
      </c>
      <c r="G85">
        <v>1</v>
      </c>
      <c r="H85" t="s">
        <v>605</v>
      </c>
      <c r="I85">
        <v>0</v>
      </c>
      <c r="J85">
        <v>0</v>
      </c>
      <c r="K85">
        <v>0</v>
      </c>
      <c r="L85">
        <v>1</v>
      </c>
      <c r="N85" t="str">
        <f t="shared" si="1"/>
        <v>SELECT 88, 16, 2, 'Azerbaijan', 10, 1 UNION ALL</v>
      </c>
      <c r="X85">
        <v>85</v>
      </c>
      <c r="Y85">
        <v>49</v>
      </c>
      <c r="Z85">
        <v>1</v>
      </c>
      <c r="AA85">
        <v>1</v>
      </c>
    </row>
    <row r="86" spans="1:27">
      <c r="A86">
        <v>89</v>
      </c>
      <c r="B86">
        <v>17</v>
      </c>
      <c r="C86">
        <v>2</v>
      </c>
      <c r="D86" t="s">
        <v>608</v>
      </c>
      <c r="E86">
        <v>10</v>
      </c>
      <c r="F86">
        <v>1</v>
      </c>
      <c r="G86">
        <v>1</v>
      </c>
      <c r="H86" t="s">
        <v>605</v>
      </c>
      <c r="I86">
        <v>0</v>
      </c>
      <c r="J86">
        <v>0</v>
      </c>
      <c r="K86">
        <v>0</v>
      </c>
      <c r="L86">
        <v>1</v>
      </c>
      <c r="N86" t="str">
        <f t="shared" si="1"/>
        <v>SELECT 89, 17, 2, 'Belarus', 10, 1 UNION ALL</v>
      </c>
      <c r="X86">
        <v>86</v>
      </c>
      <c r="Y86">
        <v>49</v>
      </c>
      <c r="Z86">
        <v>2</v>
      </c>
      <c r="AA86">
        <v>4</v>
      </c>
    </row>
    <row r="87" spans="1:27">
      <c r="A87">
        <v>90</v>
      </c>
      <c r="B87">
        <v>18</v>
      </c>
      <c r="C87">
        <v>2</v>
      </c>
      <c r="D87" t="s">
        <v>609</v>
      </c>
      <c r="E87">
        <v>10</v>
      </c>
      <c r="F87">
        <v>1</v>
      </c>
      <c r="G87">
        <v>1</v>
      </c>
      <c r="H87" t="s">
        <v>605</v>
      </c>
      <c r="I87">
        <v>0</v>
      </c>
      <c r="J87">
        <v>0</v>
      </c>
      <c r="K87">
        <v>0</v>
      </c>
      <c r="L87">
        <v>1</v>
      </c>
      <c r="N87" t="str">
        <f t="shared" si="1"/>
        <v>SELECT 90, 18, 2, 'Belgium', 10, 1 UNION ALL</v>
      </c>
      <c r="X87">
        <v>87</v>
      </c>
      <c r="Y87">
        <v>49</v>
      </c>
      <c r="Z87">
        <v>3</v>
      </c>
      <c r="AA87">
        <v>0</v>
      </c>
    </row>
    <row r="88" spans="1:27">
      <c r="A88">
        <v>91</v>
      </c>
      <c r="B88">
        <v>19</v>
      </c>
      <c r="C88">
        <v>2</v>
      </c>
      <c r="D88" t="s">
        <v>610</v>
      </c>
      <c r="E88">
        <v>10</v>
      </c>
      <c r="F88">
        <v>1</v>
      </c>
      <c r="G88">
        <v>1</v>
      </c>
      <c r="H88" t="s">
        <v>605</v>
      </c>
      <c r="I88">
        <v>0</v>
      </c>
      <c r="J88">
        <v>0</v>
      </c>
      <c r="K88">
        <v>0</v>
      </c>
      <c r="L88">
        <v>1</v>
      </c>
      <c r="N88" t="str">
        <f t="shared" si="1"/>
        <v>SELECT 91, 19, 2, 'Bosnia and Herzegovina', 10, 1 UNION ALL</v>
      </c>
      <c r="X88">
        <v>88</v>
      </c>
      <c r="Y88">
        <v>49</v>
      </c>
      <c r="Z88">
        <v>4</v>
      </c>
      <c r="AA88">
        <v>1</v>
      </c>
    </row>
    <row r="89" spans="1:27">
      <c r="A89">
        <v>92</v>
      </c>
      <c r="B89">
        <v>20</v>
      </c>
      <c r="C89">
        <v>2</v>
      </c>
      <c r="D89" t="s">
        <v>611</v>
      </c>
      <c r="E89">
        <v>10</v>
      </c>
      <c r="F89">
        <v>1</v>
      </c>
      <c r="G89">
        <v>1</v>
      </c>
      <c r="H89" t="s">
        <v>605</v>
      </c>
      <c r="I89">
        <v>0</v>
      </c>
      <c r="J89">
        <v>0</v>
      </c>
      <c r="K89">
        <v>0</v>
      </c>
      <c r="L89">
        <v>1</v>
      </c>
      <c r="N89" t="str">
        <f t="shared" si="1"/>
        <v>SELECT 92, 20, 2, 'Bulgaria', 10, 1 UNION ALL</v>
      </c>
      <c r="X89">
        <v>89</v>
      </c>
      <c r="Y89">
        <v>50</v>
      </c>
      <c r="Z89">
        <v>1</v>
      </c>
      <c r="AA89">
        <v>1</v>
      </c>
    </row>
    <row r="90" spans="1:27">
      <c r="A90">
        <v>93</v>
      </c>
      <c r="B90">
        <v>21</v>
      </c>
      <c r="C90">
        <v>2</v>
      </c>
      <c r="D90" t="s">
        <v>612</v>
      </c>
      <c r="E90">
        <v>10</v>
      </c>
      <c r="F90">
        <v>1</v>
      </c>
      <c r="G90">
        <v>1</v>
      </c>
      <c r="H90" t="s">
        <v>605</v>
      </c>
      <c r="I90">
        <v>0</v>
      </c>
      <c r="J90">
        <v>0</v>
      </c>
      <c r="K90">
        <v>0</v>
      </c>
      <c r="L90">
        <v>1</v>
      </c>
      <c r="N90" t="str">
        <f t="shared" si="1"/>
        <v>SELECT 93, 21, 2, 'Croatia', 10, 1 UNION ALL</v>
      </c>
      <c r="X90">
        <v>90</v>
      </c>
      <c r="Y90">
        <v>50</v>
      </c>
      <c r="Z90">
        <v>2</v>
      </c>
      <c r="AA90">
        <v>5</v>
      </c>
    </row>
    <row r="91" spans="1:27">
      <c r="A91">
        <v>94</v>
      </c>
      <c r="B91">
        <v>22</v>
      </c>
      <c r="C91">
        <v>2</v>
      </c>
      <c r="D91" t="s">
        <v>613</v>
      </c>
      <c r="E91">
        <v>10</v>
      </c>
      <c r="F91">
        <v>1</v>
      </c>
      <c r="G91">
        <v>1</v>
      </c>
      <c r="H91" t="s">
        <v>605</v>
      </c>
      <c r="I91">
        <v>0</v>
      </c>
      <c r="J91">
        <v>0</v>
      </c>
      <c r="K91">
        <v>0</v>
      </c>
      <c r="L91">
        <v>1</v>
      </c>
      <c r="N91" t="str">
        <f t="shared" si="1"/>
        <v>SELECT 94, 22, 2, 'Cyprus', 10, 1 UNION ALL</v>
      </c>
      <c r="X91">
        <v>91</v>
      </c>
      <c r="Y91">
        <v>50</v>
      </c>
      <c r="Z91">
        <v>3</v>
      </c>
      <c r="AA91">
        <v>0</v>
      </c>
    </row>
    <row r="92" spans="1:27">
      <c r="A92">
        <v>95</v>
      </c>
      <c r="B92">
        <v>23</v>
      </c>
      <c r="C92">
        <v>2</v>
      </c>
      <c r="D92" t="s">
        <v>614</v>
      </c>
      <c r="E92">
        <v>10</v>
      </c>
      <c r="F92">
        <v>1</v>
      </c>
      <c r="G92">
        <v>1</v>
      </c>
      <c r="H92" t="s">
        <v>605</v>
      </c>
      <c r="I92">
        <v>0</v>
      </c>
      <c r="J92">
        <v>0</v>
      </c>
      <c r="K92">
        <v>0</v>
      </c>
      <c r="L92">
        <v>1</v>
      </c>
      <c r="N92" t="str">
        <f t="shared" si="1"/>
        <v>SELECT 95, 23, 2, 'Czech Republic', 10, 1 UNION ALL</v>
      </c>
      <c r="X92">
        <v>92</v>
      </c>
      <c r="Y92">
        <v>50</v>
      </c>
      <c r="Z92">
        <v>4</v>
      </c>
      <c r="AA92">
        <v>1</v>
      </c>
    </row>
    <row r="93" spans="1:27">
      <c r="A93">
        <v>96</v>
      </c>
      <c r="B93">
        <v>24</v>
      </c>
      <c r="C93">
        <v>2</v>
      </c>
      <c r="D93" t="s">
        <v>615</v>
      </c>
      <c r="E93">
        <v>10</v>
      </c>
      <c r="F93">
        <v>1</v>
      </c>
      <c r="G93">
        <v>1</v>
      </c>
      <c r="H93" t="s">
        <v>605</v>
      </c>
      <c r="I93">
        <v>0</v>
      </c>
      <c r="J93">
        <v>0</v>
      </c>
      <c r="K93">
        <v>0</v>
      </c>
      <c r="L93">
        <v>1</v>
      </c>
      <c r="N93" t="str">
        <f t="shared" si="1"/>
        <v>SELECT 96, 24, 2, 'Denmark', 10, 1 UNION ALL</v>
      </c>
      <c r="X93">
        <v>93</v>
      </c>
      <c r="Y93">
        <v>54</v>
      </c>
      <c r="Z93">
        <v>1</v>
      </c>
      <c r="AA93">
        <v>2</v>
      </c>
    </row>
    <row r="94" spans="1:27">
      <c r="A94">
        <v>97</v>
      </c>
      <c r="B94">
        <v>25</v>
      </c>
      <c r="C94">
        <v>2</v>
      </c>
      <c r="D94" t="s">
        <v>247</v>
      </c>
      <c r="E94">
        <v>10</v>
      </c>
      <c r="F94">
        <v>1</v>
      </c>
      <c r="G94">
        <v>1</v>
      </c>
      <c r="H94" t="s">
        <v>605</v>
      </c>
      <c r="I94">
        <v>0</v>
      </c>
      <c r="J94">
        <v>0</v>
      </c>
      <c r="K94">
        <v>0</v>
      </c>
      <c r="L94">
        <v>1</v>
      </c>
      <c r="N94" t="str">
        <f t="shared" si="1"/>
        <v>SELECT 97, 25, 2, 'Estonia', 10, 1 UNION ALL</v>
      </c>
      <c r="X94">
        <v>94</v>
      </c>
      <c r="Y94">
        <v>54</v>
      </c>
      <c r="Z94">
        <v>2</v>
      </c>
      <c r="AA94">
        <v>4</v>
      </c>
    </row>
    <row r="95" spans="1:27">
      <c r="A95">
        <v>98</v>
      </c>
      <c r="B95">
        <v>26</v>
      </c>
      <c r="C95">
        <v>2</v>
      </c>
      <c r="D95" t="s">
        <v>616</v>
      </c>
      <c r="E95">
        <v>10</v>
      </c>
      <c r="F95">
        <v>1</v>
      </c>
      <c r="G95">
        <v>1</v>
      </c>
      <c r="H95" t="s">
        <v>605</v>
      </c>
      <c r="I95">
        <v>0</v>
      </c>
      <c r="J95">
        <v>0</v>
      </c>
      <c r="K95">
        <v>0</v>
      </c>
      <c r="L95">
        <v>1</v>
      </c>
      <c r="N95" t="str">
        <f t="shared" si="1"/>
        <v>SELECT 98, 26, 2, 'Finland', 10, 1 UNION ALL</v>
      </c>
      <c r="X95">
        <v>95</v>
      </c>
      <c r="Y95">
        <v>54</v>
      </c>
      <c r="Z95">
        <v>3</v>
      </c>
      <c r="AA95">
        <v>0</v>
      </c>
    </row>
    <row r="96" spans="1:27">
      <c r="A96">
        <v>99</v>
      </c>
      <c r="B96">
        <v>27</v>
      </c>
      <c r="C96">
        <v>2</v>
      </c>
      <c r="D96" t="s">
        <v>617</v>
      </c>
      <c r="E96">
        <v>10</v>
      </c>
      <c r="F96">
        <v>1</v>
      </c>
      <c r="G96">
        <v>1</v>
      </c>
      <c r="H96" t="s">
        <v>605</v>
      </c>
      <c r="I96">
        <v>0</v>
      </c>
      <c r="J96">
        <v>0</v>
      </c>
      <c r="K96">
        <v>0</v>
      </c>
      <c r="L96">
        <v>1</v>
      </c>
      <c r="N96" t="str">
        <f t="shared" si="1"/>
        <v>SELECT 99, 27, 2, 'Georgia', 10, 1 UNION ALL</v>
      </c>
      <c r="X96">
        <v>96</v>
      </c>
      <c r="Y96">
        <v>54</v>
      </c>
      <c r="Z96">
        <v>4</v>
      </c>
      <c r="AA96">
        <v>1</v>
      </c>
    </row>
    <row r="97" spans="1:27">
      <c r="A97">
        <v>100</v>
      </c>
      <c r="B97">
        <v>28</v>
      </c>
      <c r="C97">
        <v>2</v>
      </c>
      <c r="D97" t="s">
        <v>618</v>
      </c>
      <c r="E97">
        <v>10</v>
      </c>
      <c r="F97">
        <v>1</v>
      </c>
      <c r="G97">
        <v>1</v>
      </c>
      <c r="H97" t="s">
        <v>605</v>
      </c>
      <c r="I97">
        <v>0</v>
      </c>
      <c r="J97">
        <v>0</v>
      </c>
      <c r="K97">
        <v>0</v>
      </c>
      <c r="L97">
        <v>1</v>
      </c>
      <c r="N97" t="str">
        <f t="shared" si="1"/>
        <v>SELECT 100, 28, 2, 'Greece', 10, 1 UNION ALL</v>
      </c>
      <c r="X97">
        <v>97</v>
      </c>
      <c r="Y97">
        <v>55</v>
      </c>
      <c r="Z97">
        <v>1</v>
      </c>
      <c r="AA97">
        <v>2</v>
      </c>
    </row>
    <row r="98" spans="1:27">
      <c r="A98">
        <v>101</v>
      </c>
      <c r="B98">
        <v>29</v>
      </c>
      <c r="C98">
        <v>2</v>
      </c>
      <c r="D98" t="s">
        <v>619</v>
      </c>
      <c r="E98">
        <v>10</v>
      </c>
      <c r="F98">
        <v>1</v>
      </c>
      <c r="G98">
        <v>1</v>
      </c>
      <c r="H98" t="s">
        <v>605</v>
      </c>
      <c r="I98">
        <v>0</v>
      </c>
      <c r="J98">
        <v>0</v>
      </c>
      <c r="K98">
        <v>0</v>
      </c>
      <c r="L98">
        <v>1</v>
      </c>
      <c r="N98" t="str">
        <f t="shared" si="1"/>
        <v>SELECT 101, 29, 2, 'Hungary', 10, 1 UNION ALL</v>
      </c>
      <c r="X98">
        <v>98</v>
      </c>
      <c r="Y98">
        <v>55</v>
      </c>
      <c r="Z98">
        <v>2</v>
      </c>
      <c r="AA98">
        <v>4</v>
      </c>
    </row>
    <row r="99" spans="1:27">
      <c r="A99">
        <v>102</v>
      </c>
      <c r="B99">
        <v>30</v>
      </c>
      <c r="C99">
        <v>2</v>
      </c>
      <c r="D99" t="s">
        <v>620</v>
      </c>
      <c r="E99">
        <v>10</v>
      </c>
      <c r="F99">
        <v>1</v>
      </c>
      <c r="G99">
        <v>1</v>
      </c>
      <c r="H99" t="s">
        <v>605</v>
      </c>
      <c r="I99">
        <v>0</v>
      </c>
      <c r="J99">
        <v>0</v>
      </c>
      <c r="K99">
        <v>0</v>
      </c>
      <c r="L99">
        <v>1</v>
      </c>
      <c r="N99" t="str">
        <f t="shared" si="1"/>
        <v>SELECT 102, 30, 2, 'Iceland', 10, 1 UNION ALL</v>
      </c>
      <c r="X99">
        <v>99</v>
      </c>
      <c r="Y99">
        <v>55</v>
      </c>
      <c r="Z99">
        <v>3</v>
      </c>
      <c r="AA99">
        <v>0</v>
      </c>
    </row>
    <row r="100" spans="1:27">
      <c r="A100">
        <v>103</v>
      </c>
      <c r="B100">
        <v>31</v>
      </c>
      <c r="C100">
        <v>2</v>
      </c>
      <c r="D100" t="s">
        <v>621</v>
      </c>
      <c r="E100">
        <v>5</v>
      </c>
      <c r="F100">
        <v>1</v>
      </c>
      <c r="G100">
        <v>1</v>
      </c>
      <c r="H100" t="s">
        <v>605</v>
      </c>
      <c r="I100">
        <v>0</v>
      </c>
      <c r="J100">
        <v>0</v>
      </c>
      <c r="K100">
        <v>0</v>
      </c>
      <c r="L100">
        <v>1</v>
      </c>
      <c r="N100" t="str">
        <f t="shared" si="1"/>
        <v>SELECT 103, 31, 2, 'Republic of Ireland', 5, 1 UNION ALL</v>
      </c>
      <c r="X100">
        <v>100</v>
      </c>
      <c r="Y100">
        <v>55</v>
      </c>
      <c r="Z100">
        <v>4</v>
      </c>
      <c r="AA100">
        <v>1</v>
      </c>
    </row>
    <row r="101" spans="1:27">
      <c r="A101">
        <v>104</v>
      </c>
      <c r="B101">
        <v>32</v>
      </c>
      <c r="C101">
        <v>2</v>
      </c>
      <c r="D101" t="s">
        <v>622</v>
      </c>
      <c r="E101">
        <v>10</v>
      </c>
      <c r="F101">
        <v>1</v>
      </c>
      <c r="G101">
        <v>1</v>
      </c>
      <c r="H101" t="s">
        <v>605</v>
      </c>
      <c r="I101">
        <v>0</v>
      </c>
      <c r="J101">
        <v>0</v>
      </c>
      <c r="K101">
        <v>0</v>
      </c>
      <c r="L101">
        <v>1</v>
      </c>
      <c r="N101" t="str">
        <f t="shared" si="1"/>
        <v>SELECT 104, 32, 2, 'Kazakhstan', 10, 1 UNION ALL</v>
      </c>
      <c r="X101">
        <v>101</v>
      </c>
      <c r="Y101">
        <v>56</v>
      </c>
      <c r="Z101">
        <v>1</v>
      </c>
      <c r="AA101">
        <v>2</v>
      </c>
    </row>
    <row r="102" spans="1:27">
      <c r="A102">
        <v>105</v>
      </c>
      <c r="B102">
        <v>33</v>
      </c>
      <c r="C102">
        <v>2</v>
      </c>
      <c r="D102" t="s">
        <v>623</v>
      </c>
      <c r="E102">
        <v>10</v>
      </c>
      <c r="F102">
        <v>1</v>
      </c>
      <c r="G102">
        <v>1</v>
      </c>
      <c r="H102" t="s">
        <v>605</v>
      </c>
      <c r="I102">
        <v>0</v>
      </c>
      <c r="J102">
        <v>0</v>
      </c>
      <c r="K102">
        <v>0</v>
      </c>
      <c r="L102">
        <v>1</v>
      </c>
      <c r="N102" t="str">
        <f t="shared" si="1"/>
        <v>SELECT 105, 33, 2, 'Latvia', 10, 1 UNION ALL</v>
      </c>
      <c r="X102">
        <v>102</v>
      </c>
      <c r="Y102">
        <v>56</v>
      </c>
      <c r="Z102">
        <v>2</v>
      </c>
      <c r="AA102">
        <v>5</v>
      </c>
    </row>
    <row r="103" spans="1:27">
      <c r="A103">
        <v>106</v>
      </c>
      <c r="B103">
        <v>34</v>
      </c>
      <c r="C103">
        <v>2</v>
      </c>
      <c r="D103" t="s">
        <v>256</v>
      </c>
      <c r="E103">
        <v>10</v>
      </c>
      <c r="F103">
        <v>1</v>
      </c>
      <c r="G103">
        <v>1</v>
      </c>
      <c r="H103" t="s">
        <v>605</v>
      </c>
      <c r="I103">
        <v>0</v>
      </c>
      <c r="J103">
        <v>0</v>
      </c>
      <c r="K103">
        <v>0</v>
      </c>
      <c r="L103">
        <v>1</v>
      </c>
      <c r="N103" t="str">
        <f t="shared" si="1"/>
        <v>SELECT 106, 34, 2, 'Liechtenstein', 10, 1 UNION ALL</v>
      </c>
      <c r="X103">
        <v>103</v>
      </c>
      <c r="Y103">
        <v>56</v>
      </c>
      <c r="Z103">
        <v>3</v>
      </c>
      <c r="AA103">
        <v>0</v>
      </c>
    </row>
    <row r="104" spans="1:27">
      <c r="A104">
        <v>107</v>
      </c>
      <c r="B104">
        <v>35</v>
      </c>
      <c r="C104">
        <v>2</v>
      </c>
      <c r="D104" t="s">
        <v>624</v>
      </c>
      <c r="E104">
        <v>10</v>
      </c>
      <c r="F104">
        <v>1</v>
      </c>
      <c r="G104">
        <v>1</v>
      </c>
      <c r="H104" t="s">
        <v>605</v>
      </c>
      <c r="I104">
        <v>0</v>
      </c>
      <c r="J104">
        <v>0</v>
      </c>
      <c r="K104">
        <v>0</v>
      </c>
      <c r="L104">
        <v>1</v>
      </c>
      <c r="N104" t="str">
        <f t="shared" si="1"/>
        <v>SELECT 107, 35, 2, 'Lithuania', 10, 1 UNION ALL</v>
      </c>
      <c r="X104">
        <v>104</v>
      </c>
      <c r="Y104">
        <v>56</v>
      </c>
      <c r="Z104">
        <v>4</v>
      </c>
      <c r="AA104">
        <v>1</v>
      </c>
    </row>
    <row r="105" spans="1:27">
      <c r="A105">
        <v>108</v>
      </c>
      <c r="B105">
        <v>36</v>
      </c>
      <c r="C105">
        <v>2</v>
      </c>
      <c r="D105" t="s">
        <v>625</v>
      </c>
      <c r="E105">
        <v>10</v>
      </c>
      <c r="F105">
        <v>1</v>
      </c>
      <c r="G105">
        <v>1</v>
      </c>
      <c r="H105" t="s">
        <v>605</v>
      </c>
      <c r="I105">
        <v>0</v>
      </c>
      <c r="J105">
        <v>0</v>
      </c>
      <c r="K105">
        <v>0</v>
      </c>
      <c r="L105">
        <v>1</v>
      </c>
      <c r="N105" t="str">
        <f t="shared" si="1"/>
        <v>SELECT 108, 36, 2, 'Luxembourg', 10, 1 UNION ALL</v>
      </c>
      <c r="X105">
        <v>105</v>
      </c>
      <c r="Y105">
        <v>57</v>
      </c>
      <c r="Z105">
        <v>1</v>
      </c>
      <c r="AA105">
        <v>2</v>
      </c>
    </row>
    <row r="106" spans="1:27">
      <c r="A106">
        <v>109</v>
      </c>
      <c r="B106">
        <v>37</v>
      </c>
      <c r="C106">
        <v>2</v>
      </c>
      <c r="D106" t="s">
        <v>259</v>
      </c>
      <c r="E106">
        <v>10</v>
      </c>
      <c r="F106">
        <v>1</v>
      </c>
      <c r="G106">
        <v>1</v>
      </c>
      <c r="H106" t="s">
        <v>605</v>
      </c>
      <c r="I106">
        <v>0</v>
      </c>
      <c r="J106">
        <v>0</v>
      </c>
      <c r="K106">
        <v>0</v>
      </c>
      <c r="L106">
        <v>1</v>
      </c>
      <c r="N106" t="str">
        <f t="shared" si="1"/>
        <v>SELECT 109, 37, 2, 'Macedonia', 10, 1 UNION ALL</v>
      </c>
      <c r="X106">
        <v>106</v>
      </c>
      <c r="Y106">
        <v>57</v>
      </c>
      <c r="Z106">
        <v>2</v>
      </c>
      <c r="AA106">
        <v>4</v>
      </c>
    </row>
    <row r="107" spans="1:27">
      <c r="A107">
        <v>110</v>
      </c>
      <c r="B107">
        <v>38</v>
      </c>
      <c r="C107">
        <v>2</v>
      </c>
      <c r="D107" t="s">
        <v>260</v>
      </c>
      <c r="E107">
        <v>10</v>
      </c>
      <c r="F107">
        <v>1</v>
      </c>
      <c r="G107">
        <v>1</v>
      </c>
      <c r="H107" t="s">
        <v>605</v>
      </c>
      <c r="I107">
        <v>0</v>
      </c>
      <c r="J107">
        <v>0</v>
      </c>
      <c r="K107">
        <v>0</v>
      </c>
      <c r="L107">
        <v>1</v>
      </c>
      <c r="N107" t="str">
        <f t="shared" si="1"/>
        <v>SELECT 110, 38, 2, 'Malta', 10, 1 UNION ALL</v>
      </c>
      <c r="X107">
        <v>107</v>
      </c>
      <c r="Y107">
        <v>57</v>
      </c>
      <c r="Z107">
        <v>3</v>
      </c>
      <c r="AA107">
        <v>0</v>
      </c>
    </row>
    <row r="108" spans="1:27">
      <c r="A108">
        <v>111</v>
      </c>
      <c r="B108">
        <v>39</v>
      </c>
      <c r="C108">
        <v>2</v>
      </c>
      <c r="D108" t="s">
        <v>626</v>
      </c>
      <c r="E108">
        <v>10</v>
      </c>
      <c r="F108">
        <v>1</v>
      </c>
      <c r="G108">
        <v>1</v>
      </c>
      <c r="H108" t="s">
        <v>605</v>
      </c>
      <c r="I108">
        <v>0</v>
      </c>
      <c r="J108">
        <v>0</v>
      </c>
      <c r="K108">
        <v>0</v>
      </c>
      <c r="L108">
        <v>1</v>
      </c>
      <c r="N108" t="str">
        <f t="shared" si="1"/>
        <v>SELECT 111, 39, 2, 'Moldova', 10, 1 UNION ALL</v>
      </c>
      <c r="X108">
        <v>108</v>
      </c>
      <c r="Y108">
        <v>57</v>
      </c>
      <c r="Z108">
        <v>4</v>
      </c>
      <c r="AA108">
        <v>1</v>
      </c>
    </row>
    <row r="109" spans="1:27">
      <c r="A109">
        <v>112</v>
      </c>
      <c r="B109">
        <v>40</v>
      </c>
      <c r="C109">
        <v>2</v>
      </c>
      <c r="D109" t="s">
        <v>627</v>
      </c>
      <c r="E109">
        <v>10</v>
      </c>
      <c r="F109">
        <v>1</v>
      </c>
      <c r="G109">
        <v>1</v>
      </c>
      <c r="H109" t="s">
        <v>605</v>
      </c>
      <c r="I109">
        <v>0</v>
      </c>
      <c r="J109">
        <v>0</v>
      </c>
      <c r="K109">
        <v>0</v>
      </c>
      <c r="L109">
        <v>1</v>
      </c>
      <c r="N109" t="str">
        <f t="shared" si="1"/>
        <v>SELECT 112, 40, 2, 'Monaco', 10, 1 UNION ALL</v>
      </c>
      <c r="X109">
        <v>109</v>
      </c>
      <c r="Y109">
        <v>58</v>
      </c>
      <c r="Z109">
        <v>1</v>
      </c>
      <c r="AA109">
        <v>2</v>
      </c>
    </row>
    <row r="110" spans="1:27">
      <c r="A110">
        <v>113</v>
      </c>
      <c r="B110">
        <v>41</v>
      </c>
      <c r="C110">
        <v>2</v>
      </c>
      <c r="D110" t="s">
        <v>628</v>
      </c>
      <c r="E110">
        <v>10</v>
      </c>
      <c r="F110">
        <v>1</v>
      </c>
      <c r="G110">
        <v>1</v>
      </c>
      <c r="H110" t="s">
        <v>605</v>
      </c>
      <c r="I110">
        <v>0</v>
      </c>
      <c r="J110">
        <v>0</v>
      </c>
      <c r="K110">
        <v>0</v>
      </c>
      <c r="L110">
        <v>1</v>
      </c>
      <c r="N110" t="str">
        <f t="shared" si="1"/>
        <v>SELECT 113, 41, 2, 'Montenegro', 10, 1 UNION ALL</v>
      </c>
      <c r="X110">
        <v>110</v>
      </c>
      <c r="Y110">
        <v>58</v>
      </c>
      <c r="Z110">
        <v>2</v>
      </c>
      <c r="AA110">
        <v>4</v>
      </c>
    </row>
    <row r="111" spans="1:27">
      <c r="A111">
        <v>114</v>
      </c>
      <c r="B111">
        <v>42</v>
      </c>
      <c r="C111">
        <v>2</v>
      </c>
      <c r="D111" t="s">
        <v>629</v>
      </c>
      <c r="E111">
        <v>10</v>
      </c>
      <c r="F111">
        <v>1</v>
      </c>
      <c r="G111">
        <v>1</v>
      </c>
      <c r="H111" t="s">
        <v>605</v>
      </c>
      <c r="I111">
        <v>0</v>
      </c>
      <c r="J111">
        <v>0</v>
      </c>
      <c r="K111">
        <v>0</v>
      </c>
      <c r="L111">
        <v>1</v>
      </c>
      <c r="N111" t="str">
        <f t="shared" si="1"/>
        <v>SELECT 114, 42, 2, 'the Netherlands', 10, 1 UNION ALL</v>
      </c>
      <c r="X111">
        <v>111</v>
      </c>
      <c r="Y111">
        <v>58</v>
      </c>
      <c r="Z111">
        <v>3</v>
      </c>
      <c r="AA111">
        <v>0</v>
      </c>
    </row>
    <row r="112" spans="1:27">
      <c r="A112">
        <v>115</v>
      </c>
      <c r="B112">
        <v>43</v>
      </c>
      <c r="C112">
        <v>2</v>
      </c>
      <c r="D112" t="s">
        <v>630</v>
      </c>
      <c r="E112">
        <v>10</v>
      </c>
      <c r="F112">
        <v>1</v>
      </c>
      <c r="G112">
        <v>1</v>
      </c>
      <c r="H112" t="s">
        <v>605</v>
      </c>
      <c r="I112">
        <v>0</v>
      </c>
      <c r="J112">
        <v>0</v>
      </c>
      <c r="K112">
        <v>0</v>
      </c>
      <c r="L112">
        <v>1</v>
      </c>
      <c r="N112" t="str">
        <f t="shared" si="1"/>
        <v>SELECT 115, 43, 2, 'Norway', 10, 1 UNION ALL</v>
      </c>
      <c r="X112">
        <v>112</v>
      </c>
      <c r="Y112">
        <v>58</v>
      </c>
      <c r="Z112">
        <v>4</v>
      </c>
      <c r="AA112">
        <v>1</v>
      </c>
    </row>
    <row r="113" spans="1:27">
      <c r="A113">
        <v>116</v>
      </c>
      <c r="B113">
        <v>44</v>
      </c>
      <c r="C113">
        <v>2</v>
      </c>
      <c r="D113" t="s">
        <v>631</v>
      </c>
      <c r="E113">
        <v>10</v>
      </c>
      <c r="F113">
        <v>1</v>
      </c>
      <c r="G113">
        <v>1</v>
      </c>
      <c r="H113" t="s">
        <v>605</v>
      </c>
      <c r="I113">
        <v>0</v>
      </c>
      <c r="J113">
        <v>0</v>
      </c>
      <c r="K113">
        <v>0</v>
      </c>
      <c r="L113">
        <v>1</v>
      </c>
      <c r="N113" t="str">
        <f t="shared" si="1"/>
        <v>SELECT 116, 44, 2, 'Portugal', 10, 1 UNION ALL</v>
      </c>
      <c r="X113">
        <v>113</v>
      </c>
      <c r="Y113">
        <v>59</v>
      </c>
      <c r="Z113">
        <v>1</v>
      </c>
      <c r="AA113">
        <v>1</v>
      </c>
    </row>
    <row r="114" spans="1:27">
      <c r="A114">
        <v>117</v>
      </c>
      <c r="B114">
        <v>45</v>
      </c>
      <c r="C114">
        <v>2</v>
      </c>
      <c r="D114" t="s">
        <v>632</v>
      </c>
      <c r="E114">
        <v>10</v>
      </c>
      <c r="F114">
        <v>1</v>
      </c>
      <c r="G114">
        <v>1</v>
      </c>
      <c r="H114" t="s">
        <v>605</v>
      </c>
      <c r="I114">
        <v>0</v>
      </c>
      <c r="J114">
        <v>0</v>
      </c>
      <c r="K114">
        <v>0</v>
      </c>
      <c r="L114">
        <v>1</v>
      </c>
      <c r="N114" t="str">
        <f t="shared" si="1"/>
        <v>SELECT 117, 45, 2, 'Romania', 10, 1 UNION ALL</v>
      </c>
      <c r="X114">
        <v>114</v>
      </c>
      <c r="Y114">
        <v>59</v>
      </c>
      <c r="Z114">
        <v>2</v>
      </c>
      <c r="AA114">
        <v>4</v>
      </c>
    </row>
    <row r="115" spans="1:27">
      <c r="A115">
        <v>118</v>
      </c>
      <c r="B115">
        <v>46</v>
      </c>
      <c r="C115">
        <v>2</v>
      </c>
      <c r="D115" t="s">
        <v>268</v>
      </c>
      <c r="E115">
        <v>10</v>
      </c>
      <c r="F115">
        <v>1</v>
      </c>
      <c r="G115">
        <v>1</v>
      </c>
      <c r="H115" t="s">
        <v>605</v>
      </c>
      <c r="I115">
        <v>0</v>
      </c>
      <c r="J115">
        <v>0</v>
      </c>
      <c r="K115">
        <v>0</v>
      </c>
      <c r="L115">
        <v>1</v>
      </c>
      <c r="N115" t="str">
        <f t="shared" si="1"/>
        <v>SELECT 118, 46, 2, 'San Marino', 10, 1 UNION ALL</v>
      </c>
      <c r="X115">
        <v>115</v>
      </c>
      <c r="Y115">
        <v>59</v>
      </c>
      <c r="Z115">
        <v>3</v>
      </c>
      <c r="AA115">
        <v>0</v>
      </c>
    </row>
    <row r="116" spans="1:27">
      <c r="A116">
        <v>119</v>
      </c>
      <c r="B116">
        <v>47</v>
      </c>
      <c r="C116">
        <v>2</v>
      </c>
      <c r="D116" t="s">
        <v>269</v>
      </c>
      <c r="E116">
        <v>10</v>
      </c>
      <c r="F116">
        <v>1</v>
      </c>
      <c r="G116">
        <v>1</v>
      </c>
      <c r="H116" t="s">
        <v>605</v>
      </c>
      <c r="I116">
        <v>0</v>
      </c>
      <c r="J116">
        <v>0</v>
      </c>
      <c r="K116">
        <v>0</v>
      </c>
      <c r="L116">
        <v>1</v>
      </c>
      <c r="N116" t="str">
        <f t="shared" si="1"/>
        <v>SELECT 119, 47, 2, 'Serbia', 10, 1 UNION ALL</v>
      </c>
      <c r="X116">
        <v>116</v>
      </c>
      <c r="Y116">
        <v>59</v>
      </c>
      <c r="Z116">
        <v>4</v>
      </c>
      <c r="AA116">
        <v>1</v>
      </c>
    </row>
    <row r="117" spans="1:27">
      <c r="A117">
        <v>120</v>
      </c>
      <c r="B117">
        <v>48</v>
      </c>
      <c r="C117">
        <v>2</v>
      </c>
      <c r="D117" t="s">
        <v>633</v>
      </c>
      <c r="E117">
        <v>10</v>
      </c>
      <c r="F117">
        <v>1</v>
      </c>
      <c r="G117">
        <v>1</v>
      </c>
      <c r="H117" t="s">
        <v>605</v>
      </c>
      <c r="I117">
        <v>0</v>
      </c>
      <c r="J117">
        <v>0</v>
      </c>
      <c r="K117">
        <v>0</v>
      </c>
      <c r="L117">
        <v>1</v>
      </c>
      <c r="N117" t="str">
        <f t="shared" si="1"/>
        <v>SELECT 120, 48, 2, 'Slovakia', 10, 1 UNION ALL</v>
      </c>
      <c r="X117">
        <v>117</v>
      </c>
      <c r="Y117">
        <v>60</v>
      </c>
      <c r="Z117">
        <v>1</v>
      </c>
      <c r="AA117">
        <v>2</v>
      </c>
    </row>
    <row r="118" spans="1:27">
      <c r="A118">
        <v>121</v>
      </c>
      <c r="B118">
        <v>49</v>
      </c>
      <c r="C118">
        <v>2</v>
      </c>
      <c r="D118" t="s">
        <v>634</v>
      </c>
      <c r="E118">
        <v>10</v>
      </c>
      <c r="F118">
        <v>1</v>
      </c>
      <c r="G118">
        <v>1</v>
      </c>
      <c r="H118" t="s">
        <v>605</v>
      </c>
      <c r="I118">
        <v>0</v>
      </c>
      <c r="J118">
        <v>0</v>
      </c>
      <c r="K118">
        <v>0</v>
      </c>
      <c r="L118">
        <v>1</v>
      </c>
      <c r="N118" t="str">
        <f t="shared" si="1"/>
        <v>SELECT 121, 49, 2, 'Slovenia', 10, 1 UNION ALL</v>
      </c>
      <c r="X118">
        <v>118</v>
      </c>
      <c r="Y118">
        <v>60</v>
      </c>
      <c r="Z118">
        <v>2</v>
      </c>
      <c r="AA118">
        <v>4</v>
      </c>
    </row>
    <row r="119" spans="1:27">
      <c r="A119">
        <v>122</v>
      </c>
      <c r="B119">
        <v>50</v>
      </c>
      <c r="C119">
        <v>2</v>
      </c>
      <c r="D119" t="s">
        <v>635</v>
      </c>
      <c r="E119">
        <v>10</v>
      </c>
      <c r="F119">
        <v>1</v>
      </c>
      <c r="G119">
        <v>1</v>
      </c>
      <c r="H119" t="s">
        <v>605</v>
      </c>
      <c r="I119">
        <v>0</v>
      </c>
      <c r="J119">
        <v>0</v>
      </c>
      <c r="K119">
        <v>0</v>
      </c>
      <c r="L119">
        <v>1</v>
      </c>
      <c r="N119" t="str">
        <f t="shared" si="1"/>
        <v>SELECT 122, 50, 2, 'Sweden', 10, 1 UNION ALL</v>
      </c>
      <c r="X119">
        <v>119</v>
      </c>
      <c r="Y119">
        <v>60</v>
      </c>
      <c r="Z119">
        <v>3</v>
      </c>
      <c r="AA119">
        <v>0</v>
      </c>
    </row>
    <row r="120" spans="1:27">
      <c r="A120">
        <v>123</v>
      </c>
      <c r="B120">
        <v>51</v>
      </c>
      <c r="C120">
        <v>2</v>
      </c>
      <c r="D120" t="s">
        <v>636</v>
      </c>
      <c r="E120">
        <v>10</v>
      </c>
      <c r="F120">
        <v>1</v>
      </c>
      <c r="G120">
        <v>1</v>
      </c>
      <c r="H120" t="s">
        <v>605</v>
      </c>
      <c r="I120">
        <v>0</v>
      </c>
      <c r="J120">
        <v>0</v>
      </c>
      <c r="K120">
        <v>0</v>
      </c>
      <c r="L120">
        <v>1</v>
      </c>
      <c r="N120" t="str">
        <f t="shared" si="1"/>
        <v>SELECT 123, 51, 2, 'Switzerland', 10, 1 UNION ALL</v>
      </c>
      <c r="X120">
        <v>120</v>
      </c>
      <c r="Y120">
        <v>60</v>
      </c>
      <c r="Z120">
        <v>4</v>
      </c>
      <c r="AA120">
        <v>1</v>
      </c>
    </row>
    <row r="121" spans="1:27">
      <c r="A121">
        <v>124</v>
      </c>
      <c r="B121">
        <v>52</v>
      </c>
      <c r="C121">
        <v>2</v>
      </c>
      <c r="D121" t="s">
        <v>637</v>
      </c>
      <c r="E121">
        <v>10</v>
      </c>
      <c r="F121">
        <v>1</v>
      </c>
      <c r="G121">
        <v>1</v>
      </c>
      <c r="H121" t="s">
        <v>605</v>
      </c>
      <c r="I121">
        <v>0</v>
      </c>
      <c r="J121">
        <v>0</v>
      </c>
      <c r="K121">
        <v>0</v>
      </c>
      <c r="L121">
        <v>1</v>
      </c>
      <c r="N121" t="str">
        <f t="shared" si="1"/>
        <v>SELECT 124, 52, 2, 'Turkey', 10, 1 UNION ALL</v>
      </c>
      <c r="X121">
        <v>121</v>
      </c>
      <c r="Y121">
        <v>61</v>
      </c>
      <c r="Z121">
        <v>1</v>
      </c>
      <c r="AA121">
        <v>1</v>
      </c>
    </row>
    <row r="122" spans="1:27">
      <c r="A122">
        <v>125</v>
      </c>
      <c r="B122">
        <v>53</v>
      </c>
      <c r="C122">
        <v>2</v>
      </c>
      <c r="D122" t="s">
        <v>638</v>
      </c>
      <c r="E122">
        <v>10</v>
      </c>
      <c r="F122">
        <v>1</v>
      </c>
      <c r="G122">
        <v>1</v>
      </c>
      <c r="H122" t="s">
        <v>605</v>
      </c>
      <c r="I122">
        <v>0</v>
      </c>
      <c r="J122">
        <v>0</v>
      </c>
      <c r="K122">
        <v>0</v>
      </c>
      <c r="L122">
        <v>1</v>
      </c>
      <c r="N122" t="str">
        <f t="shared" si="1"/>
        <v>SELECT 125, 53, 2, 'Ukraine', 10, 1 UNION ALL</v>
      </c>
      <c r="X122">
        <v>122</v>
      </c>
      <c r="Y122">
        <v>61</v>
      </c>
      <c r="Z122">
        <v>2</v>
      </c>
      <c r="AA122">
        <v>4</v>
      </c>
    </row>
    <row r="123" spans="1:27">
      <c r="A123">
        <v>126</v>
      </c>
      <c r="B123">
        <v>54</v>
      </c>
      <c r="C123">
        <v>2</v>
      </c>
      <c r="D123" t="s">
        <v>639</v>
      </c>
      <c r="E123">
        <v>10</v>
      </c>
      <c r="F123">
        <v>1</v>
      </c>
      <c r="G123">
        <v>1</v>
      </c>
      <c r="H123" t="s">
        <v>605</v>
      </c>
      <c r="I123">
        <v>0</v>
      </c>
      <c r="J123">
        <v>0</v>
      </c>
      <c r="K123">
        <v>0</v>
      </c>
      <c r="L123">
        <v>1</v>
      </c>
      <c r="N123" t="str">
        <f t="shared" si="1"/>
        <v>SELECT 126, 54, 2, 'United Kingdom', 10, 1 UNION ALL</v>
      </c>
      <c r="X123">
        <v>123</v>
      </c>
      <c r="Y123">
        <v>61</v>
      </c>
      <c r="Z123">
        <v>3</v>
      </c>
      <c r="AA123">
        <v>0</v>
      </c>
    </row>
    <row r="124" spans="1:27">
      <c r="A124">
        <v>127</v>
      </c>
      <c r="B124">
        <v>55</v>
      </c>
      <c r="C124">
        <v>2</v>
      </c>
      <c r="D124" t="s">
        <v>640</v>
      </c>
      <c r="E124">
        <v>5</v>
      </c>
      <c r="F124">
        <v>1</v>
      </c>
      <c r="G124">
        <v>1</v>
      </c>
      <c r="H124" t="s">
        <v>605</v>
      </c>
      <c r="I124">
        <v>0</v>
      </c>
      <c r="J124">
        <v>0</v>
      </c>
      <c r="K124">
        <v>0</v>
      </c>
      <c r="L124">
        <v>1</v>
      </c>
      <c r="N124" t="str">
        <f t="shared" si="1"/>
        <v>SELECT 127, 55, 2, 'Vatican City', 5, 1 UNION ALL</v>
      </c>
      <c r="X124">
        <v>124</v>
      </c>
      <c r="Y124">
        <v>61</v>
      </c>
      <c r="Z124">
        <v>4</v>
      </c>
      <c r="AA124">
        <v>1</v>
      </c>
    </row>
    <row r="125" spans="1:27">
      <c r="A125">
        <v>128</v>
      </c>
      <c r="B125">
        <v>56</v>
      </c>
      <c r="C125">
        <v>2</v>
      </c>
      <c r="D125" t="s">
        <v>641</v>
      </c>
      <c r="E125">
        <v>10</v>
      </c>
      <c r="F125">
        <v>1</v>
      </c>
      <c r="G125">
        <v>1</v>
      </c>
      <c r="H125" t="s">
        <v>605</v>
      </c>
      <c r="I125">
        <v>0</v>
      </c>
      <c r="J125">
        <v>0</v>
      </c>
      <c r="K125">
        <v>0</v>
      </c>
      <c r="L125">
        <v>1</v>
      </c>
      <c r="N125" t="str">
        <f t="shared" si="1"/>
        <v>SELECT 128, 56, 2, 'Scotland', 10, 1 UNION ALL</v>
      </c>
      <c r="X125">
        <v>125</v>
      </c>
      <c r="Y125">
        <v>62</v>
      </c>
      <c r="Z125">
        <v>1</v>
      </c>
      <c r="AA125">
        <v>2</v>
      </c>
    </row>
    <row r="126" spans="1:27">
      <c r="A126">
        <v>130</v>
      </c>
      <c r="B126">
        <v>13</v>
      </c>
      <c r="C126">
        <v>3</v>
      </c>
      <c r="D126" t="s">
        <v>606</v>
      </c>
      <c r="E126">
        <v>10</v>
      </c>
      <c r="F126">
        <v>1</v>
      </c>
      <c r="G126">
        <v>1</v>
      </c>
      <c r="H126" t="s">
        <v>605</v>
      </c>
      <c r="I126">
        <v>0</v>
      </c>
      <c r="J126">
        <v>0</v>
      </c>
      <c r="K126">
        <v>0</v>
      </c>
      <c r="L126">
        <v>0</v>
      </c>
      <c r="N126" t="str">
        <f t="shared" si="1"/>
        <v>SELECT 130, 13, 3, 'Andorra', 10, 0 UNION ALL</v>
      </c>
      <c r="X126">
        <v>126</v>
      </c>
      <c r="Y126">
        <v>62</v>
      </c>
      <c r="Z126">
        <v>2</v>
      </c>
      <c r="AA126">
        <v>4</v>
      </c>
    </row>
    <row r="127" spans="1:27">
      <c r="A127">
        <v>131</v>
      </c>
      <c r="B127">
        <v>14</v>
      </c>
      <c r="C127">
        <v>3</v>
      </c>
      <c r="D127" t="s">
        <v>235</v>
      </c>
      <c r="E127">
        <v>10</v>
      </c>
      <c r="F127">
        <v>1</v>
      </c>
      <c r="G127">
        <v>1</v>
      </c>
      <c r="H127" t="s">
        <v>605</v>
      </c>
      <c r="I127">
        <v>0</v>
      </c>
      <c r="J127">
        <v>0</v>
      </c>
      <c r="K127">
        <v>0</v>
      </c>
      <c r="L127">
        <v>0</v>
      </c>
      <c r="N127" t="str">
        <f t="shared" si="1"/>
        <v>SELECT 131, 14, 3, 'Armenia', 10, 0 UNION ALL</v>
      </c>
      <c r="X127">
        <v>127</v>
      </c>
      <c r="Y127">
        <v>62</v>
      </c>
      <c r="Z127">
        <v>3</v>
      </c>
      <c r="AA127">
        <v>0</v>
      </c>
    </row>
    <row r="128" spans="1:27">
      <c r="A128">
        <v>132</v>
      </c>
      <c r="B128">
        <v>15</v>
      </c>
      <c r="C128">
        <v>3</v>
      </c>
      <c r="D128" t="s">
        <v>236</v>
      </c>
      <c r="E128">
        <v>10</v>
      </c>
      <c r="F128">
        <v>1</v>
      </c>
      <c r="G128">
        <v>1</v>
      </c>
      <c r="H128" t="s">
        <v>605</v>
      </c>
      <c r="I128">
        <v>0</v>
      </c>
      <c r="J128">
        <v>0</v>
      </c>
      <c r="K128">
        <v>0</v>
      </c>
      <c r="L128">
        <v>0</v>
      </c>
      <c r="N128" t="str">
        <f t="shared" si="1"/>
        <v>SELECT 132, 15, 3, 'Austria', 10, 0 UNION ALL</v>
      </c>
      <c r="X128">
        <v>128</v>
      </c>
      <c r="Y128">
        <v>62</v>
      </c>
      <c r="Z128">
        <v>4</v>
      </c>
      <c r="AA128">
        <v>1</v>
      </c>
    </row>
    <row r="129" spans="1:27">
      <c r="A129">
        <v>133</v>
      </c>
      <c r="B129">
        <v>16</v>
      </c>
      <c r="C129">
        <v>3</v>
      </c>
      <c r="D129" t="s">
        <v>642</v>
      </c>
      <c r="E129">
        <v>10</v>
      </c>
      <c r="F129">
        <v>1</v>
      </c>
      <c r="G129">
        <v>1</v>
      </c>
      <c r="H129" t="s">
        <v>605</v>
      </c>
      <c r="I129">
        <v>0</v>
      </c>
      <c r="J129">
        <v>0</v>
      </c>
      <c r="K129">
        <v>0</v>
      </c>
      <c r="L129">
        <v>0</v>
      </c>
      <c r="N129" t="str">
        <f t="shared" si="1"/>
        <v>SELECT 133, 16, 3, 'Azerbaiyán', 10, 0 UNION ALL</v>
      </c>
      <c r="X129">
        <v>129</v>
      </c>
      <c r="Y129">
        <v>63</v>
      </c>
      <c r="Z129">
        <v>1</v>
      </c>
      <c r="AA129">
        <v>1</v>
      </c>
    </row>
    <row r="130" spans="1:27">
      <c r="A130">
        <v>134</v>
      </c>
      <c r="B130">
        <v>17</v>
      </c>
      <c r="C130">
        <v>3</v>
      </c>
      <c r="D130" t="s">
        <v>643</v>
      </c>
      <c r="E130">
        <v>10</v>
      </c>
      <c r="F130">
        <v>1</v>
      </c>
      <c r="G130">
        <v>1</v>
      </c>
      <c r="H130" t="s">
        <v>605</v>
      </c>
      <c r="I130">
        <v>0</v>
      </c>
      <c r="J130">
        <v>0</v>
      </c>
      <c r="K130">
        <v>0</v>
      </c>
      <c r="L130">
        <v>0</v>
      </c>
      <c r="N130" t="str">
        <f t="shared" si="1"/>
        <v>SELECT 134, 17, 3, 'Bielorrusia', 10, 0 UNION ALL</v>
      </c>
      <c r="X130">
        <v>130</v>
      </c>
      <c r="Y130">
        <v>63</v>
      </c>
      <c r="Z130">
        <v>2</v>
      </c>
      <c r="AA130">
        <v>4</v>
      </c>
    </row>
    <row r="131" spans="1:27">
      <c r="A131">
        <v>135</v>
      </c>
      <c r="B131">
        <v>18</v>
      </c>
      <c r="C131">
        <v>3</v>
      </c>
      <c r="D131" t="s">
        <v>644</v>
      </c>
      <c r="E131">
        <v>10</v>
      </c>
      <c r="F131">
        <v>1</v>
      </c>
      <c r="G131">
        <v>1</v>
      </c>
      <c r="H131" t="s">
        <v>605</v>
      </c>
      <c r="I131">
        <v>0</v>
      </c>
      <c r="J131">
        <v>0</v>
      </c>
      <c r="K131">
        <v>0</v>
      </c>
      <c r="L131">
        <v>0</v>
      </c>
      <c r="N131" t="str">
        <f t="shared" ref="N131:N194" si="2">"SELECT "&amp;A131&amp;", "&amp;B131&amp;", "&amp;C131&amp;", '"&amp;D131&amp;"', "&amp;E131&amp;", "&amp;L131&amp;" UNION ALL"</f>
        <v>SELECT 135, 18, 3, 'Bélgica', 10, 0 UNION ALL</v>
      </c>
      <c r="X131">
        <v>131</v>
      </c>
      <c r="Y131">
        <v>63</v>
      </c>
      <c r="Z131">
        <v>3</v>
      </c>
      <c r="AA131">
        <v>0</v>
      </c>
    </row>
    <row r="132" spans="1:27">
      <c r="A132">
        <v>136</v>
      </c>
      <c r="B132">
        <v>19</v>
      </c>
      <c r="C132">
        <v>3</v>
      </c>
      <c r="D132" t="s">
        <v>645</v>
      </c>
      <c r="E132">
        <v>10</v>
      </c>
      <c r="F132">
        <v>1</v>
      </c>
      <c r="G132">
        <v>1</v>
      </c>
      <c r="H132" t="s">
        <v>605</v>
      </c>
      <c r="I132">
        <v>0</v>
      </c>
      <c r="J132">
        <v>0</v>
      </c>
      <c r="K132">
        <v>0</v>
      </c>
      <c r="L132">
        <v>0</v>
      </c>
      <c r="N132" t="str">
        <f t="shared" si="2"/>
        <v>SELECT 136, 19, 3, 'Bosnia-Herzegovina', 10, 0 UNION ALL</v>
      </c>
      <c r="X132">
        <v>132</v>
      </c>
      <c r="Y132">
        <v>63</v>
      </c>
      <c r="Z132">
        <v>4</v>
      </c>
      <c r="AA132">
        <v>1</v>
      </c>
    </row>
    <row r="133" spans="1:27">
      <c r="A133">
        <v>137</v>
      </c>
      <c r="B133">
        <v>20</v>
      </c>
      <c r="C133">
        <v>3</v>
      </c>
      <c r="D133" t="s">
        <v>611</v>
      </c>
      <c r="E133">
        <v>10</v>
      </c>
      <c r="F133">
        <v>1</v>
      </c>
      <c r="G133">
        <v>1</v>
      </c>
      <c r="H133" t="s">
        <v>605</v>
      </c>
      <c r="I133">
        <v>0</v>
      </c>
      <c r="J133">
        <v>0</v>
      </c>
      <c r="K133">
        <v>0</v>
      </c>
      <c r="L133">
        <v>0</v>
      </c>
      <c r="N133" t="str">
        <f t="shared" si="2"/>
        <v>SELECT 137, 20, 3, 'Bulgaria', 10, 0 UNION ALL</v>
      </c>
      <c r="X133">
        <v>133</v>
      </c>
      <c r="Y133">
        <v>64</v>
      </c>
      <c r="Z133">
        <v>1</v>
      </c>
      <c r="AA133">
        <v>2</v>
      </c>
    </row>
    <row r="134" spans="1:27">
      <c r="A134">
        <v>138</v>
      </c>
      <c r="B134">
        <v>21</v>
      </c>
      <c r="C134">
        <v>3</v>
      </c>
      <c r="D134" t="s">
        <v>646</v>
      </c>
      <c r="E134">
        <v>10</v>
      </c>
      <c r="F134">
        <v>1</v>
      </c>
      <c r="G134">
        <v>1</v>
      </c>
      <c r="H134" t="s">
        <v>605</v>
      </c>
      <c r="I134">
        <v>0</v>
      </c>
      <c r="J134">
        <v>0</v>
      </c>
      <c r="K134">
        <v>0</v>
      </c>
      <c r="L134">
        <v>0</v>
      </c>
      <c r="N134" t="str">
        <f t="shared" si="2"/>
        <v>SELECT 138, 21, 3, 'Croacia', 10, 0 UNION ALL</v>
      </c>
      <c r="X134">
        <v>134</v>
      </c>
      <c r="Y134">
        <v>64</v>
      </c>
      <c r="Z134">
        <v>2</v>
      </c>
      <c r="AA134">
        <v>4</v>
      </c>
    </row>
    <row r="135" spans="1:27">
      <c r="A135">
        <v>139</v>
      </c>
      <c r="B135">
        <v>22</v>
      </c>
      <c r="C135">
        <v>3</v>
      </c>
      <c r="D135" t="s">
        <v>647</v>
      </c>
      <c r="E135">
        <v>10</v>
      </c>
      <c r="F135">
        <v>1</v>
      </c>
      <c r="G135">
        <v>1</v>
      </c>
      <c r="H135" t="s">
        <v>605</v>
      </c>
      <c r="I135">
        <v>0</v>
      </c>
      <c r="J135">
        <v>0</v>
      </c>
      <c r="K135">
        <v>0</v>
      </c>
      <c r="L135">
        <v>0</v>
      </c>
      <c r="N135" t="str">
        <f t="shared" si="2"/>
        <v>SELECT 139, 22, 3, 'Chipre', 10, 0 UNION ALL</v>
      </c>
      <c r="X135">
        <v>135</v>
      </c>
      <c r="Y135">
        <v>64</v>
      </c>
      <c r="Z135">
        <v>3</v>
      </c>
      <c r="AA135">
        <v>0</v>
      </c>
    </row>
    <row r="136" spans="1:27">
      <c r="A136">
        <v>140</v>
      </c>
      <c r="B136">
        <v>23</v>
      </c>
      <c r="C136">
        <v>3</v>
      </c>
      <c r="D136" t="s">
        <v>648</v>
      </c>
      <c r="E136">
        <v>10</v>
      </c>
      <c r="F136">
        <v>1</v>
      </c>
      <c r="G136">
        <v>1</v>
      </c>
      <c r="H136" t="s">
        <v>605</v>
      </c>
      <c r="I136">
        <v>0</v>
      </c>
      <c r="J136">
        <v>0</v>
      </c>
      <c r="K136">
        <v>0</v>
      </c>
      <c r="L136">
        <v>0</v>
      </c>
      <c r="N136" t="str">
        <f t="shared" si="2"/>
        <v>SELECT 140, 23, 3, 'República Checa', 10, 0 UNION ALL</v>
      </c>
      <c r="X136">
        <v>136</v>
      </c>
      <c r="Y136">
        <v>64</v>
      </c>
      <c r="Z136">
        <v>4</v>
      </c>
      <c r="AA136">
        <v>1</v>
      </c>
    </row>
    <row r="137" spans="1:27">
      <c r="A137">
        <v>141</v>
      </c>
      <c r="B137">
        <v>24</v>
      </c>
      <c r="C137">
        <v>3</v>
      </c>
      <c r="D137" t="s">
        <v>649</v>
      </c>
      <c r="E137">
        <v>10</v>
      </c>
      <c r="F137">
        <v>1</v>
      </c>
      <c r="G137">
        <v>1</v>
      </c>
      <c r="H137" t="s">
        <v>605</v>
      </c>
      <c r="I137">
        <v>0</v>
      </c>
      <c r="J137">
        <v>0</v>
      </c>
      <c r="K137">
        <v>0</v>
      </c>
      <c r="L137">
        <v>0</v>
      </c>
      <c r="N137" t="str">
        <f t="shared" si="2"/>
        <v>SELECT 141, 24, 3, 'Dinamarca', 10, 0 UNION ALL</v>
      </c>
      <c r="X137">
        <v>137</v>
      </c>
      <c r="Y137">
        <v>65</v>
      </c>
      <c r="Z137">
        <v>1</v>
      </c>
      <c r="AA137">
        <v>2</v>
      </c>
    </row>
    <row r="138" spans="1:27">
      <c r="A138">
        <v>142</v>
      </c>
      <c r="B138">
        <v>25</v>
      </c>
      <c r="C138">
        <v>3</v>
      </c>
      <c r="D138" t="s">
        <v>247</v>
      </c>
      <c r="E138">
        <v>10</v>
      </c>
      <c r="F138">
        <v>1</v>
      </c>
      <c r="G138">
        <v>1</v>
      </c>
      <c r="H138" t="s">
        <v>605</v>
      </c>
      <c r="I138">
        <v>0</v>
      </c>
      <c r="J138">
        <v>0</v>
      </c>
      <c r="K138">
        <v>0</v>
      </c>
      <c r="L138">
        <v>0</v>
      </c>
      <c r="N138" t="str">
        <f t="shared" si="2"/>
        <v>SELECT 142, 25, 3, 'Estonia', 10, 0 UNION ALL</v>
      </c>
      <c r="X138">
        <v>138</v>
      </c>
      <c r="Y138">
        <v>65</v>
      </c>
      <c r="Z138">
        <v>2</v>
      </c>
      <c r="AA138">
        <v>4</v>
      </c>
    </row>
    <row r="139" spans="1:27">
      <c r="A139">
        <v>143</v>
      </c>
      <c r="B139">
        <v>26</v>
      </c>
      <c r="C139">
        <v>3</v>
      </c>
      <c r="D139" t="s">
        <v>248</v>
      </c>
      <c r="E139">
        <v>10</v>
      </c>
      <c r="F139">
        <v>1</v>
      </c>
      <c r="G139">
        <v>1</v>
      </c>
      <c r="H139" t="s">
        <v>605</v>
      </c>
      <c r="I139">
        <v>0</v>
      </c>
      <c r="J139">
        <v>0</v>
      </c>
      <c r="K139">
        <v>0</v>
      </c>
      <c r="L139">
        <v>0</v>
      </c>
      <c r="N139" t="str">
        <f t="shared" si="2"/>
        <v>SELECT 143, 26, 3, 'Finlandia', 10, 0 UNION ALL</v>
      </c>
      <c r="X139">
        <v>139</v>
      </c>
      <c r="Y139">
        <v>65</v>
      </c>
      <c r="Z139">
        <v>3</v>
      </c>
      <c r="AA139">
        <v>0</v>
      </c>
    </row>
    <row r="140" spans="1:27">
      <c r="A140">
        <v>144</v>
      </c>
      <c r="B140">
        <v>27</v>
      </c>
      <c r="C140">
        <v>3</v>
      </c>
      <c r="D140" t="s">
        <v>617</v>
      </c>
      <c r="E140">
        <v>10</v>
      </c>
      <c r="F140">
        <v>1</v>
      </c>
      <c r="G140">
        <v>1</v>
      </c>
      <c r="H140" t="s">
        <v>605</v>
      </c>
      <c r="I140">
        <v>0</v>
      </c>
      <c r="J140">
        <v>0</v>
      </c>
      <c r="K140">
        <v>0</v>
      </c>
      <c r="L140">
        <v>0</v>
      </c>
      <c r="N140" t="str">
        <f t="shared" si="2"/>
        <v>SELECT 144, 27, 3, 'Georgia', 10, 0 UNION ALL</v>
      </c>
      <c r="X140">
        <v>140</v>
      </c>
      <c r="Y140">
        <v>65</v>
      </c>
      <c r="Z140">
        <v>4</v>
      </c>
      <c r="AA140">
        <v>1</v>
      </c>
    </row>
    <row r="141" spans="1:27">
      <c r="A141">
        <v>145</v>
      </c>
      <c r="B141">
        <v>28</v>
      </c>
      <c r="C141">
        <v>3</v>
      </c>
      <c r="D141" t="s">
        <v>650</v>
      </c>
      <c r="E141">
        <v>10</v>
      </c>
      <c r="F141">
        <v>1</v>
      </c>
      <c r="G141">
        <v>1</v>
      </c>
      <c r="H141" t="s">
        <v>605</v>
      </c>
      <c r="I141">
        <v>0</v>
      </c>
      <c r="J141">
        <v>0</v>
      </c>
      <c r="K141">
        <v>0</v>
      </c>
      <c r="L141">
        <v>0</v>
      </c>
      <c r="N141" t="str">
        <f t="shared" si="2"/>
        <v>SELECT 145, 28, 3, 'Grecia', 10, 0 UNION ALL</v>
      </c>
      <c r="X141">
        <v>141</v>
      </c>
      <c r="Y141">
        <v>66</v>
      </c>
      <c r="Z141">
        <v>1</v>
      </c>
      <c r="AA141">
        <v>2</v>
      </c>
    </row>
    <row r="142" spans="1:27">
      <c r="A142">
        <v>146</v>
      </c>
      <c r="B142">
        <v>29</v>
      </c>
      <c r="C142">
        <v>3</v>
      </c>
      <c r="D142" t="s">
        <v>651</v>
      </c>
      <c r="E142">
        <v>10</v>
      </c>
      <c r="F142">
        <v>1</v>
      </c>
      <c r="G142">
        <v>1</v>
      </c>
      <c r="H142" t="s">
        <v>605</v>
      </c>
      <c r="I142">
        <v>0</v>
      </c>
      <c r="J142">
        <v>0</v>
      </c>
      <c r="K142">
        <v>0</v>
      </c>
      <c r="L142">
        <v>0</v>
      </c>
      <c r="N142" t="str">
        <f t="shared" si="2"/>
        <v>SELECT 146, 29, 3, 'Hungría', 10, 0 UNION ALL</v>
      </c>
      <c r="X142">
        <v>142</v>
      </c>
      <c r="Y142">
        <v>66</v>
      </c>
      <c r="Z142">
        <v>2</v>
      </c>
      <c r="AA142">
        <v>4</v>
      </c>
    </row>
    <row r="143" spans="1:27">
      <c r="A143">
        <v>147</v>
      </c>
      <c r="B143">
        <v>30</v>
      </c>
      <c r="C143">
        <v>3</v>
      </c>
      <c r="D143" t="s">
        <v>252</v>
      </c>
      <c r="E143">
        <v>10</v>
      </c>
      <c r="F143">
        <v>1</v>
      </c>
      <c r="G143">
        <v>1</v>
      </c>
      <c r="H143" t="s">
        <v>605</v>
      </c>
      <c r="I143">
        <v>0</v>
      </c>
      <c r="J143">
        <v>0</v>
      </c>
      <c r="K143">
        <v>0</v>
      </c>
      <c r="L143">
        <v>0</v>
      </c>
      <c r="N143" t="str">
        <f t="shared" si="2"/>
        <v>SELECT 147, 30, 3, 'Islandia', 10, 0 UNION ALL</v>
      </c>
      <c r="X143">
        <v>143</v>
      </c>
      <c r="Y143">
        <v>66</v>
      </c>
      <c r="Z143">
        <v>3</v>
      </c>
      <c r="AA143">
        <v>0</v>
      </c>
    </row>
    <row r="144" spans="1:27">
      <c r="A144">
        <v>148</v>
      </c>
      <c r="B144">
        <v>31</v>
      </c>
      <c r="C144">
        <v>3</v>
      </c>
      <c r="D144" t="s">
        <v>652</v>
      </c>
      <c r="E144">
        <v>10</v>
      </c>
      <c r="F144">
        <v>1</v>
      </c>
      <c r="G144">
        <v>1</v>
      </c>
      <c r="H144" t="s">
        <v>605</v>
      </c>
      <c r="I144">
        <v>0</v>
      </c>
      <c r="J144">
        <v>0</v>
      </c>
      <c r="K144">
        <v>0</v>
      </c>
      <c r="L144">
        <v>0</v>
      </c>
      <c r="N144" t="str">
        <f t="shared" si="2"/>
        <v>SELECT 148, 31, 3, 'Irlanda', 10, 0 UNION ALL</v>
      </c>
      <c r="X144">
        <v>144</v>
      </c>
      <c r="Y144">
        <v>66</v>
      </c>
      <c r="Z144">
        <v>4</v>
      </c>
      <c r="AA144">
        <v>1</v>
      </c>
    </row>
    <row r="145" spans="1:27">
      <c r="A145">
        <v>149</v>
      </c>
      <c r="B145">
        <v>32</v>
      </c>
      <c r="C145">
        <v>3</v>
      </c>
      <c r="D145" t="s">
        <v>653</v>
      </c>
      <c r="E145">
        <v>10</v>
      </c>
      <c r="F145">
        <v>1</v>
      </c>
      <c r="G145">
        <v>1</v>
      </c>
      <c r="H145" t="s">
        <v>605</v>
      </c>
      <c r="I145">
        <v>0</v>
      </c>
      <c r="J145">
        <v>0</v>
      </c>
      <c r="K145">
        <v>0</v>
      </c>
      <c r="L145">
        <v>0</v>
      </c>
      <c r="N145" t="str">
        <f t="shared" si="2"/>
        <v>SELECT 149, 32, 3, 'Kazajistán', 10, 0 UNION ALL</v>
      </c>
      <c r="X145">
        <v>145</v>
      </c>
      <c r="Y145">
        <v>67</v>
      </c>
      <c r="Z145">
        <v>1</v>
      </c>
      <c r="AA145">
        <v>3</v>
      </c>
    </row>
    <row r="146" spans="1:27">
      <c r="A146">
        <v>150</v>
      </c>
      <c r="B146">
        <v>33</v>
      </c>
      <c r="C146">
        <v>3</v>
      </c>
      <c r="D146" t="s">
        <v>654</v>
      </c>
      <c r="E146">
        <v>10</v>
      </c>
      <c r="F146">
        <v>1</v>
      </c>
      <c r="G146">
        <v>1</v>
      </c>
      <c r="H146" t="s">
        <v>605</v>
      </c>
      <c r="I146">
        <v>0</v>
      </c>
      <c r="J146">
        <v>0</v>
      </c>
      <c r="K146">
        <v>0</v>
      </c>
      <c r="L146">
        <v>0</v>
      </c>
      <c r="N146" t="str">
        <f t="shared" si="2"/>
        <v>SELECT 150, 33, 3, 'Letonia', 10, 0 UNION ALL</v>
      </c>
      <c r="X146">
        <v>146</v>
      </c>
      <c r="Y146">
        <v>67</v>
      </c>
      <c r="Z146">
        <v>2</v>
      </c>
      <c r="AA146">
        <v>4</v>
      </c>
    </row>
    <row r="147" spans="1:27">
      <c r="A147">
        <v>151</v>
      </c>
      <c r="B147">
        <v>34</v>
      </c>
      <c r="C147">
        <v>3</v>
      </c>
      <c r="D147" t="s">
        <v>256</v>
      </c>
      <c r="E147">
        <v>10</v>
      </c>
      <c r="F147">
        <v>1</v>
      </c>
      <c r="G147">
        <v>1</v>
      </c>
      <c r="H147" t="s">
        <v>605</v>
      </c>
      <c r="I147">
        <v>0</v>
      </c>
      <c r="J147">
        <v>0</v>
      </c>
      <c r="K147">
        <v>0</v>
      </c>
      <c r="L147">
        <v>0</v>
      </c>
      <c r="N147" t="str">
        <f t="shared" si="2"/>
        <v>SELECT 151, 34, 3, 'Liechtenstein', 10, 0 UNION ALL</v>
      </c>
      <c r="X147">
        <v>147</v>
      </c>
      <c r="Y147">
        <v>67</v>
      </c>
      <c r="Z147">
        <v>3</v>
      </c>
      <c r="AA147">
        <v>0</v>
      </c>
    </row>
    <row r="148" spans="1:27">
      <c r="A148">
        <v>152</v>
      </c>
      <c r="B148">
        <v>35</v>
      </c>
      <c r="C148">
        <v>3</v>
      </c>
      <c r="D148" t="s">
        <v>655</v>
      </c>
      <c r="E148">
        <v>10</v>
      </c>
      <c r="F148">
        <v>1</v>
      </c>
      <c r="G148">
        <v>1</v>
      </c>
      <c r="H148" t="s">
        <v>605</v>
      </c>
      <c r="I148">
        <v>0</v>
      </c>
      <c r="J148">
        <v>0</v>
      </c>
      <c r="K148">
        <v>0</v>
      </c>
      <c r="L148">
        <v>0</v>
      </c>
      <c r="N148" t="str">
        <f t="shared" si="2"/>
        <v>SELECT 152, 35, 3, 'Lituania', 10, 0 UNION ALL</v>
      </c>
      <c r="X148">
        <v>148</v>
      </c>
      <c r="Y148">
        <v>67</v>
      </c>
      <c r="Z148">
        <v>4</v>
      </c>
      <c r="AA148">
        <v>1</v>
      </c>
    </row>
    <row r="149" spans="1:27">
      <c r="A149">
        <v>153</v>
      </c>
      <c r="B149">
        <v>36</v>
      </c>
      <c r="C149">
        <v>3</v>
      </c>
      <c r="D149" t="s">
        <v>656</v>
      </c>
      <c r="E149">
        <v>10</v>
      </c>
      <c r="F149">
        <v>1</v>
      </c>
      <c r="G149">
        <v>1</v>
      </c>
      <c r="H149" t="s">
        <v>605</v>
      </c>
      <c r="I149">
        <v>0</v>
      </c>
      <c r="J149">
        <v>0</v>
      </c>
      <c r="K149">
        <v>0</v>
      </c>
      <c r="L149">
        <v>0</v>
      </c>
      <c r="N149" t="str">
        <f t="shared" si="2"/>
        <v>SELECT 153, 36, 3, 'Luxemburgo', 10, 0 UNION ALL</v>
      </c>
      <c r="X149">
        <v>149</v>
      </c>
      <c r="Y149">
        <v>68</v>
      </c>
      <c r="Z149">
        <v>1</v>
      </c>
      <c r="AA149">
        <v>2</v>
      </c>
    </row>
    <row r="150" spans="1:27">
      <c r="A150">
        <v>154</v>
      </c>
      <c r="B150">
        <v>37</v>
      </c>
      <c r="C150">
        <v>3</v>
      </c>
      <c r="D150" t="s">
        <v>259</v>
      </c>
      <c r="E150">
        <v>10</v>
      </c>
      <c r="F150">
        <v>1</v>
      </c>
      <c r="G150">
        <v>1</v>
      </c>
      <c r="H150" t="s">
        <v>605</v>
      </c>
      <c r="I150">
        <v>0</v>
      </c>
      <c r="J150">
        <v>0</v>
      </c>
      <c r="K150">
        <v>0</v>
      </c>
      <c r="L150">
        <v>0</v>
      </c>
      <c r="N150" t="str">
        <f t="shared" si="2"/>
        <v>SELECT 154, 37, 3, 'Macedonia', 10, 0 UNION ALL</v>
      </c>
      <c r="X150">
        <v>150</v>
      </c>
      <c r="Y150">
        <v>68</v>
      </c>
      <c r="Z150">
        <v>2</v>
      </c>
      <c r="AA150">
        <v>4</v>
      </c>
    </row>
    <row r="151" spans="1:27">
      <c r="A151">
        <v>155</v>
      </c>
      <c r="B151">
        <v>38</v>
      </c>
      <c r="C151">
        <v>3</v>
      </c>
      <c r="D151" t="s">
        <v>260</v>
      </c>
      <c r="E151">
        <v>10</v>
      </c>
      <c r="F151">
        <v>1</v>
      </c>
      <c r="G151">
        <v>1</v>
      </c>
      <c r="H151" t="s">
        <v>605</v>
      </c>
      <c r="I151">
        <v>0</v>
      </c>
      <c r="J151">
        <v>0</v>
      </c>
      <c r="K151">
        <v>0</v>
      </c>
      <c r="L151">
        <v>0</v>
      </c>
      <c r="N151" t="str">
        <f t="shared" si="2"/>
        <v>SELECT 155, 38, 3, 'Malta', 10, 0 UNION ALL</v>
      </c>
      <c r="X151">
        <v>151</v>
      </c>
      <c r="Y151">
        <v>68</v>
      </c>
      <c r="Z151">
        <v>3</v>
      </c>
      <c r="AA151">
        <v>0</v>
      </c>
    </row>
    <row r="152" spans="1:27">
      <c r="A152">
        <v>156</v>
      </c>
      <c r="B152">
        <v>39</v>
      </c>
      <c r="C152">
        <v>3</v>
      </c>
      <c r="D152" t="s">
        <v>657</v>
      </c>
      <c r="E152">
        <v>10</v>
      </c>
      <c r="F152">
        <v>1</v>
      </c>
      <c r="G152">
        <v>1</v>
      </c>
      <c r="H152" t="s">
        <v>605</v>
      </c>
      <c r="I152">
        <v>0</v>
      </c>
      <c r="J152">
        <v>0</v>
      </c>
      <c r="K152">
        <v>0</v>
      </c>
      <c r="L152">
        <v>0</v>
      </c>
      <c r="N152" t="str">
        <f t="shared" si="2"/>
        <v>SELECT 156, 39, 3, 'Moldavia', 10, 0 UNION ALL</v>
      </c>
      <c r="X152">
        <v>152</v>
      </c>
      <c r="Y152">
        <v>68</v>
      </c>
      <c r="Z152">
        <v>4</v>
      </c>
      <c r="AA152">
        <v>1</v>
      </c>
    </row>
    <row r="153" spans="1:27">
      <c r="A153">
        <v>157</v>
      </c>
      <c r="B153">
        <v>40</v>
      </c>
      <c r="C153">
        <v>3</v>
      </c>
      <c r="D153" t="s">
        <v>658</v>
      </c>
      <c r="E153">
        <v>10</v>
      </c>
      <c r="F153">
        <v>1</v>
      </c>
      <c r="G153">
        <v>1</v>
      </c>
      <c r="H153" t="s">
        <v>605</v>
      </c>
      <c r="I153">
        <v>0</v>
      </c>
      <c r="J153">
        <v>0</v>
      </c>
      <c r="K153">
        <v>0</v>
      </c>
      <c r="L153">
        <v>0</v>
      </c>
      <c r="N153" t="str">
        <f t="shared" si="2"/>
        <v>SELECT 157, 40, 3, 'Mónaco', 10, 0 UNION ALL</v>
      </c>
      <c r="X153">
        <v>153</v>
      </c>
      <c r="Y153">
        <v>69</v>
      </c>
      <c r="Z153">
        <v>1</v>
      </c>
      <c r="AA153">
        <v>2</v>
      </c>
    </row>
    <row r="154" spans="1:27">
      <c r="A154">
        <v>158</v>
      </c>
      <c r="B154">
        <v>41</v>
      </c>
      <c r="C154">
        <v>3</v>
      </c>
      <c r="D154" t="s">
        <v>628</v>
      </c>
      <c r="E154">
        <v>10</v>
      </c>
      <c r="F154">
        <v>1</v>
      </c>
      <c r="G154">
        <v>1</v>
      </c>
      <c r="H154" t="s">
        <v>605</v>
      </c>
      <c r="I154">
        <v>0</v>
      </c>
      <c r="J154">
        <v>0</v>
      </c>
      <c r="K154">
        <v>0</v>
      </c>
      <c r="L154">
        <v>0</v>
      </c>
      <c r="N154" t="str">
        <f t="shared" si="2"/>
        <v>SELECT 158, 41, 3, 'Montenegro', 10, 0 UNION ALL</v>
      </c>
      <c r="X154">
        <v>154</v>
      </c>
      <c r="Y154">
        <v>69</v>
      </c>
      <c r="Z154">
        <v>2</v>
      </c>
      <c r="AA154">
        <v>4</v>
      </c>
    </row>
    <row r="155" spans="1:27">
      <c r="A155">
        <v>159</v>
      </c>
      <c r="B155">
        <v>42</v>
      </c>
      <c r="C155">
        <v>3</v>
      </c>
      <c r="D155" t="s">
        <v>659</v>
      </c>
      <c r="E155">
        <v>10</v>
      </c>
      <c r="F155">
        <v>1</v>
      </c>
      <c r="G155">
        <v>1</v>
      </c>
      <c r="H155" t="s">
        <v>605</v>
      </c>
      <c r="I155">
        <v>0</v>
      </c>
      <c r="J155">
        <v>0</v>
      </c>
      <c r="K155">
        <v>0</v>
      </c>
      <c r="L155">
        <v>0</v>
      </c>
      <c r="N155" t="str">
        <f t="shared" si="2"/>
        <v>SELECT 159, 42, 3, 'Países Bajos', 10, 0 UNION ALL</v>
      </c>
      <c r="X155">
        <v>155</v>
      </c>
      <c r="Y155">
        <v>69</v>
      </c>
      <c r="Z155">
        <v>3</v>
      </c>
      <c r="AA155">
        <v>0</v>
      </c>
    </row>
    <row r="156" spans="1:27">
      <c r="A156">
        <v>160</v>
      </c>
      <c r="B156">
        <v>43</v>
      </c>
      <c r="C156">
        <v>3</v>
      </c>
      <c r="D156" t="s">
        <v>660</v>
      </c>
      <c r="E156">
        <v>10</v>
      </c>
      <c r="F156">
        <v>1</v>
      </c>
      <c r="G156">
        <v>1</v>
      </c>
      <c r="H156" t="s">
        <v>605</v>
      </c>
      <c r="I156">
        <v>0</v>
      </c>
      <c r="J156">
        <v>0</v>
      </c>
      <c r="K156">
        <v>0</v>
      </c>
      <c r="L156">
        <v>0</v>
      </c>
      <c r="N156" t="str">
        <f t="shared" si="2"/>
        <v>SELECT 160, 43, 3, 'Noruega', 10, 0 UNION ALL</v>
      </c>
      <c r="X156">
        <v>156</v>
      </c>
      <c r="Y156">
        <v>69</v>
      </c>
      <c r="Z156">
        <v>4</v>
      </c>
      <c r="AA156">
        <v>1</v>
      </c>
    </row>
    <row r="157" spans="1:27">
      <c r="A157">
        <v>161</v>
      </c>
      <c r="B157">
        <v>44</v>
      </c>
      <c r="C157">
        <v>3</v>
      </c>
      <c r="D157" t="s">
        <v>631</v>
      </c>
      <c r="E157">
        <v>10</v>
      </c>
      <c r="F157">
        <v>1</v>
      </c>
      <c r="G157">
        <v>1</v>
      </c>
      <c r="H157" t="s">
        <v>605</v>
      </c>
      <c r="I157">
        <v>0</v>
      </c>
      <c r="J157">
        <v>0</v>
      </c>
      <c r="K157">
        <v>0</v>
      </c>
      <c r="L157">
        <v>0</v>
      </c>
      <c r="N157" t="str">
        <f t="shared" si="2"/>
        <v>SELECT 161, 44, 3, 'Portugal', 10, 0 UNION ALL</v>
      </c>
      <c r="X157">
        <v>157</v>
      </c>
      <c r="Y157">
        <v>70</v>
      </c>
      <c r="Z157">
        <v>1</v>
      </c>
      <c r="AA157">
        <v>2</v>
      </c>
    </row>
    <row r="158" spans="1:27">
      <c r="A158">
        <v>162</v>
      </c>
      <c r="B158">
        <v>45</v>
      </c>
      <c r="C158">
        <v>3</v>
      </c>
      <c r="D158" t="s">
        <v>661</v>
      </c>
      <c r="E158">
        <v>10</v>
      </c>
      <c r="F158">
        <v>1</v>
      </c>
      <c r="G158">
        <v>1</v>
      </c>
      <c r="H158" t="s">
        <v>605</v>
      </c>
      <c r="I158">
        <v>0</v>
      </c>
      <c r="J158">
        <v>0</v>
      </c>
      <c r="K158">
        <v>0</v>
      </c>
      <c r="L158">
        <v>0</v>
      </c>
      <c r="N158" t="str">
        <f t="shared" si="2"/>
        <v>SELECT 162, 45, 3, 'Rumania', 10, 0 UNION ALL</v>
      </c>
      <c r="X158">
        <v>158</v>
      </c>
      <c r="Y158">
        <v>70</v>
      </c>
      <c r="Z158">
        <v>2</v>
      </c>
      <c r="AA158">
        <v>4</v>
      </c>
    </row>
    <row r="159" spans="1:27">
      <c r="A159">
        <v>163</v>
      </c>
      <c r="B159">
        <v>46</v>
      </c>
      <c r="C159">
        <v>3</v>
      </c>
      <c r="D159" t="s">
        <v>268</v>
      </c>
      <c r="E159">
        <v>10</v>
      </c>
      <c r="F159">
        <v>1</v>
      </c>
      <c r="G159">
        <v>1</v>
      </c>
      <c r="H159" t="s">
        <v>605</v>
      </c>
      <c r="I159">
        <v>0</v>
      </c>
      <c r="J159">
        <v>0</v>
      </c>
      <c r="K159">
        <v>0</v>
      </c>
      <c r="L159">
        <v>0</v>
      </c>
      <c r="N159" t="str">
        <f t="shared" si="2"/>
        <v>SELECT 163, 46, 3, 'San Marino', 10, 0 UNION ALL</v>
      </c>
      <c r="X159">
        <v>159</v>
      </c>
      <c r="Y159">
        <v>70</v>
      </c>
      <c r="Z159">
        <v>3</v>
      </c>
      <c r="AA159">
        <v>0</v>
      </c>
    </row>
    <row r="160" spans="1:27">
      <c r="A160">
        <v>164</v>
      </c>
      <c r="B160">
        <v>47</v>
      </c>
      <c r="C160">
        <v>3</v>
      </c>
      <c r="D160" t="s">
        <v>269</v>
      </c>
      <c r="E160">
        <v>10</v>
      </c>
      <c r="F160">
        <v>1</v>
      </c>
      <c r="G160">
        <v>1</v>
      </c>
      <c r="H160" t="s">
        <v>605</v>
      </c>
      <c r="I160">
        <v>0</v>
      </c>
      <c r="J160">
        <v>0</v>
      </c>
      <c r="K160">
        <v>0</v>
      </c>
      <c r="L160">
        <v>0</v>
      </c>
      <c r="N160" t="str">
        <f t="shared" si="2"/>
        <v>SELECT 164, 47, 3, 'Serbia', 10, 0 UNION ALL</v>
      </c>
      <c r="X160">
        <v>160</v>
      </c>
      <c r="Y160">
        <v>70</v>
      </c>
      <c r="Z160">
        <v>4</v>
      </c>
      <c r="AA160">
        <v>1</v>
      </c>
    </row>
    <row r="161" spans="1:27">
      <c r="A161">
        <v>165</v>
      </c>
      <c r="B161">
        <v>48</v>
      </c>
      <c r="C161">
        <v>3</v>
      </c>
      <c r="D161" t="s">
        <v>662</v>
      </c>
      <c r="E161">
        <v>10</v>
      </c>
      <c r="F161">
        <v>1</v>
      </c>
      <c r="G161">
        <v>1</v>
      </c>
      <c r="H161" t="s">
        <v>605</v>
      </c>
      <c r="I161">
        <v>0</v>
      </c>
      <c r="J161">
        <v>0</v>
      </c>
      <c r="K161">
        <v>0</v>
      </c>
      <c r="L161">
        <v>0</v>
      </c>
      <c r="N161" t="str">
        <f t="shared" si="2"/>
        <v>SELECT 165, 48, 3, 'Eslovaquia', 10, 0 UNION ALL</v>
      </c>
      <c r="X161">
        <v>161</v>
      </c>
      <c r="Y161">
        <v>71</v>
      </c>
      <c r="Z161">
        <v>1</v>
      </c>
      <c r="AA161">
        <v>2</v>
      </c>
    </row>
    <row r="162" spans="1:27">
      <c r="A162">
        <v>166</v>
      </c>
      <c r="B162">
        <v>49</v>
      </c>
      <c r="C162">
        <v>3</v>
      </c>
      <c r="D162" t="s">
        <v>663</v>
      </c>
      <c r="E162">
        <v>10</v>
      </c>
      <c r="F162">
        <v>1</v>
      </c>
      <c r="G162">
        <v>1</v>
      </c>
      <c r="H162" t="s">
        <v>605</v>
      </c>
      <c r="I162">
        <v>0</v>
      </c>
      <c r="J162">
        <v>0</v>
      </c>
      <c r="K162">
        <v>0</v>
      </c>
      <c r="L162">
        <v>0</v>
      </c>
      <c r="N162" t="str">
        <f t="shared" si="2"/>
        <v>SELECT 166, 49, 3, 'Eslovenia', 10, 0 UNION ALL</v>
      </c>
      <c r="X162">
        <v>162</v>
      </c>
      <c r="Y162">
        <v>71</v>
      </c>
      <c r="Z162">
        <v>2</v>
      </c>
      <c r="AA162">
        <v>4</v>
      </c>
    </row>
    <row r="163" spans="1:27">
      <c r="A163">
        <v>167</v>
      </c>
      <c r="B163">
        <v>50</v>
      </c>
      <c r="C163">
        <v>3</v>
      </c>
      <c r="D163" t="s">
        <v>664</v>
      </c>
      <c r="E163">
        <v>10</v>
      </c>
      <c r="F163">
        <v>1</v>
      </c>
      <c r="G163">
        <v>1</v>
      </c>
      <c r="H163" t="s">
        <v>605</v>
      </c>
      <c r="I163">
        <v>0</v>
      </c>
      <c r="J163">
        <v>0</v>
      </c>
      <c r="K163">
        <v>0</v>
      </c>
      <c r="L163">
        <v>0</v>
      </c>
      <c r="N163" t="str">
        <f t="shared" si="2"/>
        <v>SELECT 167, 50, 3, 'Suecia', 10, 0 UNION ALL</v>
      </c>
      <c r="X163">
        <v>163</v>
      </c>
      <c r="Y163">
        <v>71</v>
      </c>
      <c r="Z163">
        <v>3</v>
      </c>
      <c r="AA163">
        <v>0</v>
      </c>
    </row>
    <row r="164" spans="1:27">
      <c r="A164">
        <v>168</v>
      </c>
      <c r="B164">
        <v>51</v>
      </c>
      <c r="C164">
        <v>3</v>
      </c>
      <c r="D164" t="s">
        <v>665</v>
      </c>
      <c r="E164">
        <v>10</v>
      </c>
      <c r="F164">
        <v>1</v>
      </c>
      <c r="G164">
        <v>1</v>
      </c>
      <c r="H164" t="s">
        <v>605</v>
      </c>
      <c r="I164">
        <v>0</v>
      </c>
      <c r="J164">
        <v>0</v>
      </c>
      <c r="K164">
        <v>0</v>
      </c>
      <c r="L164">
        <v>0</v>
      </c>
      <c r="N164" t="str">
        <f t="shared" si="2"/>
        <v>SELECT 168, 51, 3, 'Suiza', 10, 0 UNION ALL</v>
      </c>
      <c r="X164">
        <v>164</v>
      </c>
      <c r="Y164">
        <v>71</v>
      </c>
      <c r="Z164">
        <v>4</v>
      </c>
      <c r="AA164">
        <v>1</v>
      </c>
    </row>
    <row r="165" spans="1:27">
      <c r="A165">
        <v>169</v>
      </c>
      <c r="B165">
        <v>52</v>
      </c>
      <c r="C165">
        <v>3</v>
      </c>
      <c r="D165" t="s">
        <v>666</v>
      </c>
      <c r="E165">
        <v>10</v>
      </c>
      <c r="F165">
        <v>1</v>
      </c>
      <c r="G165">
        <v>1</v>
      </c>
      <c r="H165" t="s">
        <v>605</v>
      </c>
      <c r="I165">
        <v>0</v>
      </c>
      <c r="J165">
        <v>0</v>
      </c>
      <c r="K165">
        <v>0</v>
      </c>
      <c r="L165">
        <v>0</v>
      </c>
      <c r="N165" t="str">
        <f t="shared" si="2"/>
        <v>SELECT 169, 52, 3, 'Turquía', 10, 0 UNION ALL</v>
      </c>
      <c r="X165">
        <v>165</v>
      </c>
      <c r="Y165">
        <v>72</v>
      </c>
      <c r="Z165">
        <v>1</v>
      </c>
      <c r="AA165">
        <v>2</v>
      </c>
    </row>
    <row r="166" spans="1:27">
      <c r="A166">
        <v>170</v>
      </c>
      <c r="B166">
        <v>53</v>
      </c>
      <c r="C166">
        <v>3</v>
      </c>
      <c r="D166" t="s">
        <v>667</v>
      </c>
      <c r="E166">
        <v>10</v>
      </c>
      <c r="F166">
        <v>1</v>
      </c>
      <c r="G166">
        <v>1</v>
      </c>
      <c r="H166" t="s">
        <v>605</v>
      </c>
      <c r="I166">
        <v>0</v>
      </c>
      <c r="J166">
        <v>0</v>
      </c>
      <c r="K166">
        <v>0</v>
      </c>
      <c r="L166">
        <v>0</v>
      </c>
      <c r="N166" t="str">
        <f t="shared" si="2"/>
        <v>SELECT 170, 53, 3, 'Ucrania', 10, 0 UNION ALL</v>
      </c>
      <c r="X166">
        <v>166</v>
      </c>
      <c r="Y166">
        <v>72</v>
      </c>
      <c r="Z166">
        <v>2</v>
      </c>
      <c r="AA166">
        <v>4</v>
      </c>
    </row>
    <row r="167" spans="1:27">
      <c r="A167">
        <v>171</v>
      </c>
      <c r="B167">
        <v>54</v>
      </c>
      <c r="C167">
        <v>3</v>
      </c>
      <c r="D167" t="s">
        <v>668</v>
      </c>
      <c r="E167">
        <v>10</v>
      </c>
      <c r="F167">
        <v>1</v>
      </c>
      <c r="G167">
        <v>1</v>
      </c>
      <c r="H167" t="s">
        <v>605</v>
      </c>
      <c r="I167">
        <v>0</v>
      </c>
      <c r="J167">
        <v>0</v>
      </c>
      <c r="K167">
        <v>0</v>
      </c>
      <c r="L167">
        <v>0</v>
      </c>
      <c r="N167" t="str">
        <f t="shared" si="2"/>
        <v>SELECT 171, 54, 3, 'Reino Unido', 10, 0 UNION ALL</v>
      </c>
      <c r="X167">
        <v>167</v>
      </c>
      <c r="Y167">
        <v>72</v>
      </c>
      <c r="Z167">
        <v>3</v>
      </c>
      <c r="AA167">
        <v>0</v>
      </c>
    </row>
    <row r="168" spans="1:27">
      <c r="A168">
        <v>172</v>
      </c>
      <c r="B168">
        <v>55</v>
      </c>
      <c r="C168">
        <v>3</v>
      </c>
      <c r="D168" t="s">
        <v>669</v>
      </c>
      <c r="E168">
        <v>10</v>
      </c>
      <c r="F168">
        <v>1</v>
      </c>
      <c r="G168">
        <v>1</v>
      </c>
      <c r="H168" t="s">
        <v>605</v>
      </c>
      <c r="I168">
        <v>0</v>
      </c>
      <c r="J168">
        <v>0</v>
      </c>
      <c r="K168">
        <v>0</v>
      </c>
      <c r="L168">
        <v>0</v>
      </c>
      <c r="N168" t="str">
        <f t="shared" si="2"/>
        <v>SELECT 172, 55, 3, 'Ciudad del Vaticano', 10, 0 UNION ALL</v>
      </c>
      <c r="X168">
        <v>168</v>
      </c>
      <c r="Y168">
        <v>72</v>
      </c>
      <c r="Z168">
        <v>4</v>
      </c>
      <c r="AA168">
        <v>1</v>
      </c>
    </row>
    <row r="169" spans="1:27">
      <c r="A169">
        <v>173</v>
      </c>
      <c r="B169">
        <v>56</v>
      </c>
      <c r="C169">
        <v>3</v>
      </c>
      <c r="D169" t="s">
        <v>670</v>
      </c>
      <c r="E169">
        <v>10</v>
      </c>
      <c r="F169">
        <v>1</v>
      </c>
      <c r="G169">
        <v>1</v>
      </c>
      <c r="H169" t="s">
        <v>605</v>
      </c>
      <c r="I169">
        <v>0</v>
      </c>
      <c r="J169">
        <v>0</v>
      </c>
      <c r="K169">
        <v>0</v>
      </c>
      <c r="L169">
        <v>0</v>
      </c>
      <c r="N169" t="str">
        <f t="shared" si="2"/>
        <v>SELECT 173, 56, 3, 'Escocia', 10, 0 UNION ALL</v>
      </c>
      <c r="X169">
        <v>169</v>
      </c>
      <c r="Y169">
        <v>73</v>
      </c>
      <c r="Z169">
        <v>1</v>
      </c>
      <c r="AA169">
        <v>3</v>
      </c>
    </row>
    <row r="170" spans="1:27">
      <c r="A170">
        <v>175</v>
      </c>
      <c r="B170">
        <v>13</v>
      </c>
      <c r="C170">
        <v>4</v>
      </c>
      <c r="D170" t="s">
        <v>606</v>
      </c>
      <c r="E170">
        <v>10</v>
      </c>
      <c r="F170">
        <v>1</v>
      </c>
      <c r="G170">
        <v>1</v>
      </c>
      <c r="H170" t="s">
        <v>605</v>
      </c>
      <c r="I170">
        <v>0</v>
      </c>
      <c r="J170">
        <v>0</v>
      </c>
      <c r="K170">
        <v>0</v>
      </c>
      <c r="L170">
        <v>0</v>
      </c>
      <c r="N170" t="str">
        <f t="shared" si="2"/>
        <v>SELECT 175, 13, 4, 'Andorra', 10, 0 UNION ALL</v>
      </c>
      <c r="X170">
        <v>170</v>
      </c>
      <c r="Y170">
        <v>73</v>
      </c>
      <c r="Z170">
        <v>2</v>
      </c>
      <c r="AA170">
        <v>4</v>
      </c>
    </row>
    <row r="171" spans="1:27">
      <c r="A171">
        <v>176</v>
      </c>
      <c r="B171">
        <v>14</v>
      </c>
      <c r="C171">
        <v>4</v>
      </c>
      <c r="D171" t="s">
        <v>235</v>
      </c>
      <c r="E171">
        <v>10</v>
      </c>
      <c r="F171">
        <v>1</v>
      </c>
      <c r="G171">
        <v>1</v>
      </c>
      <c r="H171" t="s">
        <v>605</v>
      </c>
      <c r="I171">
        <v>0</v>
      </c>
      <c r="J171">
        <v>0</v>
      </c>
      <c r="K171">
        <v>0</v>
      </c>
      <c r="L171">
        <v>0</v>
      </c>
      <c r="N171" t="str">
        <f t="shared" si="2"/>
        <v>SELECT 176, 14, 4, 'Armenia', 10, 0 UNION ALL</v>
      </c>
      <c r="X171">
        <v>171</v>
      </c>
      <c r="Y171">
        <v>73</v>
      </c>
      <c r="Z171">
        <v>3</v>
      </c>
      <c r="AA171">
        <v>0</v>
      </c>
    </row>
    <row r="172" spans="1:27">
      <c r="A172">
        <v>177</v>
      </c>
      <c r="B172">
        <v>15</v>
      </c>
      <c r="C172">
        <v>4</v>
      </c>
      <c r="D172" t="s">
        <v>236</v>
      </c>
      <c r="E172">
        <v>10</v>
      </c>
      <c r="F172">
        <v>1</v>
      </c>
      <c r="G172">
        <v>1</v>
      </c>
      <c r="H172" t="s">
        <v>605</v>
      </c>
      <c r="I172">
        <v>0</v>
      </c>
      <c r="J172">
        <v>0</v>
      </c>
      <c r="K172">
        <v>0</v>
      </c>
      <c r="L172">
        <v>0</v>
      </c>
      <c r="N172" t="str">
        <f t="shared" si="2"/>
        <v>SELECT 177, 15, 4, 'Austria', 10, 0 UNION ALL</v>
      </c>
      <c r="X172">
        <v>172</v>
      </c>
      <c r="Y172">
        <v>73</v>
      </c>
      <c r="Z172">
        <v>4</v>
      </c>
      <c r="AA172">
        <v>1</v>
      </c>
    </row>
    <row r="173" spans="1:27">
      <c r="A173">
        <v>178</v>
      </c>
      <c r="B173">
        <v>16</v>
      </c>
      <c r="C173">
        <v>4</v>
      </c>
      <c r="D173" t="s">
        <v>671</v>
      </c>
      <c r="E173">
        <v>10</v>
      </c>
      <c r="F173">
        <v>1</v>
      </c>
      <c r="G173">
        <v>1</v>
      </c>
      <c r="H173" t="s">
        <v>605</v>
      </c>
      <c r="I173">
        <v>0</v>
      </c>
      <c r="J173">
        <v>0</v>
      </c>
      <c r="K173">
        <v>0</v>
      </c>
      <c r="L173">
        <v>0</v>
      </c>
      <c r="N173" t="str">
        <f t="shared" si="2"/>
        <v>SELECT 178, 16, 4, 'Azerbaigian', 10, 0 UNION ALL</v>
      </c>
      <c r="X173">
        <v>173</v>
      </c>
      <c r="Y173">
        <v>74</v>
      </c>
      <c r="Z173">
        <v>1</v>
      </c>
      <c r="AA173">
        <v>2</v>
      </c>
    </row>
    <row r="174" spans="1:27">
      <c r="A174">
        <v>179</v>
      </c>
      <c r="B174">
        <v>17</v>
      </c>
      <c r="C174">
        <v>4</v>
      </c>
      <c r="D174" t="s">
        <v>672</v>
      </c>
      <c r="E174">
        <v>10</v>
      </c>
      <c r="F174">
        <v>1</v>
      </c>
      <c r="G174">
        <v>1</v>
      </c>
      <c r="H174" t="s">
        <v>605</v>
      </c>
      <c r="I174">
        <v>0</v>
      </c>
      <c r="J174">
        <v>0</v>
      </c>
      <c r="K174">
        <v>0</v>
      </c>
      <c r="L174">
        <v>0</v>
      </c>
      <c r="N174" t="str">
        <f t="shared" si="2"/>
        <v>SELECT 179, 17, 4, 'Bielorussia', 10, 0 UNION ALL</v>
      </c>
      <c r="X174">
        <v>174</v>
      </c>
      <c r="Y174">
        <v>74</v>
      </c>
      <c r="Z174">
        <v>2</v>
      </c>
      <c r="AA174">
        <v>4</v>
      </c>
    </row>
    <row r="175" spans="1:27">
      <c r="A175">
        <v>180</v>
      </c>
      <c r="B175">
        <v>18</v>
      </c>
      <c r="C175">
        <v>4</v>
      </c>
      <c r="D175" t="s">
        <v>673</v>
      </c>
      <c r="E175">
        <v>10</v>
      </c>
      <c r="F175">
        <v>1</v>
      </c>
      <c r="G175">
        <v>1</v>
      </c>
      <c r="H175" t="s">
        <v>605</v>
      </c>
      <c r="I175">
        <v>0</v>
      </c>
      <c r="J175">
        <v>0</v>
      </c>
      <c r="K175">
        <v>0</v>
      </c>
      <c r="L175">
        <v>0</v>
      </c>
      <c r="N175" t="str">
        <f t="shared" si="2"/>
        <v>SELECT 180, 18, 4, 'Belgio', 10, 0 UNION ALL</v>
      </c>
      <c r="X175">
        <v>175</v>
      </c>
      <c r="Y175">
        <v>74</v>
      </c>
      <c r="Z175">
        <v>3</v>
      </c>
      <c r="AA175">
        <v>0</v>
      </c>
    </row>
    <row r="176" spans="1:27">
      <c r="A176">
        <v>181</v>
      </c>
      <c r="B176">
        <v>19</v>
      </c>
      <c r="C176">
        <v>4</v>
      </c>
      <c r="D176" t="s">
        <v>674</v>
      </c>
      <c r="E176">
        <v>10</v>
      </c>
      <c r="F176">
        <v>1</v>
      </c>
      <c r="G176">
        <v>1</v>
      </c>
      <c r="H176" t="s">
        <v>605</v>
      </c>
      <c r="I176">
        <v>0</v>
      </c>
      <c r="J176">
        <v>0</v>
      </c>
      <c r="K176">
        <v>0</v>
      </c>
      <c r="L176">
        <v>0</v>
      </c>
      <c r="N176" t="str">
        <f t="shared" si="2"/>
        <v>SELECT 181, 19, 4, 'Bosnia ed Erzegovina', 10, 0 UNION ALL</v>
      </c>
      <c r="X176">
        <v>176</v>
      </c>
      <c r="Y176">
        <v>74</v>
      </c>
      <c r="Z176">
        <v>4</v>
      </c>
      <c r="AA176">
        <v>1</v>
      </c>
    </row>
    <row r="177" spans="1:27">
      <c r="A177">
        <v>182</v>
      </c>
      <c r="B177">
        <v>20</v>
      </c>
      <c r="C177">
        <v>4</v>
      </c>
      <c r="D177" t="s">
        <v>611</v>
      </c>
      <c r="E177">
        <v>10</v>
      </c>
      <c r="F177">
        <v>1</v>
      </c>
      <c r="G177">
        <v>1</v>
      </c>
      <c r="H177" t="s">
        <v>605</v>
      </c>
      <c r="I177">
        <v>0</v>
      </c>
      <c r="J177">
        <v>0</v>
      </c>
      <c r="K177">
        <v>0</v>
      </c>
      <c r="L177">
        <v>0</v>
      </c>
      <c r="N177" t="str">
        <f t="shared" si="2"/>
        <v>SELECT 182, 20, 4, 'Bulgaria', 10, 0 UNION ALL</v>
      </c>
      <c r="X177">
        <v>177</v>
      </c>
      <c r="Y177">
        <v>75</v>
      </c>
      <c r="Z177">
        <v>1</v>
      </c>
      <c r="AA177">
        <v>2</v>
      </c>
    </row>
    <row r="178" spans="1:27">
      <c r="A178">
        <v>183</v>
      </c>
      <c r="B178">
        <v>21</v>
      </c>
      <c r="C178">
        <v>4</v>
      </c>
      <c r="D178" t="s">
        <v>675</v>
      </c>
      <c r="E178">
        <v>10</v>
      </c>
      <c r="F178">
        <v>1</v>
      </c>
      <c r="G178">
        <v>1</v>
      </c>
      <c r="H178" t="s">
        <v>605</v>
      </c>
      <c r="I178">
        <v>0</v>
      </c>
      <c r="J178">
        <v>0</v>
      </c>
      <c r="K178">
        <v>0</v>
      </c>
      <c r="L178">
        <v>0</v>
      </c>
      <c r="N178" t="str">
        <f t="shared" si="2"/>
        <v>SELECT 183, 21, 4, 'Croazia', 10, 0 UNION ALL</v>
      </c>
      <c r="X178">
        <v>178</v>
      </c>
      <c r="Y178">
        <v>75</v>
      </c>
      <c r="Z178">
        <v>2</v>
      </c>
      <c r="AA178">
        <v>4</v>
      </c>
    </row>
    <row r="179" spans="1:27">
      <c r="A179">
        <v>184</v>
      </c>
      <c r="B179">
        <v>22</v>
      </c>
      <c r="C179">
        <v>4</v>
      </c>
      <c r="D179" t="s">
        <v>676</v>
      </c>
      <c r="E179">
        <v>10</v>
      </c>
      <c r="F179">
        <v>1</v>
      </c>
      <c r="G179">
        <v>1</v>
      </c>
      <c r="H179" t="s">
        <v>605</v>
      </c>
      <c r="I179">
        <v>0</v>
      </c>
      <c r="J179">
        <v>0</v>
      </c>
      <c r="K179">
        <v>0</v>
      </c>
      <c r="L179">
        <v>0</v>
      </c>
      <c r="N179" t="str">
        <f t="shared" si="2"/>
        <v>SELECT 184, 22, 4, 'Cipro', 10, 0 UNION ALL</v>
      </c>
      <c r="X179">
        <v>179</v>
      </c>
      <c r="Y179">
        <v>75</v>
      </c>
      <c r="Z179">
        <v>3</v>
      </c>
      <c r="AA179">
        <v>0</v>
      </c>
    </row>
    <row r="180" spans="1:27">
      <c r="A180">
        <v>185</v>
      </c>
      <c r="B180">
        <v>23</v>
      </c>
      <c r="C180">
        <v>4</v>
      </c>
      <c r="D180" t="s">
        <v>677</v>
      </c>
      <c r="E180">
        <v>10</v>
      </c>
      <c r="F180">
        <v>1</v>
      </c>
      <c r="G180">
        <v>1</v>
      </c>
      <c r="H180" t="s">
        <v>605</v>
      </c>
      <c r="I180">
        <v>0</v>
      </c>
      <c r="J180">
        <v>0</v>
      </c>
      <c r="K180">
        <v>0</v>
      </c>
      <c r="L180">
        <v>0</v>
      </c>
      <c r="N180" t="str">
        <f t="shared" si="2"/>
        <v>SELECT 185, 23, 4, 'Repubblica Ceca', 10, 0 UNION ALL</v>
      </c>
      <c r="X180">
        <v>180</v>
      </c>
      <c r="Y180">
        <v>75</v>
      </c>
      <c r="Z180">
        <v>4</v>
      </c>
      <c r="AA180">
        <v>1</v>
      </c>
    </row>
    <row r="181" spans="1:27">
      <c r="A181">
        <v>186</v>
      </c>
      <c r="B181">
        <v>24</v>
      </c>
      <c r="C181">
        <v>4</v>
      </c>
      <c r="D181" t="s">
        <v>678</v>
      </c>
      <c r="E181">
        <v>10</v>
      </c>
      <c r="F181">
        <v>1</v>
      </c>
      <c r="G181">
        <v>1</v>
      </c>
      <c r="H181" t="s">
        <v>605</v>
      </c>
      <c r="I181">
        <v>0</v>
      </c>
      <c r="J181">
        <v>0</v>
      </c>
      <c r="K181">
        <v>0</v>
      </c>
      <c r="L181">
        <v>0</v>
      </c>
      <c r="N181" t="str">
        <f t="shared" si="2"/>
        <v>SELECT 186, 24, 4, 'Danimarca', 10, 0 UNION ALL</v>
      </c>
      <c r="X181">
        <v>181</v>
      </c>
      <c r="Y181">
        <v>76</v>
      </c>
      <c r="Z181">
        <v>1</v>
      </c>
      <c r="AA181">
        <v>2</v>
      </c>
    </row>
    <row r="182" spans="1:27">
      <c r="A182">
        <v>187</v>
      </c>
      <c r="B182">
        <v>25</v>
      </c>
      <c r="C182">
        <v>4</v>
      </c>
      <c r="D182" t="s">
        <v>247</v>
      </c>
      <c r="E182">
        <v>10</v>
      </c>
      <c r="F182">
        <v>1</v>
      </c>
      <c r="G182">
        <v>1</v>
      </c>
      <c r="H182" t="s">
        <v>605</v>
      </c>
      <c r="I182">
        <v>0</v>
      </c>
      <c r="J182">
        <v>0</v>
      </c>
      <c r="K182">
        <v>0</v>
      </c>
      <c r="L182">
        <v>0</v>
      </c>
      <c r="N182" t="str">
        <f t="shared" si="2"/>
        <v>SELECT 187, 25, 4, 'Estonia', 10, 0 UNION ALL</v>
      </c>
      <c r="X182">
        <v>182</v>
      </c>
      <c r="Y182">
        <v>76</v>
      </c>
      <c r="Z182">
        <v>2</v>
      </c>
      <c r="AA182">
        <v>4</v>
      </c>
    </row>
    <row r="183" spans="1:27">
      <c r="A183">
        <v>188</v>
      </c>
      <c r="B183">
        <v>26</v>
      </c>
      <c r="C183">
        <v>4</v>
      </c>
      <c r="D183" t="s">
        <v>248</v>
      </c>
      <c r="E183">
        <v>10</v>
      </c>
      <c r="F183">
        <v>1</v>
      </c>
      <c r="G183">
        <v>1</v>
      </c>
      <c r="H183" t="s">
        <v>605</v>
      </c>
      <c r="I183">
        <v>0</v>
      </c>
      <c r="J183">
        <v>0</v>
      </c>
      <c r="K183">
        <v>0</v>
      </c>
      <c r="L183">
        <v>0</v>
      </c>
      <c r="N183" t="str">
        <f t="shared" si="2"/>
        <v>SELECT 188, 26, 4, 'Finlandia', 10, 0 UNION ALL</v>
      </c>
      <c r="X183">
        <v>183</v>
      </c>
      <c r="Y183">
        <v>76</v>
      </c>
      <c r="Z183">
        <v>3</v>
      </c>
      <c r="AA183">
        <v>0</v>
      </c>
    </row>
    <row r="184" spans="1:27">
      <c r="A184">
        <v>189</v>
      </c>
      <c r="B184">
        <v>27</v>
      </c>
      <c r="C184">
        <v>4</v>
      </c>
      <c r="D184" t="s">
        <v>617</v>
      </c>
      <c r="E184">
        <v>10</v>
      </c>
      <c r="F184">
        <v>1</v>
      </c>
      <c r="G184">
        <v>1</v>
      </c>
      <c r="H184" t="s">
        <v>605</v>
      </c>
      <c r="I184">
        <v>0</v>
      </c>
      <c r="J184">
        <v>0</v>
      </c>
      <c r="K184">
        <v>0</v>
      </c>
      <c r="L184">
        <v>0</v>
      </c>
      <c r="N184" t="str">
        <f t="shared" si="2"/>
        <v>SELECT 189, 27, 4, 'Georgia', 10, 0 UNION ALL</v>
      </c>
      <c r="X184">
        <v>184</v>
      </c>
      <c r="Y184">
        <v>76</v>
      </c>
      <c r="Z184">
        <v>4</v>
      </c>
      <c r="AA184">
        <v>1</v>
      </c>
    </row>
    <row r="185" spans="1:27">
      <c r="A185">
        <v>190</v>
      </c>
      <c r="B185">
        <v>28</v>
      </c>
      <c r="C185">
        <v>4</v>
      </c>
      <c r="D185" t="s">
        <v>650</v>
      </c>
      <c r="E185">
        <v>10</v>
      </c>
      <c r="F185">
        <v>1</v>
      </c>
      <c r="G185">
        <v>1</v>
      </c>
      <c r="H185" t="s">
        <v>605</v>
      </c>
      <c r="I185">
        <v>0</v>
      </c>
      <c r="J185">
        <v>0</v>
      </c>
      <c r="K185">
        <v>0</v>
      </c>
      <c r="L185">
        <v>0</v>
      </c>
      <c r="N185" t="str">
        <f t="shared" si="2"/>
        <v>SELECT 190, 28, 4, 'Grecia', 10, 0 UNION ALL</v>
      </c>
      <c r="X185">
        <v>185</v>
      </c>
      <c r="Y185">
        <v>77</v>
      </c>
      <c r="Z185">
        <v>1</v>
      </c>
      <c r="AA185">
        <v>2</v>
      </c>
    </row>
    <row r="186" spans="1:27">
      <c r="A186">
        <v>191</v>
      </c>
      <c r="B186">
        <v>29</v>
      </c>
      <c r="C186">
        <v>4</v>
      </c>
      <c r="D186" t="s">
        <v>679</v>
      </c>
      <c r="E186">
        <v>10</v>
      </c>
      <c r="F186">
        <v>1</v>
      </c>
      <c r="G186">
        <v>1</v>
      </c>
      <c r="H186" t="s">
        <v>605</v>
      </c>
      <c r="I186">
        <v>0</v>
      </c>
      <c r="J186">
        <v>0</v>
      </c>
      <c r="K186">
        <v>0</v>
      </c>
      <c r="L186">
        <v>0</v>
      </c>
      <c r="N186" t="str">
        <f t="shared" si="2"/>
        <v>SELECT 191, 29, 4, 'Ungheria', 10, 0 UNION ALL</v>
      </c>
      <c r="X186">
        <v>186</v>
      </c>
      <c r="Y186">
        <v>77</v>
      </c>
      <c r="Z186">
        <v>2</v>
      </c>
      <c r="AA186">
        <v>4</v>
      </c>
    </row>
    <row r="187" spans="1:27">
      <c r="A187">
        <v>192</v>
      </c>
      <c r="B187">
        <v>30</v>
      </c>
      <c r="C187">
        <v>4</v>
      </c>
      <c r="D187" t="s">
        <v>680</v>
      </c>
      <c r="E187">
        <v>10</v>
      </c>
      <c r="F187">
        <v>1</v>
      </c>
      <c r="G187">
        <v>1</v>
      </c>
      <c r="H187" t="s">
        <v>605</v>
      </c>
      <c r="I187">
        <v>0</v>
      </c>
      <c r="J187">
        <v>0</v>
      </c>
      <c r="K187">
        <v>0</v>
      </c>
      <c r="L187">
        <v>0</v>
      </c>
      <c r="N187" t="str">
        <f t="shared" si="2"/>
        <v>SELECT 192, 30, 4, 'Islanda', 10, 0 UNION ALL</v>
      </c>
      <c r="X187">
        <v>187</v>
      </c>
      <c r="Y187">
        <v>77</v>
      </c>
      <c r="Z187">
        <v>3</v>
      </c>
      <c r="AA187">
        <v>0</v>
      </c>
    </row>
    <row r="188" spans="1:27">
      <c r="A188">
        <v>193</v>
      </c>
      <c r="B188">
        <v>31</v>
      </c>
      <c r="C188">
        <v>4</v>
      </c>
      <c r="D188" t="s">
        <v>652</v>
      </c>
      <c r="E188">
        <v>10</v>
      </c>
      <c r="F188">
        <v>1</v>
      </c>
      <c r="G188">
        <v>1</v>
      </c>
      <c r="H188" t="s">
        <v>605</v>
      </c>
      <c r="I188">
        <v>0</v>
      </c>
      <c r="J188">
        <v>0</v>
      </c>
      <c r="K188">
        <v>0</v>
      </c>
      <c r="L188">
        <v>0</v>
      </c>
      <c r="N188" t="str">
        <f t="shared" si="2"/>
        <v>SELECT 193, 31, 4, 'Irlanda', 10, 0 UNION ALL</v>
      </c>
      <c r="X188">
        <v>188</v>
      </c>
      <c r="Y188">
        <v>77</v>
      </c>
      <c r="Z188">
        <v>4</v>
      </c>
      <c r="AA188">
        <v>1</v>
      </c>
    </row>
    <row r="189" spans="1:27">
      <c r="A189">
        <v>194</v>
      </c>
      <c r="B189">
        <v>32</v>
      </c>
      <c r="C189">
        <v>4</v>
      </c>
      <c r="D189" t="s">
        <v>681</v>
      </c>
      <c r="E189">
        <v>10</v>
      </c>
      <c r="F189">
        <v>1</v>
      </c>
      <c r="G189">
        <v>1</v>
      </c>
      <c r="H189" t="s">
        <v>605</v>
      </c>
      <c r="I189">
        <v>0</v>
      </c>
      <c r="J189">
        <v>0</v>
      </c>
      <c r="K189">
        <v>0</v>
      </c>
      <c r="L189">
        <v>0</v>
      </c>
      <c r="N189" t="str">
        <f t="shared" si="2"/>
        <v>SELECT 194, 32, 4, 'Kazakistan', 10, 0 UNION ALL</v>
      </c>
      <c r="X189">
        <v>189</v>
      </c>
      <c r="Y189">
        <v>78</v>
      </c>
      <c r="Z189">
        <v>1</v>
      </c>
      <c r="AA189">
        <v>2</v>
      </c>
    </row>
    <row r="190" spans="1:27">
      <c r="A190">
        <v>195</v>
      </c>
      <c r="B190">
        <v>33</v>
      </c>
      <c r="C190">
        <v>4</v>
      </c>
      <c r="D190" t="s">
        <v>682</v>
      </c>
      <c r="E190">
        <v>10</v>
      </c>
      <c r="F190">
        <v>1</v>
      </c>
      <c r="G190">
        <v>1</v>
      </c>
      <c r="H190" t="s">
        <v>605</v>
      </c>
      <c r="I190">
        <v>0</v>
      </c>
      <c r="J190">
        <v>0</v>
      </c>
      <c r="K190">
        <v>0</v>
      </c>
      <c r="L190">
        <v>0</v>
      </c>
      <c r="N190" t="str">
        <f t="shared" si="2"/>
        <v>SELECT 195, 33, 4, 'Lettonia', 10, 0 UNION ALL</v>
      </c>
      <c r="X190">
        <v>190</v>
      </c>
      <c r="Y190">
        <v>78</v>
      </c>
      <c r="Z190">
        <v>2</v>
      </c>
      <c r="AA190">
        <v>4</v>
      </c>
    </row>
    <row r="191" spans="1:27">
      <c r="A191">
        <v>196</v>
      </c>
      <c r="B191">
        <v>34</v>
      </c>
      <c r="C191">
        <v>4</v>
      </c>
      <c r="D191" t="s">
        <v>256</v>
      </c>
      <c r="E191">
        <v>10</v>
      </c>
      <c r="F191">
        <v>1</v>
      </c>
      <c r="G191">
        <v>1</v>
      </c>
      <c r="H191" t="s">
        <v>605</v>
      </c>
      <c r="I191">
        <v>0</v>
      </c>
      <c r="J191">
        <v>0</v>
      </c>
      <c r="K191">
        <v>0</v>
      </c>
      <c r="L191">
        <v>0</v>
      </c>
      <c r="N191" t="str">
        <f t="shared" si="2"/>
        <v>SELECT 196, 34, 4, 'Liechtenstein', 10, 0 UNION ALL</v>
      </c>
      <c r="X191">
        <v>191</v>
      </c>
      <c r="Y191">
        <v>78</v>
      </c>
      <c r="Z191">
        <v>3</v>
      </c>
      <c r="AA191">
        <v>0</v>
      </c>
    </row>
    <row r="192" spans="1:27">
      <c r="A192">
        <v>197</v>
      </c>
      <c r="B192">
        <v>35</v>
      </c>
      <c r="C192">
        <v>4</v>
      </c>
      <c r="D192" t="s">
        <v>655</v>
      </c>
      <c r="E192">
        <v>10</v>
      </c>
      <c r="F192">
        <v>1</v>
      </c>
      <c r="G192">
        <v>1</v>
      </c>
      <c r="H192" t="s">
        <v>605</v>
      </c>
      <c r="I192">
        <v>0</v>
      </c>
      <c r="J192">
        <v>0</v>
      </c>
      <c r="K192">
        <v>0</v>
      </c>
      <c r="L192">
        <v>0</v>
      </c>
      <c r="N192" t="str">
        <f t="shared" si="2"/>
        <v>SELECT 197, 35, 4, 'Lituania', 10, 0 UNION ALL</v>
      </c>
      <c r="X192">
        <v>192</v>
      </c>
      <c r="Y192">
        <v>78</v>
      </c>
      <c r="Z192">
        <v>4</v>
      </c>
      <c r="AA192">
        <v>1</v>
      </c>
    </row>
    <row r="193" spans="1:27">
      <c r="A193">
        <v>198</v>
      </c>
      <c r="B193">
        <v>36</v>
      </c>
      <c r="C193">
        <v>4</v>
      </c>
      <c r="D193" t="s">
        <v>683</v>
      </c>
      <c r="E193">
        <v>10</v>
      </c>
      <c r="F193">
        <v>1</v>
      </c>
      <c r="G193">
        <v>1</v>
      </c>
      <c r="H193" t="s">
        <v>605</v>
      </c>
      <c r="I193">
        <v>0</v>
      </c>
      <c r="J193">
        <v>0</v>
      </c>
      <c r="K193">
        <v>0</v>
      </c>
      <c r="L193">
        <v>0</v>
      </c>
      <c r="N193" t="str">
        <f t="shared" si="2"/>
        <v>SELECT 198, 36, 4, 'Lussemburgo', 10, 0 UNION ALL</v>
      </c>
      <c r="X193">
        <v>193</v>
      </c>
      <c r="Y193">
        <v>79</v>
      </c>
      <c r="Z193">
        <v>1</v>
      </c>
      <c r="AA193">
        <v>2</v>
      </c>
    </row>
    <row r="194" spans="1:27">
      <c r="A194">
        <v>199</v>
      </c>
      <c r="B194">
        <v>37</v>
      </c>
      <c r="C194">
        <v>4</v>
      </c>
      <c r="D194" t="s">
        <v>259</v>
      </c>
      <c r="E194">
        <v>10</v>
      </c>
      <c r="F194">
        <v>1</v>
      </c>
      <c r="G194">
        <v>1</v>
      </c>
      <c r="H194" t="s">
        <v>605</v>
      </c>
      <c r="I194">
        <v>0</v>
      </c>
      <c r="J194">
        <v>0</v>
      </c>
      <c r="K194">
        <v>0</v>
      </c>
      <c r="L194">
        <v>0</v>
      </c>
      <c r="N194" t="str">
        <f t="shared" si="2"/>
        <v>SELECT 199, 37, 4, 'Macedonia', 10, 0 UNION ALL</v>
      </c>
      <c r="X194">
        <v>194</v>
      </c>
      <c r="Y194">
        <v>79</v>
      </c>
      <c r="Z194">
        <v>2</v>
      </c>
      <c r="AA194">
        <v>4</v>
      </c>
    </row>
    <row r="195" spans="1:27">
      <c r="A195">
        <v>200</v>
      </c>
      <c r="B195">
        <v>38</v>
      </c>
      <c r="C195">
        <v>4</v>
      </c>
      <c r="D195" t="s">
        <v>260</v>
      </c>
      <c r="E195">
        <v>10</v>
      </c>
      <c r="F195">
        <v>1</v>
      </c>
      <c r="G195">
        <v>1</v>
      </c>
      <c r="H195" t="s">
        <v>605</v>
      </c>
      <c r="I195">
        <v>0</v>
      </c>
      <c r="J195">
        <v>0</v>
      </c>
      <c r="K195">
        <v>0</v>
      </c>
      <c r="L195">
        <v>0</v>
      </c>
      <c r="N195" t="str">
        <f t="shared" ref="N195:N258" si="3">"SELECT "&amp;A195&amp;", "&amp;B195&amp;", "&amp;C195&amp;", '"&amp;D195&amp;"', "&amp;E195&amp;", "&amp;L195&amp;" UNION ALL"</f>
        <v>SELECT 200, 38, 4, 'Malta', 10, 0 UNION ALL</v>
      </c>
      <c r="X195">
        <v>195</v>
      </c>
      <c r="Y195">
        <v>79</v>
      </c>
      <c r="Z195">
        <v>3</v>
      </c>
      <c r="AA195">
        <v>0</v>
      </c>
    </row>
    <row r="196" spans="1:27">
      <c r="A196">
        <v>201</v>
      </c>
      <c r="B196">
        <v>39</v>
      </c>
      <c r="C196">
        <v>4</v>
      </c>
      <c r="D196" t="s">
        <v>657</v>
      </c>
      <c r="E196">
        <v>10</v>
      </c>
      <c r="F196">
        <v>1</v>
      </c>
      <c r="G196">
        <v>1</v>
      </c>
      <c r="H196" t="s">
        <v>605</v>
      </c>
      <c r="I196">
        <v>0</v>
      </c>
      <c r="J196">
        <v>0</v>
      </c>
      <c r="K196">
        <v>0</v>
      </c>
      <c r="L196">
        <v>0</v>
      </c>
      <c r="N196" t="str">
        <f t="shared" si="3"/>
        <v>SELECT 201, 39, 4, 'Moldavia', 10, 0 UNION ALL</v>
      </c>
      <c r="X196">
        <v>196</v>
      </c>
      <c r="Y196">
        <v>79</v>
      </c>
      <c r="Z196">
        <v>4</v>
      </c>
      <c r="AA196">
        <v>1</v>
      </c>
    </row>
    <row r="197" spans="1:27">
      <c r="A197">
        <v>202</v>
      </c>
      <c r="B197">
        <v>40</v>
      </c>
      <c r="C197">
        <v>4</v>
      </c>
      <c r="D197" t="s">
        <v>627</v>
      </c>
      <c r="E197">
        <v>10</v>
      </c>
      <c r="F197">
        <v>1</v>
      </c>
      <c r="G197">
        <v>1</v>
      </c>
      <c r="H197" t="s">
        <v>605</v>
      </c>
      <c r="I197">
        <v>0</v>
      </c>
      <c r="J197">
        <v>0</v>
      </c>
      <c r="K197">
        <v>0</v>
      </c>
      <c r="L197">
        <v>0</v>
      </c>
      <c r="N197" t="str">
        <f t="shared" si="3"/>
        <v>SELECT 202, 40, 4, 'Monaco', 10, 0 UNION ALL</v>
      </c>
      <c r="X197">
        <v>197</v>
      </c>
      <c r="Y197">
        <v>80</v>
      </c>
      <c r="Z197">
        <v>1</v>
      </c>
      <c r="AA197">
        <v>2</v>
      </c>
    </row>
    <row r="198" spans="1:27">
      <c r="A198">
        <v>203</v>
      </c>
      <c r="B198">
        <v>41</v>
      </c>
      <c r="C198">
        <v>4</v>
      </c>
      <c r="D198" t="s">
        <v>628</v>
      </c>
      <c r="E198">
        <v>10</v>
      </c>
      <c r="F198">
        <v>1</v>
      </c>
      <c r="G198">
        <v>1</v>
      </c>
      <c r="H198" t="s">
        <v>605</v>
      </c>
      <c r="I198">
        <v>0</v>
      </c>
      <c r="J198">
        <v>0</v>
      </c>
      <c r="K198">
        <v>0</v>
      </c>
      <c r="L198">
        <v>0</v>
      </c>
      <c r="N198" t="str">
        <f t="shared" si="3"/>
        <v>SELECT 203, 41, 4, 'Montenegro', 10, 0 UNION ALL</v>
      </c>
      <c r="X198">
        <v>198</v>
      </c>
      <c r="Y198">
        <v>80</v>
      </c>
      <c r="Z198">
        <v>2</v>
      </c>
      <c r="AA198">
        <v>4</v>
      </c>
    </row>
    <row r="199" spans="1:27">
      <c r="A199">
        <v>204</v>
      </c>
      <c r="B199">
        <v>42</v>
      </c>
      <c r="C199">
        <v>4</v>
      </c>
      <c r="D199" t="s">
        <v>684</v>
      </c>
      <c r="E199">
        <v>10</v>
      </c>
      <c r="F199">
        <v>1</v>
      </c>
      <c r="G199">
        <v>1</v>
      </c>
      <c r="H199" t="s">
        <v>605</v>
      </c>
      <c r="I199">
        <v>0</v>
      </c>
      <c r="J199">
        <v>0</v>
      </c>
      <c r="K199">
        <v>0</v>
      </c>
      <c r="L199">
        <v>0</v>
      </c>
      <c r="N199" t="str">
        <f t="shared" si="3"/>
        <v>SELECT 204, 42, 4, 'Paesi Bassi', 10, 0 UNION ALL</v>
      </c>
      <c r="X199">
        <v>199</v>
      </c>
      <c r="Y199">
        <v>80</v>
      </c>
      <c r="Z199">
        <v>3</v>
      </c>
      <c r="AA199">
        <v>0</v>
      </c>
    </row>
    <row r="200" spans="1:27">
      <c r="A200">
        <v>205</v>
      </c>
      <c r="B200">
        <v>43</v>
      </c>
      <c r="C200">
        <v>4</v>
      </c>
      <c r="D200" t="s">
        <v>685</v>
      </c>
      <c r="E200">
        <v>10</v>
      </c>
      <c r="F200">
        <v>1</v>
      </c>
      <c r="G200">
        <v>1</v>
      </c>
      <c r="H200" t="s">
        <v>605</v>
      </c>
      <c r="I200">
        <v>0</v>
      </c>
      <c r="J200">
        <v>0</v>
      </c>
      <c r="K200">
        <v>0</v>
      </c>
      <c r="L200">
        <v>0</v>
      </c>
      <c r="N200" t="str">
        <f t="shared" si="3"/>
        <v>SELECT 205, 43, 4, 'Norvegia', 10, 0 UNION ALL</v>
      </c>
      <c r="X200">
        <v>200</v>
      </c>
      <c r="Y200">
        <v>80</v>
      </c>
      <c r="Z200">
        <v>4</v>
      </c>
      <c r="AA200">
        <v>1</v>
      </c>
    </row>
    <row r="201" spans="1:27">
      <c r="A201">
        <v>206</v>
      </c>
      <c r="B201">
        <v>44</v>
      </c>
      <c r="C201">
        <v>4</v>
      </c>
      <c r="D201" t="s">
        <v>686</v>
      </c>
      <c r="E201">
        <v>10</v>
      </c>
      <c r="F201">
        <v>1</v>
      </c>
      <c r="G201">
        <v>1</v>
      </c>
      <c r="H201" t="s">
        <v>605</v>
      </c>
      <c r="I201">
        <v>0</v>
      </c>
      <c r="J201">
        <v>0</v>
      </c>
      <c r="K201">
        <v>0</v>
      </c>
      <c r="L201">
        <v>0</v>
      </c>
      <c r="N201" t="str">
        <f t="shared" si="3"/>
        <v>SELECT 206, 44, 4, 'Portogallo', 10, 0 UNION ALL</v>
      </c>
      <c r="X201">
        <v>201</v>
      </c>
      <c r="Y201">
        <v>81</v>
      </c>
      <c r="Z201">
        <v>1</v>
      </c>
      <c r="AA201">
        <v>2</v>
      </c>
    </row>
    <row r="202" spans="1:27">
      <c r="A202">
        <v>207</v>
      </c>
      <c r="B202">
        <v>45</v>
      </c>
      <c r="C202">
        <v>4</v>
      </c>
      <c r="D202" t="s">
        <v>632</v>
      </c>
      <c r="E202">
        <v>10</v>
      </c>
      <c r="F202">
        <v>1</v>
      </c>
      <c r="G202">
        <v>1</v>
      </c>
      <c r="H202" t="s">
        <v>605</v>
      </c>
      <c r="I202">
        <v>0</v>
      </c>
      <c r="J202">
        <v>0</v>
      </c>
      <c r="K202">
        <v>0</v>
      </c>
      <c r="L202">
        <v>0</v>
      </c>
      <c r="N202" t="str">
        <f t="shared" si="3"/>
        <v>SELECT 207, 45, 4, 'Romania', 10, 0 UNION ALL</v>
      </c>
      <c r="X202">
        <v>202</v>
      </c>
      <c r="Y202">
        <v>81</v>
      </c>
      <c r="Z202">
        <v>2</v>
      </c>
      <c r="AA202">
        <v>4</v>
      </c>
    </row>
    <row r="203" spans="1:27">
      <c r="A203">
        <v>208</v>
      </c>
      <c r="B203">
        <v>46</v>
      </c>
      <c r="C203">
        <v>4</v>
      </c>
      <c r="D203" t="s">
        <v>268</v>
      </c>
      <c r="E203">
        <v>10</v>
      </c>
      <c r="F203">
        <v>1</v>
      </c>
      <c r="G203">
        <v>1</v>
      </c>
      <c r="H203" t="s">
        <v>605</v>
      </c>
      <c r="I203">
        <v>0</v>
      </c>
      <c r="J203">
        <v>0</v>
      </c>
      <c r="K203">
        <v>0</v>
      </c>
      <c r="L203">
        <v>0</v>
      </c>
      <c r="N203" t="str">
        <f t="shared" si="3"/>
        <v>SELECT 208, 46, 4, 'San Marino', 10, 0 UNION ALL</v>
      </c>
      <c r="X203">
        <v>203</v>
      </c>
      <c r="Y203">
        <v>81</v>
      </c>
      <c r="Z203">
        <v>3</v>
      </c>
      <c r="AA203">
        <v>0</v>
      </c>
    </row>
    <row r="204" spans="1:27">
      <c r="A204">
        <v>209</v>
      </c>
      <c r="B204">
        <v>47</v>
      </c>
      <c r="C204">
        <v>4</v>
      </c>
      <c r="D204" t="s">
        <v>269</v>
      </c>
      <c r="E204">
        <v>10</v>
      </c>
      <c r="F204">
        <v>1</v>
      </c>
      <c r="G204">
        <v>1</v>
      </c>
      <c r="H204" t="s">
        <v>605</v>
      </c>
      <c r="I204">
        <v>0</v>
      </c>
      <c r="J204">
        <v>0</v>
      </c>
      <c r="K204">
        <v>0</v>
      </c>
      <c r="L204">
        <v>0</v>
      </c>
      <c r="N204" t="str">
        <f t="shared" si="3"/>
        <v>SELECT 209, 47, 4, 'Serbia', 10, 0 UNION ALL</v>
      </c>
      <c r="X204">
        <v>204</v>
      </c>
      <c r="Y204">
        <v>81</v>
      </c>
      <c r="Z204">
        <v>4</v>
      </c>
      <c r="AA204">
        <v>1</v>
      </c>
    </row>
    <row r="205" spans="1:27">
      <c r="A205">
        <v>210</v>
      </c>
      <c r="B205">
        <v>48</v>
      </c>
      <c r="C205">
        <v>4</v>
      </c>
      <c r="D205" t="s">
        <v>687</v>
      </c>
      <c r="E205">
        <v>10</v>
      </c>
      <c r="F205">
        <v>1</v>
      </c>
      <c r="G205">
        <v>1</v>
      </c>
      <c r="H205" t="s">
        <v>605</v>
      </c>
      <c r="I205">
        <v>0</v>
      </c>
      <c r="J205">
        <v>0</v>
      </c>
      <c r="K205">
        <v>0</v>
      </c>
      <c r="L205">
        <v>0</v>
      </c>
      <c r="N205" t="str">
        <f t="shared" si="3"/>
        <v>SELECT 210, 48, 4, 'Slovacchia', 10, 0 UNION ALL</v>
      </c>
      <c r="X205">
        <v>205</v>
      </c>
      <c r="Y205">
        <v>83</v>
      </c>
      <c r="Z205">
        <v>1</v>
      </c>
      <c r="AA205">
        <v>2</v>
      </c>
    </row>
    <row r="206" spans="1:27">
      <c r="A206">
        <v>211</v>
      </c>
      <c r="B206">
        <v>49</v>
      </c>
      <c r="C206">
        <v>4</v>
      </c>
      <c r="D206" t="s">
        <v>634</v>
      </c>
      <c r="E206">
        <v>10</v>
      </c>
      <c r="F206">
        <v>1</v>
      </c>
      <c r="G206">
        <v>1</v>
      </c>
      <c r="H206" t="s">
        <v>605</v>
      </c>
      <c r="I206">
        <v>0</v>
      </c>
      <c r="J206">
        <v>0</v>
      </c>
      <c r="K206">
        <v>0</v>
      </c>
      <c r="L206">
        <v>0</v>
      </c>
      <c r="N206" t="str">
        <f t="shared" si="3"/>
        <v>SELECT 211, 49, 4, 'Slovenia', 10, 0 UNION ALL</v>
      </c>
      <c r="X206">
        <v>206</v>
      </c>
      <c r="Y206">
        <v>83</v>
      </c>
      <c r="Z206">
        <v>2</v>
      </c>
      <c r="AA206">
        <v>4</v>
      </c>
    </row>
    <row r="207" spans="1:27">
      <c r="A207">
        <v>212</v>
      </c>
      <c r="B207">
        <v>50</v>
      </c>
      <c r="C207">
        <v>4</v>
      </c>
      <c r="D207" t="s">
        <v>688</v>
      </c>
      <c r="E207">
        <v>10</v>
      </c>
      <c r="F207">
        <v>1</v>
      </c>
      <c r="G207">
        <v>1</v>
      </c>
      <c r="H207" t="s">
        <v>605</v>
      </c>
      <c r="I207">
        <v>0</v>
      </c>
      <c r="J207">
        <v>0</v>
      </c>
      <c r="K207">
        <v>0</v>
      </c>
      <c r="L207">
        <v>0</v>
      </c>
      <c r="N207" t="str">
        <f t="shared" si="3"/>
        <v>SELECT 212, 50, 4, 'Svezia', 10, 0 UNION ALL</v>
      </c>
      <c r="X207">
        <v>207</v>
      </c>
      <c r="Y207">
        <v>83</v>
      </c>
      <c r="Z207">
        <v>3</v>
      </c>
      <c r="AA207">
        <v>0</v>
      </c>
    </row>
    <row r="208" spans="1:27">
      <c r="A208">
        <v>213</v>
      </c>
      <c r="B208">
        <v>51</v>
      </c>
      <c r="C208">
        <v>4</v>
      </c>
      <c r="D208" t="s">
        <v>689</v>
      </c>
      <c r="E208">
        <v>10</v>
      </c>
      <c r="F208">
        <v>1</v>
      </c>
      <c r="G208">
        <v>1</v>
      </c>
      <c r="H208" t="s">
        <v>605</v>
      </c>
      <c r="I208">
        <v>0</v>
      </c>
      <c r="J208">
        <v>0</v>
      </c>
      <c r="K208">
        <v>0</v>
      </c>
      <c r="L208">
        <v>0</v>
      </c>
      <c r="N208" t="str">
        <f t="shared" si="3"/>
        <v>SELECT 213, 51, 4, 'Svizzera', 10, 0 UNION ALL</v>
      </c>
      <c r="X208">
        <v>208</v>
      </c>
      <c r="Y208">
        <v>83</v>
      </c>
      <c r="Z208">
        <v>4</v>
      </c>
      <c r="AA208">
        <v>1</v>
      </c>
    </row>
    <row r="209" spans="1:27">
      <c r="A209">
        <v>214</v>
      </c>
      <c r="B209">
        <v>52</v>
      </c>
      <c r="C209">
        <v>4</v>
      </c>
      <c r="D209" t="s">
        <v>690</v>
      </c>
      <c r="E209">
        <v>10</v>
      </c>
      <c r="F209">
        <v>1</v>
      </c>
      <c r="G209">
        <v>1</v>
      </c>
      <c r="H209" t="s">
        <v>605</v>
      </c>
      <c r="I209">
        <v>0</v>
      </c>
      <c r="J209">
        <v>0</v>
      </c>
      <c r="K209">
        <v>0</v>
      </c>
      <c r="L209">
        <v>0</v>
      </c>
      <c r="N209" t="str">
        <f t="shared" si="3"/>
        <v>SELECT 214, 52, 4, 'Turchia', 10, 0 UNION ALL</v>
      </c>
      <c r="X209">
        <v>209</v>
      </c>
      <c r="Y209">
        <v>82</v>
      </c>
      <c r="Z209">
        <v>1</v>
      </c>
      <c r="AA209">
        <v>1</v>
      </c>
    </row>
    <row r="210" spans="1:27">
      <c r="A210">
        <v>215</v>
      </c>
      <c r="B210">
        <v>53</v>
      </c>
      <c r="C210">
        <v>4</v>
      </c>
      <c r="D210" t="s">
        <v>691</v>
      </c>
      <c r="E210">
        <v>10</v>
      </c>
      <c r="F210">
        <v>1</v>
      </c>
      <c r="G210">
        <v>1</v>
      </c>
      <c r="H210" t="s">
        <v>605</v>
      </c>
      <c r="I210">
        <v>0</v>
      </c>
      <c r="J210">
        <v>0</v>
      </c>
      <c r="K210">
        <v>0</v>
      </c>
      <c r="L210">
        <v>0</v>
      </c>
      <c r="N210" t="str">
        <f t="shared" si="3"/>
        <v>SELECT 215, 53, 4, 'Ucraina', 10, 0 UNION ALL</v>
      </c>
      <c r="X210">
        <v>210</v>
      </c>
      <c r="Y210">
        <v>82</v>
      </c>
      <c r="Z210">
        <v>2</v>
      </c>
      <c r="AA210">
        <v>4</v>
      </c>
    </row>
    <row r="211" spans="1:27">
      <c r="A211">
        <v>216</v>
      </c>
      <c r="B211">
        <v>54</v>
      </c>
      <c r="C211">
        <v>4</v>
      </c>
      <c r="D211" t="s">
        <v>692</v>
      </c>
      <c r="E211">
        <v>10</v>
      </c>
      <c r="F211">
        <v>1</v>
      </c>
      <c r="G211">
        <v>1</v>
      </c>
      <c r="H211" t="s">
        <v>605</v>
      </c>
      <c r="I211">
        <v>0</v>
      </c>
      <c r="J211">
        <v>0</v>
      </c>
      <c r="K211">
        <v>0</v>
      </c>
      <c r="L211">
        <v>0</v>
      </c>
      <c r="N211" t="str">
        <f t="shared" si="3"/>
        <v>SELECT 216, 54, 4, 'Regno Unito', 10, 0 UNION ALL</v>
      </c>
      <c r="X211">
        <v>211</v>
      </c>
      <c r="Y211">
        <v>82</v>
      </c>
      <c r="Z211">
        <v>3</v>
      </c>
      <c r="AA211">
        <v>0</v>
      </c>
    </row>
    <row r="212" spans="1:27">
      <c r="A212">
        <v>217</v>
      </c>
      <c r="B212">
        <v>55</v>
      </c>
      <c r="C212">
        <v>4</v>
      </c>
      <c r="D212" t="s">
        <v>693</v>
      </c>
      <c r="E212">
        <v>10</v>
      </c>
      <c r="F212">
        <v>1</v>
      </c>
      <c r="G212">
        <v>1</v>
      </c>
      <c r="H212" t="s">
        <v>605</v>
      </c>
      <c r="I212">
        <v>0</v>
      </c>
      <c r="J212">
        <v>0</v>
      </c>
      <c r="K212">
        <v>0</v>
      </c>
      <c r="L212">
        <v>0</v>
      </c>
      <c r="N212" t="str">
        <f t="shared" si="3"/>
        <v>SELECT 217, 55, 4, 'Città del Vaticano', 10, 0 UNION ALL</v>
      </c>
      <c r="X212">
        <v>212</v>
      </c>
      <c r="Y212">
        <v>82</v>
      </c>
      <c r="Z212">
        <v>4</v>
      </c>
      <c r="AA212">
        <v>1</v>
      </c>
    </row>
    <row r="213" spans="1:27">
      <c r="A213">
        <v>218</v>
      </c>
      <c r="B213">
        <v>56</v>
      </c>
      <c r="C213">
        <v>4</v>
      </c>
      <c r="D213" t="s">
        <v>694</v>
      </c>
      <c r="E213">
        <v>10</v>
      </c>
      <c r="F213">
        <v>1</v>
      </c>
      <c r="G213">
        <v>1</v>
      </c>
      <c r="H213" t="s">
        <v>605</v>
      </c>
      <c r="I213">
        <v>0</v>
      </c>
      <c r="J213">
        <v>0</v>
      </c>
      <c r="K213">
        <v>0</v>
      </c>
      <c r="L213">
        <v>0</v>
      </c>
      <c r="N213" t="str">
        <f t="shared" si="3"/>
        <v>SELECT 218, 56, 4, 'Scozia', 10, 0 UNION ALL</v>
      </c>
      <c r="X213">
        <v>213</v>
      </c>
      <c r="Y213">
        <v>219</v>
      </c>
      <c r="Z213">
        <v>1</v>
      </c>
      <c r="AA213">
        <v>2</v>
      </c>
    </row>
    <row r="214" spans="1:27">
      <c r="A214">
        <v>219</v>
      </c>
      <c r="B214">
        <v>57</v>
      </c>
      <c r="C214">
        <v>1</v>
      </c>
      <c r="D214" t="s">
        <v>279</v>
      </c>
      <c r="E214">
        <v>10</v>
      </c>
      <c r="F214">
        <v>1</v>
      </c>
      <c r="G214">
        <v>1</v>
      </c>
      <c r="H214" t="s">
        <v>695</v>
      </c>
      <c r="I214">
        <v>0</v>
      </c>
      <c r="J214">
        <v>0</v>
      </c>
      <c r="K214">
        <v>0</v>
      </c>
      <c r="L214">
        <v>1</v>
      </c>
      <c r="N214" t="str">
        <f t="shared" si="3"/>
        <v>SELECT 219, 57, 1, 'Brazylia', 10, 1 UNION ALL</v>
      </c>
      <c r="X214">
        <v>214</v>
      </c>
      <c r="Y214">
        <v>219</v>
      </c>
      <c r="Z214">
        <v>2</v>
      </c>
      <c r="AA214">
        <v>4</v>
      </c>
    </row>
    <row r="215" spans="1:27">
      <c r="A215">
        <v>220</v>
      </c>
      <c r="B215">
        <v>57</v>
      </c>
      <c r="C215">
        <v>2</v>
      </c>
      <c r="D215" t="s">
        <v>696</v>
      </c>
      <c r="E215">
        <v>10</v>
      </c>
      <c r="F215">
        <v>1</v>
      </c>
      <c r="G215">
        <v>1</v>
      </c>
      <c r="H215" t="s">
        <v>695</v>
      </c>
      <c r="I215">
        <v>0</v>
      </c>
      <c r="J215">
        <v>0</v>
      </c>
      <c r="K215">
        <v>0</v>
      </c>
      <c r="L215">
        <v>1</v>
      </c>
      <c r="N215" t="str">
        <f t="shared" si="3"/>
        <v>SELECT 220, 57, 2, 'Brazil', 10, 1 UNION ALL</v>
      </c>
      <c r="X215">
        <v>215</v>
      </c>
      <c r="Y215">
        <v>219</v>
      </c>
      <c r="Z215">
        <v>3</v>
      </c>
      <c r="AA215">
        <v>0</v>
      </c>
    </row>
    <row r="216" spans="1:27">
      <c r="A216">
        <v>221</v>
      </c>
      <c r="B216">
        <v>57</v>
      </c>
      <c r="C216">
        <v>3</v>
      </c>
      <c r="D216" t="s">
        <v>697</v>
      </c>
      <c r="E216">
        <v>10</v>
      </c>
      <c r="F216">
        <v>1</v>
      </c>
      <c r="G216">
        <v>1</v>
      </c>
      <c r="H216" t="s">
        <v>698</v>
      </c>
      <c r="I216">
        <v>0</v>
      </c>
      <c r="J216">
        <v>0</v>
      </c>
      <c r="K216">
        <v>0</v>
      </c>
      <c r="L216">
        <v>0</v>
      </c>
      <c r="N216" t="str">
        <f t="shared" si="3"/>
        <v>SELECT 221, 57, 3, 'Brasil', 10, 0 UNION ALL</v>
      </c>
      <c r="X216">
        <v>216</v>
      </c>
      <c r="Y216">
        <v>219</v>
      </c>
      <c r="Z216">
        <v>4</v>
      </c>
      <c r="AA216">
        <v>1</v>
      </c>
    </row>
    <row r="217" spans="1:27">
      <c r="A217">
        <v>222</v>
      </c>
      <c r="B217">
        <v>57</v>
      </c>
      <c r="C217">
        <v>4</v>
      </c>
      <c r="D217" t="s">
        <v>699</v>
      </c>
      <c r="E217">
        <v>10</v>
      </c>
      <c r="F217">
        <v>1</v>
      </c>
      <c r="G217">
        <v>1</v>
      </c>
      <c r="H217" t="s">
        <v>698</v>
      </c>
      <c r="I217">
        <v>0</v>
      </c>
      <c r="J217">
        <v>0</v>
      </c>
      <c r="K217">
        <v>0</v>
      </c>
      <c r="L217">
        <v>0</v>
      </c>
      <c r="N217" t="str">
        <f t="shared" si="3"/>
        <v>SELECT 222, 57, 4, 'Brasile', 10, 0 UNION ALL</v>
      </c>
      <c r="X217">
        <v>217</v>
      </c>
      <c r="Y217">
        <v>223</v>
      </c>
      <c r="Z217">
        <v>1</v>
      </c>
      <c r="AA217">
        <v>2</v>
      </c>
    </row>
    <row r="218" spans="1:27">
      <c r="A218">
        <v>223</v>
      </c>
      <c r="B218">
        <v>58</v>
      </c>
      <c r="C218">
        <v>1</v>
      </c>
      <c r="D218" t="s">
        <v>281</v>
      </c>
      <c r="E218">
        <v>10</v>
      </c>
      <c r="F218">
        <v>1</v>
      </c>
      <c r="G218">
        <v>1</v>
      </c>
      <c r="H218" t="s">
        <v>700</v>
      </c>
      <c r="I218">
        <v>0</v>
      </c>
      <c r="J218">
        <v>0</v>
      </c>
      <c r="K218">
        <v>0</v>
      </c>
      <c r="L218">
        <v>1</v>
      </c>
      <c r="N218" t="str">
        <f t="shared" si="3"/>
        <v>SELECT 223, 58, 1, 'Argentyna', 10, 1 UNION ALL</v>
      </c>
      <c r="X218">
        <v>218</v>
      </c>
      <c r="Y218">
        <v>223</v>
      </c>
      <c r="Z218">
        <v>2</v>
      </c>
      <c r="AA218">
        <v>4</v>
      </c>
    </row>
    <row r="219" spans="1:27">
      <c r="A219">
        <v>224</v>
      </c>
      <c r="B219">
        <v>58</v>
      </c>
      <c r="C219">
        <v>2</v>
      </c>
      <c r="D219" t="s">
        <v>701</v>
      </c>
      <c r="E219">
        <v>10</v>
      </c>
      <c r="F219">
        <v>1</v>
      </c>
      <c r="G219">
        <v>1</v>
      </c>
      <c r="H219" t="s">
        <v>700</v>
      </c>
      <c r="I219">
        <v>0</v>
      </c>
      <c r="J219">
        <v>0</v>
      </c>
      <c r="K219">
        <v>0</v>
      </c>
      <c r="L219">
        <v>1</v>
      </c>
      <c r="N219" t="str">
        <f t="shared" si="3"/>
        <v>SELECT 224, 58, 2, 'Argentina', 10, 1 UNION ALL</v>
      </c>
      <c r="X219">
        <v>219</v>
      </c>
      <c r="Y219">
        <v>223</v>
      </c>
      <c r="Z219">
        <v>3</v>
      </c>
      <c r="AA219">
        <v>0</v>
      </c>
    </row>
    <row r="220" spans="1:27">
      <c r="A220">
        <v>225</v>
      </c>
      <c r="B220">
        <v>58</v>
      </c>
      <c r="C220">
        <v>3</v>
      </c>
      <c r="D220" t="s">
        <v>701</v>
      </c>
      <c r="E220">
        <v>10</v>
      </c>
      <c r="F220">
        <v>1</v>
      </c>
      <c r="G220">
        <v>1</v>
      </c>
      <c r="H220" t="s">
        <v>700</v>
      </c>
      <c r="I220">
        <v>0</v>
      </c>
      <c r="J220">
        <v>0</v>
      </c>
      <c r="K220">
        <v>0</v>
      </c>
      <c r="L220">
        <v>0</v>
      </c>
      <c r="N220" t="str">
        <f t="shared" si="3"/>
        <v>SELECT 225, 58, 3, 'Argentina', 10, 0 UNION ALL</v>
      </c>
      <c r="X220">
        <v>220</v>
      </c>
      <c r="Y220">
        <v>223</v>
      </c>
      <c r="Z220">
        <v>4</v>
      </c>
      <c r="AA220">
        <v>1</v>
      </c>
    </row>
    <row r="221" spans="1:27">
      <c r="A221">
        <v>226</v>
      </c>
      <c r="B221">
        <v>58</v>
      </c>
      <c r="C221">
        <v>4</v>
      </c>
      <c r="D221" t="s">
        <v>701</v>
      </c>
      <c r="E221">
        <v>10</v>
      </c>
      <c r="F221">
        <v>1</v>
      </c>
      <c r="G221">
        <v>1</v>
      </c>
      <c r="H221" t="s">
        <v>700</v>
      </c>
      <c r="I221">
        <v>0</v>
      </c>
      <c r="J221">
        <v>0</v>
      </c>
      <c r="K221">
        <v>0</v>
      </c>
      <c r="L221">
        <v>0</v>
      </c>
      <c r="N221" t="str">
        <f t="shared" si="3"/>
        <v>SELECT 226, 58, 4, 'Argentina', 10, 0 UNION ALL</v>
      </c>
      <c r="X221">
        <v>221</v>
      </c>
      <c r="Y221">
        <v>2</v>
      </c>
      <c r="Z221">
        <v>5</v>
      </c>
      <c r="AA221">
        <v>9</v>
      </c>
    </row>
    <row r="222" spans="1:27">
      <c r="A222">
        <v>227</v>
      </c>
      <c r="B222">
        <v>80</v>
      </c>
      <c r="C222">
        <v>1</v>
      </c>
      <c r="D222" t="s">
        <v>297</v>
      </c>
      <c r="E222">
        <v>10</v>
      </c>
      <c r="F222">
        <v>1</v>
      </c>
      <c r="G222">
        <v>1</v>
      </c>
      <c r="H222" t="s">
        <v>702</v>
      </c>
      <c r="I222">
        <v>0</v>
      </c>
      <c r="J222">
        <v>0</v>
      </c>
      <c r="K222">
        <v>0</v>
      </c>
      <c r="L222">
        <v>1</v>
      </c>
      <c r="N222" t="str">
        <f t="shared" si="3"/>
        <v>SELECT 227, 80, 1, 'Ekwador', 10, 1 UNION ALL</v>
      </c>
      <c r="X222">
        <v>222</v>
      </c>
      <c r="Y222">
        <v>2</v>
      </c>
      <c r="Z222">
        <v>6</v>
      </c>
      <c r="AA222">
        <v>10</v>
      </c>
    </row>
    <row r="223" spans="1:27">
      <c r="A223">
        <v>228</v>
      </c>
      <c r="B223">
        <v>70</v>
      </c>
      <c r="C223">
        <v>1</v>
      </c>
      <c r="D223" t="s">
        <v>295</v>
      </c>
      <c r="E223">
        <v>10</v>
      </c>
      <c r="F223">
        <v>1</v>
      </c>
      <c r="G223">
        <v>1</v>
      </c>
      <c r="H223" t="s">
        <v>703</v>
      </c>
      <c r="I223">
        <v>0</v>
      </c>
      <c r="J223">
        <v>0</v>
      </c>
      <c r="K223">
        <v>0</v>
      </c>
      <c r="L223">
        <v>1</v>
      </c>
      <c r="N223" t="str">
        <f t="shared" si="3"/>
        <v>SELECT 228, 70, 1, 'Paragwaj', 10, 1 UNION ALL</v>
      </c>
      <c r="X223">
        <v>223</v>
      </c>
      <c r="Y223">
        <v>2</v>
      </c>
      <c r="Z223">
        <v>7</v>
      </c>
      <c r="AA223">
        <v>0</v>
      </c>
    </row>
    <row r="224" spans="1:27">
      <c r="A224">
        <v>229</v>
      </c>
      <c r="B224">
        <v>70</v>
      </c>
      <c r="C224">
        <v>2</v>
      </c>
      <c r="D224" t="s">
        <v>704</v>
      </c>
      <c r="E224">
        <v>10</v>
      </c>
      <c r="F224">
        <v>1</v>
      </c>
      <c r="G224">
        <v>1</v>
      </c>
      <c r="H224" t="s">
        <v>705</v>
      </c>
      <c r="I224">
        <v>0</v>
      </c>
      <c r="J224">
        <v>0</v>
      </c>
      <c r="K224">
        <v>0</v>
      </c>
      <c r="L224">
        <v>1</v>
      </c>
      <c r="N224" t="str">
        <f t="shared" si="3"/>
        <v>SELECT 229, 70, 2, 'Paraguay', 10, 1 UNION ALL</v>
      </c>
      <c r="X224">
        <v>224</v>
      </c>
      <c r="Y224">
        <v>2</v>
      </c>
      <c r="Z224">
        <v>8</v>
      </c>
      <c r="AA224">
        <v>1</v>
      </c>
    </row>
    <row r="225" spans="1:27">
      <c r="A225">
        <v>230</v>
      </c>
      <c r="B225">
        <v>80</v>
      </c>
      <c r="C225">
        <v>2</v>
      </c>
      <c r="D225" t="s">
        <v>706</v>
      </c>
      <c r="E225">
        <v>10</v>
      </c>
      <c r="F225">
        <v>1</v>
      </c>
      <c r="G225">
        <v>1</v>
      </c>
      <c r="H225" t="s">
        <v>707</v>
      </c>
      <c r="I225">
        <v>0</v>
      </c>
      <c r="J225">
        <v>0</v>
      </c>
      <c r="K225">
        <v>0</v>
      </c>
      <c r="L225">
        <v>1</v>
      </c>
      <c r="N225" t="str">
        <f t="shared" si="3"/>
        <v>SELECT 230, 80, 2, 'Ecuador', 10, 1 UNION ALL</v>
      </c>
      <c r="X225">
        <v>225</v>
      </c>
      <c r="Y225">
        <v>255</v>
      </c>
      <c r="Z225">
        <v>1</v>
      </c>
      <c r="AA225">
        <v>3</v>
      </c>
    </row>
    <row r="226" spans="1:27">
      <c r="A226">
        <v>231</v>
      </c>
      <c r="B226">
        <v>80</v>
      </c>
      <c r="C226">
        <v>3</v>
      </c>
      <c r="D226" t="s">
        <v>706</v>
      </c>
      <c r="E226">
        <v>10</v>
      </c>
      <c r="F226">
        <v>1</v>
      </c>
      <c r="G226">
        <v>1</v>
      </c>
      <c r="H226" t="s">
        <v>707</v>
      </c>
      <c r="I226">
        <v>0</v>
      </c>
      <c r="J226">
        <v>0</v>
      </c>
      <c r="K226">
        <v>0</v>
      </c>
      <c r="L226">
        <v>0</v>
      </c>
      <c r="N226" t="str">
        <f t="shared" si="3"/>
        <v>SELECT 231, 80, 3, 'Ecuador', 10, 0 UNION ALL</v>
      </c>
      <c r="X226">
        <v>226</v>
      </c>
      <c r="Y226">
        <v>255</v>
      </c>
      <c r="Z226">
        <v>2</v>
      </c>
      <c r="AA226">
        <v>4</v>
      </c>
    </row>
    <row r="227" spans="1:27">
      <c r="A227">
        <v>232</v>
      </c>
      <c r="B227">
        <v>80</v>
      </c>
      <c r="C227">
        <v>4</v>
      </c>
      <c r="D227" t="s">
        <v>706</v>
      </c>
      <c r="E227">
        <v>10</v>
      </c>
      <c r="F227">
        <v>1</v>
      </c>
      <c r="G227">
        <v>1</v>
      </c>
      <c r="H227" t="s">
        <v>708</v>
      </c>
      <c r="I227">
        <v>0</v>
      </c>
      <c r="J227">
        <v>0</v>
      </c>
      <c r="K227">
        <v>0</v>
      </c>
      <c r="L227">
        <v>0</v>
      </c>
      <c r="N227" t="str">
        <f t="shared" si="3"/>
        <v>SELECT 232, 80, 4, 'Ecuador', 10, 0 UNION ALL</v>
      </c>
      <c r="X227">
        <v>227</v>
      </c>
      <c r="Y227">
        <v>255</v>
      </c>
      <c r="Z227">
        <v>3</v>
      </c>
      <c r="AA227">
        <v>0</v>
      </c>
    </row>
    <row r="228" spans="1:27">
      <c r="A228">
        <v>233</v>
      </c>
      <c r="B228">
        <v>70</v>
      </c>
      <c r="C228">
        <v>3</v>
      </c>
      <c r="D228" t="s">
        <v>704</v>
      </c>
      <c r="E228">
        <v>10</v>
      </c>
      <c r="F228">
        <v>1</v>
      </c>
      <c r="G228">
        <v>1</v>
      </c>
      <c r="H228" t="s">
        <v>709</v>
      </c>
      <c r="I228">
        <v>0</v>
      </c>
      <c r="J228">
        <v>0</v>
      </c>
      <c r="K228">
        <v>0</v>
      </c>
      <c r="L228">
        <v>0</v>
      </c>
      <c r="N228" t="str">
        <f t="shared" si="3"/>
        <v>SELECT 233, 70, 3, 'Paraguay', 10, 0 UNION ALL</v>
      </c>
      <c r="X228">
        <v>228</v>
      </c>
      <c r="Y228">
        <v>255</v>
      </c>
      <c r="Z228">
        <v>4</v>
      </c>
      <c r="AA228">
        <v>1</v>
      </c>
    </row>
    <row r="229" spans="1:27">
      <c r="A229">
        <v>234</v>
      </c>
      <c r="B229">
        <v>70</v>
      </c>
      <c r="C229">
        <v>4</v>
      </c>
      <c r="D229" t="s">
        <v>704</v>
      </c>
      <c r="E229">
        <v>10</v>
      </c>
      <c r="F229">
        <v>1</v>
      </c>
      <c r="G229">
        <v>1</v>
      </c>
      <c r="H229" t="s">
        <v>709</v>
      </c>
      <c r="I229">
        <v>0</v>
      </c>
      <c r="J229">
        <v>0</v>
      </c>
      <c r="K229">
        <v>0</v>
      </c>
      <c r="L229">
        <v>0</v>
      </c>
      <c r="N229" t="str">
        <f t="shared" si="3"/>
        <v>SELECT 234, 70, 4, 'Paraguay', 10, 0 UNION ALL</v>
      </c>
      <c r="X229">
        <v>229</v>
      </c>
      <c r="Y229">
        <v>247</v>
      </c>
      <c r="Z229">
        <v>1</v>
      </c>
      <c r="AA229">
        <v>3</v>
      </c>
    </row>
    <row r="230" spans="1:27">
      <c r="A230">
        <v>235</v>
      </c>
      <c r="B230">
        <v>68</v>
      </c>
      <c r="C230">
        <v>1</v>
      </c>
      <c r="D230" t="s">
        <v>293</v>
      </c>
      <c r="E230">
        <v>10</v>
      </c>
      <c r="F230">
        <v>1</v>
      </c>
      <c r="G230">
        <v>1</v>
      </c>
      <c r="H230" t="s">
        <v>710</v>
      </c>
      <c r="I230">
        <v>0</v>
      </c>
      <c r="J230">
        <v>0</v>
      </c>
      <c r="K230">
        <v>0</v>
      </c>
      <c r="L230">
        <v>1</v>
      </c>
      <c r="N230" t="str">
        <f t="shared" si="3"/>
        <v>SELECT 235, 68, 1, 'Urugwaj', 10, 1 UNION ALL</v>
      </c>
      <c r="X230">
        <v>230</v>
      </c>
      <c r="Y230">
        <v>247</v>
      </c>
      <c r="Z230">
        <v>2</v>
      </c>
      <c r="AA230">
        <v>4</v>
      </c>
    </row>
    <row r="231" spans="1:27">
      <c r="A231">
        <v>236</v>
      </c>
      <c r="B231">
        <v>68</v>
      </c>
      <c r="C231">
        <v>2</v>
      </c>
      <c r="D231" t="s">
        <v>711</v>
      </c>
      <c r="E231">
        <v>10</v>
      </c>
      <c r="F231">
        <v>1</v>
      </c>
      <c r="G231">
        <v>1</v>
      </c>
      <c r="H231" t="s">
        <v>712</v>
      </c>
      <c r="I231">
        <v>0</v>
      </c>
      <c r="J231">
        <v>0</v>
      </c>
      <c r="K231">
        <v>0</v>
      </c>
      <c r="L231">
        <v>1</v>
      </c>
      <c r="N231" t="str">
        <f t="shared" si="3"/>
        <v>SELECT 236, 68, 2, 'Uruguay', 10, 1 UNION ALL</v>
      </c>
      <c r="X231">
        <v>231</v>
      </c>
      <c r="Y231">
        <v>247</v>
      </c>
      <c r="Z231">
        <v>3</v>
      </c>
      <c r="AA231">
        <v>0</v>
      </c>
    </row>
    <row r="232" spans="1:27">
      <c r="A232">
        <v>237</v>
      </c>
      <c r="B232">
        <v>68</v>
      </c>
      <c r="C232">
        <v>3</v>
      </c>
      <c r="D232" t="s">
        <v>711</v>
      </c>
      <c r="E232">
        <v>10</v>
      </c>
      <c r="F232">
        <v>1</v>
      </c>
      <c r="G232">
        <v>1</v>
      </c>
      <c r="H232" t="s">
        <v>712</v>
      </c>
      <c r="I232">
        <v>0</v>
      </c>
      <c r="J232">
        <v>0</v>
      </c>
      <c r="K232">
        <v>0</v>
      </c>
      <c r="L232">
        <v>0</v>
      </c>
      <c r="N232" t="str">
        <f t="shared" si="3"/>
        <v>SELECT 237, 68, 3, 'Uruguay', 10, 0 UNION ALL</v>
      </c>
      <c r="X232">
        <v>232</v>
      </c>
      <c r="Y232">
        <v>247</v>
      </c>
      <c r="Z232">
        <v>4</v>
      </c>
      <c r="AA232">
        <v>1</v>
      </c>
    </row>
    <row r="233" spans="1:27">
      <c r="A233">
        <v>238</v>
      </c>
      <c r="B233">
        <v>68</v>
      </c>
      <c r="C233">
        <v>4</v>
      </c>
      <c r="D233" t="s">
        <v>711</v>
      </c>
      <c r="E233">
        <v>10</v>
      </c>
      <c r="F233">
        <v>1</v>
      </c>
      <c r="G233">
        <v>1</v>
      </c>
      <c r="H233" t="s">
        <v>713</v>
      </c>
      <c r="I233">
        <v>0</v>
      </c>
      <c r="J233">
        <v>0</v>
      </c>
      <c r="K233">
        <v>0</v>
      </c>
      <c r="L233">
        <v>0</v>
      </c>
      <c r="N233" t="str">
        <f t="shared" si="3"/>
        <v>SELECT 238, 68, 4, 'Uruguay', 10, 0 UNION ALL</v>
      </c>
      <c r="X233">
        <v>233</v>
      </c>
      <c r="Y233">
        <v>251</v>
      </c>
      <c r="Z233">
        <v>1</v>
      </c>
      <c r="AA233">
        <v>2</v>
      </c>
    </row>
    <row r="234" spans="1:27">
      <c r="A234">
        <v>239</v>
      </c>
      <c r="B234">
        <v>67</v>
      </c>
      <c r="C234">
        <v>1</v>
      </c>
      <c r="D234" t="s">
        <v>291</v>
      </c>
      <c r="E234">
        <v>10</v>
      </c>
      <c r="F234">
        <v>1</v>
      </c>
      <c r="G234">
        <v>1</v>
      </c>
      <c r="H234" t="s">
        <v>714</v>
      </c>
      <c r="I234">
        <v>0</v>
      </c>
      <c r="J234">
        <v>0</v>
      </c>
      <c r="K234">
        <v>0</v>
      </c>
      <c r="L234">
        <v>1</v>
      </c>
      <c r="N234" t="str">
        <f t="shared" si="3"/>
        <v>SELECT 239, 67, 1, 'Wenezuela', 10, 1 UNION ALL</v>
      </c>
      <c r="X234">
        <v>234</v>
      </c>
      <c r="Y234">
        <v>251</v>
      </c>
      <c r="Z234">
        <v>2</v>
      </c>
      <c r="AA234">
        <v>4</v>
      </c>
    </row>
    <row r="235" spans="1:27">
      <c r="A235">
        <v>240</v>
      </c>
      <c r="B235">
        <v>67</v>
      </c>
      <c r="C235">
        <v>2</v>
      </c>
      <c r="D235" t="s">
        <v>715</v>
      </c>
      <c r="E235">
        <v>10</v>
      </c>
      <c r="F235">
        <v>1</v>
      </c>
      <c r="G235">
        <v>1</v>
      </c>
      <c r="H235" t="s">
        <v>714</v>
      </c>
      <c r="I235">
        <v>0</v>
      </c>
      <c r="J235">
        <v>0</v>
      </c>
      <c r="K235">
        <v>0</v>
      </c>
      <c r="L235">
        <v>1</v>
      </c>
      <c r="N235" t="str">
        <f t="shared" si="3"/>
        <v>SELECT 240, 67, 2, 'Venezuela', 10, 1 UNION ALL</v>
      </c>
      <c r="X235">
        <v>235</v>
      </c>
      <c r="Y235">
        <v>251</v>
      </c>
      <c r="Z235">
        <v>3</v>
      </c>
      <c r="AA235">
        <v>0</v>
      </c>
    </row>
    <row r="236" spans="1:27">
      <c r="A236">
        <v>241</v>
      </c>
      <c r="B236">
        <v>67</v>
      </c>
      <c r="C236">
        <v>3</v>
      </c>
      <c r="D236" t="s">
        <v>715</v>
      </c>
      <c r="E236">
        <v>10</v>
      </c>
      <c r="F236">
        <v>1</v>
      </c>
      <c r="G236">
        <v>1</v>
      </c>
      <c r="H236" t="s">
        <v>714</v>
      </c>
      <c r="I236">
        <v>0</v>
      </c>
      <c r="J236">
        <v>0</v>
      </c>
      <c r="K236">
        <v>0</v>
      </c>
      <c r="L236">
        <v>0</v>
      </c>
      <c r="N236" t="str">
        <f t="shared" si="3"/>
        <v>SELECT 241, 67, 3, 'Venezuela', 10, 0 UNION ALL</v>
      </c>
      <c r="X236">
        <v>236</v>
      </c>
      <c r="Y236">
        <v>251</v>
      </c>
      <c r="Z236">
        <v>4</v>
      </c>
      <c r="AA236">
        <v>1</v>
      </c>
    </row>
    <row r="237" spans="1:27">
      <c r="A237">
        <v>242</v>
      </c>
      <c r="B237">
        <v>67</v>
      </c>
      <c r="C237">
        <v>4</v>
      </c>
      <c r="D237" t="s">
        <v>715</v>
      </c>
      <c r="E237">
        <v>10</v>
      </c>
      <c r="F237">
        <v>1</v>
      </c>
      <c r="G237">
        <v>1</v>
      </c>
      <c r="H237" t="s">
        <v>716</v>
      </c>
      <c r="I237">
        <v>0</v>
      </c>
      <c r="J237">
        <v>0</v>
      </c>
      <c r="K237">
        <v>0</v>
      </c>
      <c r="L237">
        <v>0</v>
      </c>
      <c r="N237" t="str">
        <f t="shared" si="3"/>
        <v>SELECT 242, 67, 4, 'Venezuela', 10, 0 UNION ALL</v>
      </c>
      <c r="X237">
        <v>237</v>
      </c>
      <c r="Y237">
        <v>243</v>
      </c>
      <c r="Z237">
        <v>1</v>
      </c>
      <c r="AA237">
        <v>2</v>
      </c>
    </row>
    <row r="238" spans="1:27">
      <c r="A238">
        <v>243</v>
      </c>
      <c r="B238">
        <v>66</v>
      </c>
      <c r="C238">
        <v>1</v>
      </c>
      <c r="D238" t="s">
        <v>289</v>
      </c>
      <c r="E238">
        <v>10</v>
      </c>
      <c r="F238">
        <v>1</v>
      </c>
      <c r="G238">
        <v>1</v>
      </c>
      <c r="H238" t="s">
        <v>717</v>
      </c>
      <c r="I238">
        <v>0</v>
      </c>
      <c r="J238">
        <v>0</v>
      </c>
      <c r="K238">
        <v>0</v>
      </c>
      <c r="L238">
        <v>1</v>
      </c>
      <c r="N238" t="str">
        <f t="shared" si="3"/>
        <v>SELECT 243, 66, 1, 'Kolumbia', 10, 1 UNION ALL</v>
      </c>
      <c r="X238">
        <v>238</v>
      </c>
      <c r="Y238">
        <v>243</v>
      </c>
      <c r="Z238">
        <v>2</v>
      </c>
      <c r="AA238">
        <v>4</v>
      </c>
    </row>
    <row r="239" spans="1:27">
      <c r="A239">
        <v>244</v>
      </c>
      <c r="B239">
        <v>66</v>
      </c>
      <c r="C239">
        <v>2</v>
      </c>
      <c r="D239" t="s">
        <v>718</v>
      </c>
      <c r="E239">
        <v>10</v>
      </c>
      <c r="F239">
        <v>1</v>
      </c>
      <c r="G239">
        <v>1</v>
      </c>
      <c r="H239" t="s">
        <v>717</v>
      </c>
      <c r="I239">
        <v>0</v>
      </c>
      <c r="J239">
        <v>0</v>
      </c>
      <c r="K239">
        <v>0</v>
      </c>
      <c r="L239">
        <v>1</v>
      </c>
      <c r="N239" t="str">
        <f t="shared" si="3"/>
        <v>SELECT 244, 66, 2, 'Colombia', 10, 1 UNION ALL</v>
      </c>
      <c r="X239">
        <v>239</v>
      </c>
      <c r="Y239">
        <v>243</v>
      </c>
      <c r="Z239">
        <v>3</v>
      </c>
      <c r="AA239">
        <v>0</v>
      </c>
    </row>
    <row r="240" spans="1:27">
      <c r="A240">
        <v>245</v>
      </c>
      <c r="B240">
        <v>66</v>
      </c>
      <c r="C240">
        <v>3</v>
      </c>
      <c r="D240" t="s">
        <v>718</v>
      </c>
      <c r="E240">
        <v>10</v>
      </c>
      <c r="F240">
        <v>1</v>
      </c>
      <c r="G240">
        <v>1</v>
      </c>
      <c r="H240" t="s">
        <v>719</v>
      </c>
      <c r="I240">
        <v>0</v>
      </c>
      <c r="J240">
        <v>0</v>
      </c>
      <c r="K240">
        <v>0</v>
      </c>
      <c r="L240">
        <v>0</v>
      </c>
      <c r="N240" t="str">
        <f t="shared" si="3"/>
        <v>SELECT 245, 66, 3, 'Colombia', 10, 0 UNION ALL</v>
      </c>
      <c r="X240">
        <v>240</v>
      </c>
      <c r="Y240">
        <v>243</v>
      </c>
      <c r="Z240">
        <v>4</v>
      </c>
      <c r="AA240">
        <v>1</v>
      </c>
    </row>
    <row r="241" spans="1:27">
      <c r="A241">
        <v>246</v>
      </c>
      <c r="B241">
        <v>66</v>
      </c>
      <c r="C241">
        <v>4</v>
      </c>
      <c r="D241" t="s">
        <v>718</v>
      </c>
      <c r="E241">
        <v>10</v>
      </c>
      <c r="F241">
        <v>1</v>
      </c>
      <c r="G241">
        <v>1</v>
      </c>
      <c r="H241" t="s">
        <v>720</v>
      </c>
      <c r="I241">
        <v>0</v>
      </c>
      <c r="J241">
        <v>0</v>
      </c>
      <c r="K241">
        <v>0</v>
      </c>
      <c r="L241">
        <v>0</v>
      </c>
      <c r="N241" t="str">
        <f t="shared" si="3"/>
        <v>SELECT 246, 66, 4, 'Colombia', 10, 0 UNION ALL</v>
      </c>
      <c r="X241">
        <v>241</v>
      </c>
      <c r="Y241">
        <v>239</v>
      </c>
      <c r="Z241">
        <v>1</v>
      </c>
      <c r="AA241">
        <v>2</v>
      </c>
    </row>
    <row r="242" spans="1:27">
      <c r="A242">
        <v>247</v>
      </c>
      <c r="B242">
        <v>65</v>
      </c>
      <c r="C242">
        <v>1</v>
      </c>
      <c r="D242" t="s">
        <v>287</v>
      </c>
      <c r="E242">
        <v>10</v>
      </c>
      <c r="F242">
        <v>1</v>
      </c>
      <c r="G242">
        <v>1</v>
      </c>
      <c r="H242" t="s">
        <v>721</v>
      </c>
      <c r="I242">
        <v>0</v>
      </c>
      <c r="J242">
        <v>0</v>
      </c>
      <c r="K242">
        <v>0</v>
      </c>
      <c r="L242">
        <v>1</v>
      </c>
      <c r="N242" t="str">
        <f t="shared" si="3"/>
        <v>SELECT 247, 65, 1, 'Chile', 10, 1 UNION ALL</v>
      </c>
      <c r="X242">
        <v>242</v>
      </c>
      <c r="Y242">
        <v>239</v>
      </c>
      <c r="Z242">
        <v>2</v>
      </c>
      <c r="AA242">
        <v>4</v>
      </c>
    </row>
    <row r="243" spans="1:27">
      <c r="A243">
        <v>248</v>
      </c>
      <c r="B243">
        <v>65</v>
      </c>
      <c r="C243">
        <v>2</v>
      </c>
      <c r="D243" t="s">
        <v>287</v>
      </c>
      <c r="E243">
        <v>10</v>
      </c>
      <c r="F243">
        <v>1</v>
      </c>
      <c r="G243">
        <v>1</v>
      </c>
      <c r="H243" t="s">
        <v>722</v>
      </c>
      <c r="I243">
        <v>0</v>
      </c>
      <c r="J243">
        <v>0</v>
      </c>
      <c r="K243">
        <v>0</v>
      </c>
      <c r="L243">
        <v>1</v>
      </c>
      <c r="N243" t="str">
        <f t="shared" si="3"/>
        <v>SELECT 248, 65, 2, 'Chile', 10, 1 UNION ALL</v>
      </c>
      <c r="X243">
        <v>243</v>
      </c>
      <c r="Y243">
        <v>239</v>
      </c>
      <c r="Z243">
        <v>3</v>
      </c>
      <c r="AA243">
        <v>0</v>
      </c>
    </row>
    <row r="244" spans="1:27">
      <c r="A244">
        <v>249</v>
      </c>
      <c r="B244">
        <v>65</v>
      </c>
      <c r="C244">
        <v>3</v>
      </c>
      <c r="D244" t="s">
        <v>287</v>
      </c>
      <c r="E244">
        <v>10</v>
      </c>
      <c r="F244">
        <v>1</v>
      </c>
      <c r="G244">
        <v>1</v>
      </c>
      <c r="H244" t="s">
        <v>723</v>
      </c>
      <c r="I244">
        <v>0</v>
      </c>
      <c r="J244">
        <v>0</v>
      </c>
      <c r="K244">
        <v>0</v>
      </c>
      <c r="L244">
        <v>0</v>
      </c>
      <c r="N244" t="str">
        <f t="shared" si="3"/>
        <v>SELECT 249, 65, 3, 'Chile', 10, 0 UNION ALL</v>
      </c>
      <c r="X244">
        <v>244</v>
      </c>
      <c r="Y244">
        <v>239</v>
      </c>
      <c r="Z244">
        <v>4</v>
      </c>
      <c r="AA244">
        <v>1</v>
      </c>
    </row>
    <row r="245" spans="1:27">
      <c r="A245">
        <v>250</v>
      </c>
      <c r="B245">
        <v>65</v>
      </c>
      <c r="C245">
        <v>4</v>
      </c>
      <c r="D245" t="s">
        <v>724</v>
      </c>
      <c r="E245">
        <v>10</v>
      </c>
      <c r="F245">
        <v>1</v>
      </c>
      <c r="G245">
        <v>1</v>
      </c>
      <c r="H245" t="s">
        <v>723</v>
      </c>
      <c r="I245">
        <v>0</v>
      </c>
      <c r="J245">
        <v>0</v>
      </c>
      <c r="K245">
        <v>0</v>
      </c>
      <c r="L245">
        <v>0</v>
      </c>
      <c r="N245" t="str">
        <f t="shared" si="3"/>
        <v>SELECT 250, 65, 4, 'Cile', 10, 0 UNION ALL</v>
      </c>
      <c r="X245">
        <v>245</v>
      </c>
      <c r="Y245">
        <v>235</v>
      </c>
      <c r="Z245">
        <v>1</v>
      </c>
      <c r="AA245">
        <v>1</v>
      </c>
    </row>
    <row r="246" spans="1:27">
      <c r="A246">
        <v>251</v>
      </c>
      <c r="B246">
        <v>64</v>
      </c>
      <c r="C246">
        <v>1</v>
      </c>
      <c r="D246" t="s">
        <v>285</v>
      </c>
      <c r="E246">
        <v>10</v>
      </c>
      <c r="F246">
        <v>1</v>
      </c>
      <c r="G246">
        <v>1</v>
      </c>
      <c r="H246" t="s">
        <v>725</v>
      </c>
      <c r="I246">
        <v>0</v>
      </c>
      <c r="J246">
        <v>0</v>
      </c>
      <c r="K246">
        <v>0</v>
      </c>
      <c r="L246">
        <v>1</v>
      </c>
      <c r="N246" t="str">
        <f t="shared" si="3"/>
        <v>SELECT 251, 64, 1, 'Boliwia', 10, 1 UNION ALL</v>
      </c>
      <c r="X246">
        <v>246</v>
      </c>
      <c r="Y246">
        <v>235</v>
      </c>
      <c r="Z246">
        <v>2</v>
      </c>
      <c r="AA246">
        <v>4</v>
      </c>
    </row>
    <row r="247" spans="1:27">
      <c r="A247">
        <v>252</v>
      </c>
      <c r="B247">
        <v>64</v>
      </c>
      <c r="C247">
        <v>2</v>
      </c>
      <c r="D247" t="s">
        <v>726</v>
      </c>
      <c r="E247">
        <v>10</v>
      </c>
      <c r="F247">
        <v>1</v>
      </c>
      <c r="G247">
        <v>1</v>
      </c>
      <c r="H247" t="s">
        <v>727</v>
      </c>
      <c r="I247">
        <v>0</v>
      </c>
      <c r="J247">
        <v>0</v>
      </c>
      <c r="K247">
        <v>0</v>
      </c>
      <c r="L247">
        <v>1</v>
      </c>
      <c r="N247" t="str">
        <f t="shared" si="3"/>
        <v>SELECT 252, 64, 2, 'Bolivia', 10, 1 UNION ALL</v>
      </c>
      <c r="X247">
        <v>247</v>
      </c>
      <c r="Y247">
        <v>235</v>
      </c>
      <c r="Z247">
        <v>3</v>
      </c>
      <c r="AA247">
        <v>0</v>
      </c>
    </row>
    <row r="248" spans="1:27">
      <c r="A248">
        <v>253</v>
      </c>
      <c r="B248">
        <v>64</v>
      </c>
      <c r="C248">
        <v>3</v>
      </c>
      <c r="D248" t="s">
        <v>726</v>
      </c>
      <c r="E248">
        <v>10</v>
      </c>
      <c r="F248">
        <v>1</v>
      </c>
      <c r="G248">
        <v>1</v>
      </c>
      <c r="H248" t="s">
        <v>727</v>
      </c>
      <c r="I248">
        <v>0</v>
      </c>
      <c r="J248">
        <v>0</v>
      </c>
      <c r="K248">
        <v>0</v>
      </c>
      <c r="L248">
        <v>0</v>
      </c>
      <c r="N248" t="str">
        <f t="shared" si="3"/>
        <v>SELECT 253, 64, 3, 'Bolivia', 10, 0 UNION ALL</v>
      </c>
      <c r="X248">
        <v>248</v>
      </c>
      <c r="Y248">
        <v>235</v>
      </c>
      <c r="Z248">
        <v>4</v>
      </c>
      <c r="AA248">
        <v>1</v>
      </c>
    </row>
    <row r="249" spans="1:27">
      <c r="A249">
        <v>254</v>
      </c>
      <c r="B249">
        <v>64</v>
      </c>
      <c r="C249">
        <v>4</v>
      </c>
      <c r="D249" t="s">
        <v>726</v>
      </c>
      <c r="E249">
        <v>10</v>
      </c>
      <c r="F249">
        <v>1</v>
      </c>
      <c r="G249">
        <v>1</v>
      </c>
      <c r="H249" t="s">
        <v>728</v>
      </c>
      <c r="I249">
        <v>0</v>
      </c>
      <c r="J249">
        <v>0</v>
      </c>
      <c r="K249">
        <v>0</v>
      </c>
      <c r="L249">
        <v>0</v>
      </c>
      <c r="N249" t="str">
        <f t="shared" si="3"/>
        <v>SELECT 254, 64, 4, 'Bolivia', 10, 0 UNION ALL</v>
      </c>
      <c r="X249">
        <v>249</v>
      </c>
      <c r="Y249">
        <v>228</v>
      </c>
      <c r="Z249">
        <v>1</v>
      </c>
      <c r="AA249">
        <v>1</v>
      </c>
    </row>
    <row r="250" spans="1:27">
      <c r="A250">
        <v>255</v>
      </c>
      <c r="B250">
        <v>63</v>
      </c>
      <c r="C250">
        <v>1</v>
      </c>
      <c r="D250" t="s">
        <v>283</v>
      </c>
      <c r="E250">
        <v>10</v>
      </c>
      <c r="F250">
        <v>1</v>
      </c>
      <c r="G250">
        <v>1</v>
      </c>
      <c r="H250" t="s">
        <v>729</v>
      </c>
      <c r="I250">
        <v>0</v>
      </c>
      <c r="J250">
        <v>0</v>
      </c>
      <c r="K250">
        <v>0</v>
      </c>
      <c r="L250">
        <v>1</v>
      </c>
      <c r="N250" t="str">
        <f t="shared" si="3"/>
        <v>SELECT 255, 63, 1, 'Peru', 10, 1 UNION ALL</v>
      </c>
      <c r="X250">
        <v>250</v>
      </c>
      <c r="Y250">
        <v>228</v>
      </c>
      <c r="Z250">
        <v>2</v>
      </c>
      <c r="AA250">
        <v>4</v>
      </c>
    </row>
    <row r="251" spans="1:27">
      <c r="A251">
        <v>256</v>
      </c>
      <c r="B251">
        <v>63</v>
      </c>
      <c r="C251">
        <v>2</v>
      </c>
      <c r="D251" t="s">
        <v>283</v>
      </c>
      <c r="E251">
        <v>10</v>
      </c>
      <c r="F251">
        <v>1</v>
      </c>
      <c r="G251">
        <v>1</v>
      </c>
      <c r="H251" t="s">
        <v>730</v>
      </c>
      <c r="I251">
        <v>0</v>
      </c>
      <c r="J251">
        <v>0</v>
      </c>
      <c r="K251">
        <v>0</v>
      </c>
      <c r="L251">
        <v>1</v>
      </c>
      <c r="N251" t="str">
        <f t="shared" si="3"/>
        <v>SELECT 256, 63, 2, 'Peru', 10, 1 UNION ALL</v>
      </c>
      <c r="X251">
        <v>251</v>
      </c>
      <c r="Y251">
        <v>228</v>
      </c>
      <c r="Z251">
        <v>3</v>
      </c>
      <c r="AA251">
        <v>0</v>
      </c>
    </row>
    <row r="252" spans="1:27">
      <c r="A252">
        <v>257</v>
      </c>
      <c r="B252">
        <v>63</v>
      </c>
      <c r="C252">
        <v>3</v>
      </c>
      <c r="D252" t="s">
        <v>731</v>
      </c>
      <c r="E252">
        <v>10</v>
      </c>
      <c r="F252">
        <v>1</v>
      </c>
      <c r="G252">
        <v>1</v>
      </c>
      <c r="H252" t="s">
        <v>732</v>
      </c>
      <c r="I252">
        <v>0</v>
      </c>
      <c r="J252">
        <v>0</v>
      </c>
      <c r="K252">
        <v>0</v>
      </c>
      <c r="L252">
        <v>0</v>
      </c>
      <c r="N252" t="str">
        <f t="shared" si="3"/>
        <v>SELECT 257, 63, 3, 'Perú', 10, 0 UNION ALL</v>
      </c>
      <c r="X252">
        <v>252</v>
      </c>
      <c r="Y252">
        <v>228</v>
      </c>
      <c r="Z252">
        <v>4</v>
      </c>
      <c r="AA252">
        <v>1</v>
      </c>
    </row>
    <row r="253" spans="1:27">
      <c r="A253">
        <v>258</v>
      </c>
      <c r="B253">
        <v>63</v>
      </c>
      <c r="C253">
        <v>4</v>
      </c>
      <c r="D253" t="s">
        <v>733</v>
      </c>
      <c r="E253">
        <v>10</v>
      </c>
      <c r="F253">
        <v>1</v>
      </c>
      <c r="G253">
        <v>1</v>
      </c>
      <c r="H253" t="s">
        <v>734</v>
      </c>
      <c r="I253">
        <v>0</v>
      </c>
      <c r="J253">
        <v>0</v>
      </c>
      <c r="K253">
        <v>0</v>
      </c>
      <c r="L253">
        <v>0</v>
      </c>
      <c r="N253" t="str">
        <f t="shared" si="3"/>
        <v>SELECT 258, 63, 4, 'Perù', 10, 0 UNION ALL</v>
      </c>
      <c r="X253">
        <v>253</v>
      </c>
      <c r="Y253">
        <v>227</v>
      </c>
      <c r="Z253">
        <v>1</v>
      </c>
      <c r="AA253">
        <v>1</v>
      </c>
    </row>
    <row r="254" spans="1:27">
      <c r="A254">
        <v>259</v>
      </c>
      <c r="B254">
        <v>85</v>
      </c>
      <c r="C254">
        <v>1</v>
      </c>
      <c r="D254" t="s">
        <v>299</v>
      </c>
      <c r="E254">
        <v>10</v>
      </c>
      <c r="F254">
        <v>1</v>
      </c>
      <c r="G254">
        <v>1</v>
      </c>
      <c r="H254" t="s">
        <v>735</v>
      </c>
      <c r="I254">
        <v>0</v>
      </c>
      <c r="J254">
        <v>0</v>
      </c>
      <c r="K254">
        <v>0</v>
      </c>
      <c r="L254">
        <v>1</v>
      </c>
      <c r="N254" t="str">
        <f t="shared" si="3"/>
        <v>SELECT 259, 85, 1, 'Chiny', 10, 1 UNION ALL</v>
      </c>
      <c r="X254">
        <v>254</v>
      </c>
      <c r="Y254">
        <v>227</v>
      </c>
      <c r="Z254">
        <v>2</v>
      </c>
      <c r="AA254">
        <v>4</v>
      </c>
    </row>
    <row r="255" spans="1:27">
      <c r="A255">
        <v>260</v>
      </c>
      <c r="B255">
        <v>85</v>
      </c>
      <c r="C255">
        <v>2</v>
      </c>
      <c r="D255" t="s">
        <v>736</v>
      </c>
      <c r="E255">
        <v>10</v>
      </c>
      <c r="F255">
        <v>1</v>
      </c>
      <c r="G255">
        <v>1</v>
      </c>
      <c r="H255" t="s">
        <v>735</v>
      </c>
      <c r="I255">
        <v>0</v>
      </c>
      <c r="J255">
        <v>0</v>
      </c>
      <c r="K255">
        <v>0</v>
      </c>
      <c r="L255">
        <v>1</v>
      </c>
      <c r="N255" t="str">
        <f t="shared" si="3"/>
        <v>SELECT 260, 85, 2, 'China', 10, 1 UNION ALL</v>
      </c>
      <c r="X255">
        <v>255</v>
      </c>
      <c r="Y255">
        <v>227</v>
      </c>
      <c r="Z255">
        <v>3</v>
      </c>
      <c r="AA255">
        <v>0</v>
      </c>
    </row>
    <row r="256" spans="1:27">
      <c r="A256">
        <v>261</v>
      </c>
      <c r="B256">
        <v>86</v>
      </c>
      <c r="C256">
        <v>1</v>
      </c>
      <c r="D256" t="s">
        <v>301</v>
      </c>
      <c r="E256">
        <v>10</v>
      </c>
      <c r="F256">
        <v>1</v>
      </c>
      <c r="G256">
        <v>1</v>
      </c>
      <c r="H256" t="s">
        <v>737</v>
      </c>
      <c r="I256">
        <v>0</v>
      </c>
      <c r="J256">
        <v>0</v>
      </c>
      <c r="K256">
        <v>0</v>
      </c>
      <c r="L256">
        <v>1</v>
      </c>
      <c r="N256" t="str">
        <f t="shared" si="3"/>
        <v>SELECT 261, 86, 1, 'Japonia', 10, 1 UNION ALL</v>
      </c>
      <c r="X256">
        <v>256</v>
      </c>
      <c r="Y256">
        <v>227</v>
      </c>
      <c r="Z256">
        <v>4</v>
      </c>
      <c r="AA256">
        <v>1</v>
      </c>
    </row>
    <row r="257" spans="1:27">
      <c r="A257">
        <v>262</v>
      </c>
      <c r="B257">
        <v>86</v>
      </c>
      <c r="C257">
        <v>2</v>
      </c>
      <c r="D257" t="s">
        <v>738</v>
      </c>
      <c r="E257">
        <v>10</v>
      </c>
      <c r="F257">
        <v>1</v>
      </c>
      <c r="G257">
        <v>1</v>
      </c>
      <c r="H257" t="s">
        <v>737</v>
      </c>
      <c r="I257">
        <v>0</v>
      </c>
      <c r="J257">
        <v>0</v>
      </c>
      <c r="K257">
        <v>0</v>
      </c>
      <c r="L257">
        <v>1</v>
      </c>
      <c r="N257" t="str">
        <f t="shared" si="3"/>
        <v>SELECT 262, 86, 2, 'Japan', 10, 1 UNION ALL</v>
      </c>
      <c r="X257">
        <v>257</v>
      </c>
      <c r="Y257">
        <v>259</v>
      </c>
      <c r="Z257">
        <v>1</v>
      </c>
      <c r="AA257">
        <v>2</v>
      </c>
    </row>
    <row r="258" spans="1:27">
      <c r="A258">
        <v>263</v>
      </c>
      <c r="B258">
        <v>89</v>
      </c>
      <c r="C258">
        <v>1</v>
      </c>
      <c r="D258" t="s">
        <v>303</v>
      </c>
      <c r="E258">
        <v>10</v>
      </c>
      <c r="F258">
        <v>1</v>
      </c>
      <c r="G258">
        <v>1</v>
      </c>
      <c r="H258" t="s">
        <v>739</v>
      </c>
      <c r="I258">
        <v>0</v>
      </c>
      <c r="J258">
        <v>0</v>
      </c>
      <c r="K258">
        <v>0</v>
      </c>
      <c r="L258">
        <v>1</v>
      </c>
      <c r="N258" t="str">
        <f t="shared" si="3"/>
        <v>SELECT 263, 89, 1, 'Indie', 10, 1 UNION ALL</v>
      </c>
      <c r="X258">
        <v>258</v>
      </c>
      <c r="Y258">
        <v>259</v>
      </c>
      <c r="Z258">
        <v>2</v>
      </c>
      <c r="AA258">
        <v>5</v>
      </c>
    </row>
    <row r="259" spans="1:27">
      <c r="A259">
        <v>264</v>
      </c>
      <c r="B259">
        <v>89</v>
      </c>
      <c r="C259">
        <v>2</v>
      </c>
      <c r="D259" t="s">
        <v>740</v>
      </c>
      <c r="E259">
        <v>10</v>
      </c>
      <c r="F259">
        <v>1</v>
      </c>
      <c r="G259">
        <v>1</v>
      </c>
      <c r="H259" t="s">
        <v>741</v>
      </c>
      <c r="I259">
        <v>0</v>
      </c>
      <c r="J259">
        <v>0</v>
      </c>
      <c r="K259">
        <v>0</v>
      </c>
      <c r="L259">
        <v>1</v>
      </c>
      <c r="N259" t="str">
        <f t="shared" ref="N259:N322" si="4">"SELECT "&amp;A259&amp;", "&amp;B259&amp;", "&amp;C259&amp;", '"&amp;D259&amp;"', "&amp;E259&amp;", "&amp;L259&amp;" UNION ALL"</f>
        <v>SELECT 264, 89, 2, 'India', 10, 1 UNION ALL</v>
      </c>
      <c r="X259">
        <v>259</v>
      </c>
      <c r="Y259">
        <v>259</v>
      </c>
      <c r="Z259">
        <v>3</v>
      </c>
      <c r="AA259">
        <v>0</v>
      </c>
    </row>
    <row r="260" spans="1:27">
      <c r="A260">
        <v>266</v>
      </c>
      <c r="B260">
        <v>182</v>
      </c>
      <c r="C260">
        <v>1</v>
      </c>
      <c r="D260" t="s">
        <v>473</v>
      </c>
      <c r="E260">
        <v>10</v>
      </c>
      <c r="F260">
        <v>1</v>
      </c>
      <c r="G260">
        <v>1</v>
      </c>
      <c r="H260" t="s">
        <v>742</v>
      </c>
      <c r="I260">
        <v>0</v>
      </c>
      <c r="J260">
        <v>0</v>
      </c>
      <c r="K260">
        <v>0</v>
      </c>
      <c r="L260">
        <v>1</v>
      </c>
      <c r="N260" t="str">
        <f t="shared" si="4"/>
        <v>SELECT 266, 182, 1, 'Kanada', 10, 1 UNION ALL</v>
      </c>
      <c r="X260">
        <v>260</v>
      </c>
      <c r="Y260">
        <v>259</v>
      </c>
      <c r="Z260">
        <v>4</v>
      </c>
      <c r="AA260">
        <v>1</v>
      </c>
    </row>
    <row r="261" spans="1:27">
      <c r="A261">
        <v>267</v>
      </c>
      <c r="B261">
        <v>182</v>
      </c>
      <c r="C261">
        <v>2</v>
      </c>
      <c r="D261" t="s">
        <v>743</v>
      </c>
      <c r="E261">
        <v>10</v>
      </c>
      <c r="F261">
        <v>1</v>
      </c>
      <c r="G261">
        <v>1</v>
      </c>
      <c r="H261" t="s">
        <v>742</v>
      </c>
      <c r="I261">
        <v>0</v>
      </c>
      <c r="J261">
        <v>0</v>
      </c>
      <c r="K261">
        <v>0</v>
      </c>
      <c r="L261">
        <v>1</v>
      </c>
      <c r="N261" t="str">
        <f t="shared" si="4"/>
        <v>SELECT 267, 182, 2, 'Canada', 10, 1 UNION ALL</v>
      </c>
      <c r="X261">
        <v>261</v>
      </c>
      <c r="Y261">
        <v>261</v>
      </c>
      <c r="Z261">
        <v>1</v>
      </c>
      <c r="AA261">
        <v>2</v>
      </c>
    </row>
    <row r="262" spans="1:27">
      <c r="A262">
        <v>277</v>
      </c>
      <c r="B262">
        <v>198</v>
      </c>
      <c r="C262">
        <v>1</v>
      </c>
      <c r="D262" t="s">
        <v>503</v>
      </c>
      <c r="E262">
        <v>10</v>
      </c>
      <c r="F262">
        <v>1</v>
      </c>
      <c r="G262">
        <v>1</v>
      </c>
      <c r="H262" t="s">
        <v>744</v>
      </c>
      <c r="I262">
        <v>0</v>
      </c>
      <c r="J262">
        <v>0</v>
      </c>
      <c r="K262">
        <v>0</v>
      </c>
      <c r="L262">
        <v>1</v>
      </c>
      <c r="N262" t="str">
        <f t="shared" si="4"/>
        <v>SELECT 277, 198, 1, 'Bahamy', 10, 1 UNION ALL</v>
      </c>
      <c r="X262">
        <v>262</v>
      </c>
      <c r="Y262">
        <v>261</v>
      </c>
      <c r="Z262">
        <v>2</v>
      </c>
      <c r="AA262">
        <v>4</v>
      </c>
    </row>
    <row r="263" spans="1:27">
      <c r="A263">
        <v>287</v>
      </c>
      <c r="B263">
        <v>197</v>
      </c>
      <c r="C263">
        <v>1</v>
      </c>
      <c r="D263" t="s">
        <v>501</v>
      </c>
      <c r="E263">
        <v>10</v>
      </c>
      <c r="F263">
        <v>1</v>
      </c>
      <c r="G263">
        <v>1</v>
      </c>
      <c r="H263" t="s">
        <v>745</v>
      </c>
      <c r="I263">
        <v>0</v>
      </c>
      <c r="J263">
        <v>0</v>
      </c>
      <c r="K263">
        <v>0</v>
      </c>
      <c r="L263">
        <v>1</v>
      </c>
      <c r="N263" t="str">
        <f t="shared" si="4"/>
        <v>SELECT 287, 197, 1, 'Belize', 10, 1 UNION ALL</v>
      </c>
      <c r="X263">
        <v>263</v>
      </c>
      <c r="Y263">
        <v>261</v>
      </c>
      <c r="Z263">
        <v>3</v>
      </c>
      <c r="AA263">
        <v>0</v>
      </c>
    </row>
    <row r="264" spans="1:27">
      <c r="A264">
        <v>288</v>
      </c>
      <c r="B264">
        <v>93</v>
      </c>
      <c r="C264">
        <v>1</v>
      </c>
      <c r="D264" t="s">
        <v>305</v>
      </c>
      <c r="E264">
        <v>10</v>
      </c>
      <c r="F264">
        <v>1</v>
      </c>
      <c r="G264">
        <v>1</v>
      </c>
      <c r="H264" t="s">
        <v>746</v>
      </c>
      <c r="I264">
        <v>0</v>
      </c>
      <c r="J264">
        <v>0</v>
      </c>
      <c r="K264">
        <v>0</v>
      </c>
      <c r="L264">
        <v>1</v>
      </c>
      <c r="N264" t="str">
        <f t="shared" si="4"/>
        <v>SELECT 288, 93, 1, 'Tajlandia', 10, 1 UNION ALL</v>
      </c>
      <c r="X264">
        <v>264</v>
      </c>
      <c r="Y264">
        <v>261</v>
      </c>
      <c r="Z264">
        <v>4</v>
      </c>
      <c r="AA264">
        <v>1</v>
      </c>
    </row>
    <row r="265" spans="1:27">
      <c r="A265">
        <v>289</v>
      </c>
      <c r="B265">
        <v>93</v>
      </c>
      <c r="C265">
        <v>2</v>
      </c>
      <c r="D265" t="s">
        <v>747</v>
      </c>
      <c r="E265">
        <v>10</v>
      </c>
      <c r="F265">
        <v>1</v>
      </c>
      <c r="G265">
        <v>1</v>
      </c>
      <c r="H265" t="s">
        <v>748</v>
      </c>
      <c r="I265">
        <v>0</v>
      </c>
      <c r="J265">
        <v>0</v>
      </c>
      <c r="K265">
        <v>0</v>
      </c>
      <c r="L265">
        <v>1</v>
      </c>
      <c r="N265" t="str">
        <f t="shared" si="4"/>
        <v>SELECT 289, 93, 2, 'Thailand', 10, 1 UNION ALL</v>
      </c>
      <c r="X265">
        <v>265</v>
      </c>
      <c r="Y265">
        <v>263</v>
      </c>
      <c r="Z265">
        <v>1</v>
      </c>
      <c r="AA265">
        <v>3</v>
      </c>
    </row>
    <row r="266" spans="1:27">
      <c r="A266">
        <v>290</v>
      </c>
      <c r="B266">
        <v>94</v>
      </c>
      <c r="C266">
        <v>1</v>
      </c>
      <c r="D266" t="s">
        <v>307</v>
      </c>
      <c r="E266">
        <v>10</v>
      </c>
      <c r="F266">
        <v>1</v>
      </c>
      <c r="G266">
        <v>1</v>
      </c>
      <c r="H266" t="s">
        <v>749</v>
      </c>
      <c r="I266">
        <v>0</v>
      </c>
      <c r="J266">
        <v>0</v>
      </c>
      <c r="K266">
        <v>0</v>
      </c>
      <c r="L266">
        <v>1</v>
      </c>
      <c r="N266" t="str">
        <f t="shared" si="4"/>
        <v>SELECT 290, 94, 1, 'Izrael', 10, 1 UNION ALL</v>
      </c>
      <c r="X266">
        <v>266</v>
      </c>
      <c r="Y266">
        <v>263</v>
      </c>
      <c r="Z266">
        <v>2</v>
      </c>
      <c r="AA266">
        <v>5</v>
      </c>
    </row>
    <row r="267" spans="1:27">
      <c r="A267">
        <v>291</v>
      </c>
      <c r="B267">
        <v>94</v>
      </c>
      <c r="C267">
        <v>2</v>
      </c>
      <c r="D267" t="s">
        <v>750</v>
      </c>
      <c r="E267">
        <v>10</v>
      </c>
      <c r="F267">
        <v>1</v>
      </c>
      <c r="G267">
        <v>1</v>
      </c>
      <c r="H267" t="s">
        <v>751</v>
      </c>
      <c r="I267">
        <v>0</v>
      </c>
      <c r="J267">
        <v>0</v>
      </c>
      <c r="K267">
        <v>0</v>
      </c>
      <c r="L267">
        <v>1</v>
      </c>
      <c r="N267" t="str">
        <f t="shared" si="4"/>
        <v>SELECT 291, 94, 2, 'Israel', 10, 1 UNION ALL</v>
      </c>
      <c r="X267">
        <v>267</v>
      </c>
      <c r="Y267">
        <v>263</v>
      </c>
      <c r="Z267">
        <v>3</v>
      </c>
      <c r="AA267">
        <v>0</v>
      </c>
    </row>
    <row r="268" spans="1:27">
      <c r="A268">
        <v>292</v>
      </c>
      <c r="B268">
        <v>95</v>
      </c>
      <c r="C268">
        <v>1</v>
      </c>
      <c r="D268" t="s">
        <v>309</v>
      </c>
      <c r="E268">
        <v>10</v>
      </c>
      <c r="F268">
        <v>1</v>
      </c>
      <c r="G268">
        <v>1</v>
      </c>
      <c r="H268" t="s">
        <v>752</v>
      </c>
      <c r="I268">
        <v>0</v>
      </c>
      <c r="J268">
        <v>0</v>
      </c>
      <c r="K268">
        <v>0</v>
      </c>
      <c r="L268">
        <v>1</v>
      </c>
      <c r="N268" t="str">
        <f t="shared" si="4"/>
        <v>SELECT 292, 95, 1, 'Liban', 10, 1 UNION ALL</v>
      </c>
      <c r="X268">
        <v>268</v>
      </c>
      <c r="Y268">
        <v>263</v>
      </c>
      <c r="Z268">
        <v>4</v>
      </c>
      <c r="AA268">
        <v>1</v>
      </c>
    </row>
    <row r="269" spans="1:27">
      <c r="A269">
        <v>293</v>
      </c>
      <c r="B269">
        <v>95</v>
      </c>
      <c r="C269">
        <v>2</v>
      </c>
      <c r="D269" t="s">
        <v>753</v>
      </c>
      <c r="E269">
        <v>10</v>
      </c>
      <c r="F269">
        <v>1</v>
      </c>
      <c r="G269">
        <v>1</v>
      </c>
      <c r="H269" t="s">
        <v>754</v>
      </c>
      <c r="I269">
        <v>0</v>
      </c>
      <c r="J269">
        <v>0</v>
      </c>
      <c r="K269">
        <v>0</v>
      </c>
      <c r="L269">
        <v>1</v>
      </c>
      <c r="N269" t="str">
        <f t="shared" si="4"/>
        <v>SELECT 293, 95, 2, 'Lebanon', 10, 1 UNION ALL</v>
      </c>
      <c r="X269">
        <v>278</v>
      </c>
      <c r="Y269">
        <v>6</v>
      </c>
      <c r="Z269">
        <v>5</v>
      </c>
      <c r="AA269">
        <v>9</v>
      </c>
    </row>
    <row r="270" spans="1:27">
      <c r="A270">
        <v>294</v>
      </c>
      <c r="B270">
        <v>96</v>
      </c>
      <c r="C270">
        <v>1</v>
      </c>
      <c r="D270" t="s">
        <v>311</v>
      </c>
      <c r="E270">
        <v>10</v>
      </c>
      <c r="F270">
        <v>1</v>
      </c>
      <c r="G270">
        <v>1</v>
      </c>
      <c r="H270" t="s">
        <v>755</v>
      </c>
      <c r="I270">
        <v>0</v>
      </c>
      <c r="J270">
        <v>0</v>
      </c>
      <c r="K270">
        <v>0</v>
      </c>
      <c r="L270">
        <v>1</v>
      </c>
      <c r="N270" t="str">
        <f t="shared" si="4"/>
        <v>SELECT 294, 96, 1, 'Jordania', 10, 1 UNION ALL</v>
      </c>
      <c r="X270">
        <v>279</v>
      </c>
      <c r="Y270">
        <v>6</v>
      </c>
      <c r="Z270">
        <v>6</v>
      </c>
      <c r="AA270">
        <v>12</v>
      </c>
    </row>
    <row r="271" spans="1:27">
      <c r="A271">
        <v>295</v>
      </c>
      <c r="B271">
        <v>96</v>
      </c>
      <c r="C271">
        <v>2</v>
      </c>
      <c r="D271" t="s">
        <v>756</v>
      </c>
      <c r="E271">
        <v>10</v>
      </c>
      <c r="F271">
        <v>1</v>
      </c>
      <c r="G271">
        <v>1</v>
      </c>
      <c r="H271" t="s">
        <v>757</v>
      </c>
      <c r="I271">
        <v>0</v>
      </c>
      <c r="J271">
        <v>0</v>
      </c>
      <c r="K271">
        <v>0</v>
      </c>
      <c r="L271">
        <v>1</v>
      </c>
      <c r="N271" t="str">
        <f t="shared" si="4"/>
        <v>SELECT 295, 96, 2, 'Jordan', 10, 1 UNION ALL</v>
      </c>
      <c r="X271">
        <v>280</v>
      </c>
      <c r="Y271">
        <v>6</v>
      </c>
      <c r="Z271">
        <v>7</v>
      </c>
      <c r="AA271">
        <v>0</v>
      </c>
    </row>
    <row r="272" spans="1:27">
      <c r="A272">
        <v>296</v>
      </c>
      <c r="B272">
        <v>97</v>
      </c>
      <c r="C272">
        <v>1</v>
      </c>
      <c r="D272" t="s">
        <v>313</v>
      </c>
      <c r="E272">
        <v>10</v>
      </c>
      <c r="F272">
        <v>1</v>
      </c>
      <c r="G272">
        <v>1</v>
      </c>
      <c r="H272" t="s">
        <v>758</v>
      </c>
      <c r="I272">
        <v>0</v>
      </c>
      <c r="J272">
        <v>0</v>
      </c>
      <c r="K272">
        <v>0</v>
      </c>
      <c r="L272">
        <v>1</v>
      </c>
      <c r="N272" t="str">
        <f t="shared" si="4"/>
        <v>SELECT 296, 97, 1, 'Syria', 10, 1 UNION ALL</v>
      </c>
      <c r="X272">
        <v>281</v>
      </c>
      <c r="Y272">
        <v>6</v>
      </c>
      <c r="Z272">
        <v>8</v>
      </c>
      <c r="AA272">
        <v>0</v>
      </c>
    </row>
    <row r="273" spans="1:27">
      <c r="A273">
        <v>297</v>
      </c>
      <c r="B273">
        <v>97</v>
      </c>
      <c r="C273">
        <v>2</v>
      </c>
      <c r="D273" t="s">
        <v>313</v>
      </c>
      <c r="E273">
        <v>10</v>
      </c>
      <c r="F273">
        <v>1</v>
      </c>
      <c r="G273">
        <v>1</v>
      </c>
      <c r="H273" t="s">
        <v>759</v>
      </c>
      <c r="I273">
        <v>0</v>
      </c>
      <c r="J273">
        <v>0</v>
      </c>
      <c r="K273">
        <v>0</v>
      </c>
      <c r="L273">
        <v>1</v>
      </c>
      <c r="N273" t="str">
        <f t="shared" si="4"/>
        <v>SELECT 297, 97, 2, 'Syria', 10, 1 UNION ALL</v>
      </c>
      <c r="X273">
        <v>282</v>
      </c>
      <c r="Y273">
        <v>12</v>
      </c>
      <c r="Z273">
        <v>5</v>
      </c>
      <c r="AA273">
        <v>9</v>
      </c>
    </row>
    <row r="274" spans="1:27">
      <c r="A274">
        <v>298</v>
      </c>
      <c r="B274">
        <v>98</v>
      </c>
      <c r="C274">
        <v>1</v>
      </c>
      <c r="D274" t="s">
        <v>315</v>
      </c>
      <c r="E274">
        <v>10</v>
      </c>
      <c r="F274">
        <v>1</v>
      </c>
      <c r="G274">
        <v>1</v>
      </c>
      <c r="H274" t="s">
        <v>760</v>
      </c>
      <c r="I274">
        <v>0</v>
      </c>
      <c r="J274">
        <v>0</v>
      </c>
      <c r="K274">
        <v>0</v>
      </c>
      <c r="L274">
        <v>1</v>
      </c>
      <c r="N274" t="str">
        <f t="shared" si="4"/>
        <v>SELECT 298, 98, 1, 'Arabia Saudyjska', 10, 1 UNION ALL</v>
      </c>
      <c r="X274">
        <v>283</v>
      </c>
      <c r="Y274">
        <v>12</v>
      </c>
      <c r="Z274">
        <v>6</v>
      </c>
      <c r="AA274">
        <v>10</v>
      </c>
    </row>
    <row r="275" spans="1:27">
      <c r="A275">
        <v>299</v>
      </c>
      <c r="B275">
        <v>98</v>
      </c>
      <c r="C275">
        <v>2</v>
      </c>
      <c r="D275" t="s">
        <v>761</v>
      </c>
      <c r="E275">
        <v>10</v>
      </c>
      <c r="F275">
        <v>1</v>
      </c>
      <c r="G275">
        <v>1</v>
      </c>
      <c r="H275" t="s">
        <v>762</v>
      </c>
      <c r="I275">
        <v>0</v>
      </c>
      <c r="J275">
        <v>0</v>
      </c>
      <c r="K275">
        <v>0</v>
      </c>
      <c r="L275">
        <v>1</v>
      </c>
      <c r="N275" t="str">
        <f t="shared" si="4"/>
        <v>SELECT 299, 98, 2, 'Saudi Arabia', 10, 1 UNION ALL</v>
      </c>
      <c r="X275">
        <v>284</v>
      </c>
      <c r="Y275">
        <v>12</v>
      </c>
      <c r="Z275">
        <v>7</v>
      </c>
      <c r="AA275">
        <v>0</v>
      </c>
    </row>
    <row r="276" spans="1:27">
      <c r="A276">
        <v>300</v>
      </c>
      <c r="B276">
        <v>99</v>
      </c>
      <c r="C276">
        <v>1</v>
      </c>
      <c r="D276" t="s">
        <v>317</v>
      </c>
      <c r="E276">
        <v>10</v>
      </c>
      <c r="F276">
        <v>1</v>
      </c>
      <c r="G276">
        <v>1</v>
      </c>
      <c r="H276" t="s">
        <v>763</v>
      </c>
      <c r="I276">
        <v>0</v>
      </c>
      <c r="J276">
        <v>0</v>
      </c>
      <c r="K276">
        <v>0</v>
      </c>
      <c r="L276">
        <v>1</v>
      </c>
      <c r="N276" t="str">
        <f t="shared" si="4"/>
        <v>SELECT 300, 99, 1, 'Jemen', 10, 1 UNION ALL</v>
      </c>
      <c r="X276">
        <v>285</v>
      </c>
      <c r="Y276">
        <v>12</v>
      </c>
      <c r="Z276">
        <v>8</v>
      </c>
      <c r="AA276">
        <v>1</v>
      </c>
    </row>
    <row r="277" spans="1:27">
      <c r="A277">
        <v>301</v>
      </c>
      <c r="B277">
        <v>99</v>
      </c>
      <c r="C277">
        <v>2</v>
      </c>
      <c r="D277" t="s">
        <v>764</v>
      </c>
      <c r="E277">
        <v>10</v>
      </c>
      <c r="F277">
        <v>1</v>
      </c>
      <c r="G277">
        <v>1</v>
      </c>
      <c r="H277" t="s">
        <v>765</v>
      </c>
      <c r="I277">
        <v>0</v>
      </c>
      <c r="J277">
        <v>0</v>
      </c>
      <c r="K277">
        <v>0</v>
      </c>
      <c r="L277">
        <v>1</v>
      </c>
      <c r="N277" t="str">
        <f t="shared" si="4"/>
        <v>SELECT 301, 99, 2, 'Yemen', 10, 1 UNION ALL</v>
      </c>
      <c r="X277">
        <v>286</v>
      </c>
      <c r="Y277">
        <v>277</v>
      </c>
      <c r="Z277">
        <v>1</v>
      </c>
      <c r="AA277">
        <v>3</v>
      </c>
    </row>
    <row r="278" spans="1:27">
      <c r="A278">
        <v>302</v>
      </c>
      <c r="B278">
        <v>100</v>
      </c>
      <c r="C278">
        <v>1</v>
      </c>
      <c r="D278" t="s">
        <v>319</v>
      </c>
      <c r="E278">
        <v>10</v>
      </c>
      <c r="F278">
        <v>1</v>
      </c>
      <c r="G278">
        <v>1</v>
      </c>
      <c r="H278" t="s">
        <v>766</v>
      </c>
      <c r="I278">
        <v>0</v>
      </c>
      <c r="J278">
        <v>0</v>
      </c>
      <c r="K278">
        <v>0</v>
      </c>
      <c r="L278">
        <v>1</v>
      </c>
      <c r="N278" t="str">
        <f t="shared" si="4"/>
        <v>SELECT 302, 100, 1, 'Oman', 10, 1 UNION ALL</v>
      </c>
      <c r="X278">
        <v>287</v>
      </c>
      <c r="Y278">
        <v>277</v>
      </c>
      <c r="Z278">
        <v>2</v>
      </c>
      <c r="AA278">
        <v>5</v>
      </c>
    </row>
    <row r="279" spans="1:27">
      <c r="A279">
        <v>303</v>
      </c>
      <c r="B279">
        <v>100</v>
      </c>
      <c r="C279">
        <v>2</v>
      </c>
      <c r="D279" t="s">
        <v>319</v>
      </c>
      <c r="E279">
        <v>10</v>
      </c>
      <c r="F279">
        <v>1</v>
      </c>
      <c r="G279">
        <v>1</v>
      </c>
      <c r="H279" t="s">
        <v>767</v>
      </c>
      <c r="I279">
        <v>0</v>
      </c>
      <c r="J279">
        <v>0</v>
      </c>
      <c r="K279">
        <v>0</v>
      </c>
      <c r="L279">
        <v>1</v>
      </c>
      <c r="N279" t="str">
        <f t="shared" si="4"/>
        <v>SELECT 303, 100, 2, 'Oman', 10, 1 UNION ALL</v>
      </c>
      <c r="X279">
        <v>288</v>
      </c>
      <c r="Y279">
        <v>277</v>
      </c>
      <c r="Z279">
        <v>3</v>
      </c>
      <c r="AA279">
        <v>0</v>
      </c>
    </row>
    <row r="280" spans="1:27">
      <c r="A280">
        <v>304</v>
      </c>
      <c r="B280">
        <v>101</v>
      </c>
      <c r="C280">
        <v>1</v>
      </c>
      <c r="D280" t="s">
        <v>321</v>
      </c>
      <c r="E280">
        <v>10</v>
      </c>
      <c r="F280">
        <v>1</v>
      </c>
      <c r="G280">
        <v>1</v>
      </c>
      <c r="H280" t="s">
        <v>768</v>
      </c>
      <c r="I280">
        <v>0</v>
      </c>
      <c r="J280">
        <v>0</v>
      </c>
      <c r="K280">
        <v>0</v>
      </c>
      <c r="L280">
        <v>1</v>
      </c>
      <c r="N280" t="str">
        <f t="shared" si="4"/>
        <v>SELECT 304, 101, 1, 'Zjednoczone Emiraty Arabskie', 10, 1 UNION ALL</v>
      </c>
      <c r="X280">
        <v>289</v>
      </c>
      <c r="Y280">
        <v>277</v>
      </c>
      <c r="Z280">
        <v>4</v>
      </c>
      <c r="AA280">
        <v>1</v>
      </c>
    </row>
    <row r="281" spans="1:27">
      <c r="A281">
        <v>305</v>
      </c>
      <c r="B281">
        <v>101</v>
      </c>
      <c r="C281">
        <v>2</v>
      </c>
      <c r="D281" t="s">
        <v>769</v>
      </c>
      <c r="E281">
        <v>10</v>
      </c>
      <c r="F281">
        <v>1</v>
      </c>
      <c r="G281">
        <v>1</v>
      </c>
      <c r="H281" t="s">
        <v>770</v>
      </c>
      <c r="I281">
        <v>0</v>
      </c>
      <c r="J281">
        <v>0</v>
      </c>
      <c r="K281">
        <v>0</v>
      </c>
      <c r="L281">
        <v>1</v>
      </c>
      <c r="N281" t="str">
        <f t="shared" si="4"/>
        <v>SELECT 305, 101, 2, 'United Arab Emirates', 10, 1 UNION ALL</v>
      </c>
      <c r="X281">
        <v>291</v>
      </c>
      <c r="Y281">
        <v>287</v>
      </c>
      <c r="Z281">
        <v>1</v>
      </c>
      <c r="AA281">
        <v>3</v>
      </c>
    </row>
    <row r="282" spans="1:27">
      <c r="A282">
        <v>306</v>
      </c>
      <c r="B282">
        <v>101</v>
      </c>
      <c r="C282">
        <v>2</v>
      </c>
      <c r="D282" t="s">
        <v>771</v>
      </c>
      <c r="E282">
        <v>10</v>
      </c>
      <c r="F282">
        <v>1</v>
      </c>
      <c r="G282">
        <v>1</v>
      </c>
      <c r="H282" t="s">
        <v>772</v>
      </c>
      <c r="I282">
        <v>0</v>
      </c>
      <c r="J282">
        <v>0</v>
      </c>
      <c r="K282">
        <v>0</v>
      </c>
      <c r="L282">
        <v>1</v>
      </c>
      <c r="N282" t="str">
        <f t="shared" si="4"/>
        <v>SELECT 306, 101, 2, 'UAE', 10, 1 UNION ALL</v>
      </c>
      <c r="X282">
        <v>292</v>
      </c>
      <c r="Y282">
        <v>287</v>
      </c>
      <c r="Z282">
        <v>2</v>
      </c>
      <c r="AA282">
        <v>4</v>
      </c>
    </row>
    <row r="283" spans="1:27">
      <c r="A283">
        <v>307</v>
      </c>
      <c r="B283">
        <v>102</v>
      </c>
      <c r="C283">
        <v>1</v>
      </c>
      <c r="D283" t="s">
        <v>323</v>
      </c>
      <c r="E283">
        <v>10</v>
      </c>
      <c r="F283">
        <v>1</v>
      </c>
      <c r="G283">
        <v>1</v>
      </c>
      <c r="H283" t="s">
        <v>773</v>
      </c>
      <c r="I283">
        <v>0</v>
      </c>
      <c r="J283">
        <v>0</v>
      </c>
      <c r="K283">
        <v>0</v>
      </c>
      <c r="L283">
        <v>1</v>
      </c>
      <c r="N283" t="str">
        <f t="shared" si="4"/>
        <v>SELECT 307, 102, 1, 'Kuwejt', 10, 1 UNION ALL</v>
      </c>
      <c r="X283">
        <v>293</v>
      </c>
      <c r="Y283">
        <v>287</v>
      </c>
      <c r="Z283">
        <v>3</v>
      </c>
      <c r="AA283">
        <v>0</v>
      </c>
    </row>
    <row r="284" spans="1:27">
      <c r="A284">
        <v>308</v>
      </c>
      <c r="B284">
        <v>102</v>
      </c>
      <c r="C284">
        <v>2</v>
      </c>
      <c r="D284" t="s">
        <v>774</v>
      </c>
      <c r="E284">
        <v>10</v>
      </c>
      <c r="F284">
        <v>1</v>
      </c>
      <c r="G284">
        <v>1</v>
      </c>
      <c r="H284" t="s">
        <v>775</v>
      </c>
      <c r="I284">
        <v>0</v>
      </c>
      <c r="J284">
        <v>0</v>
      </c>
      <c r="K284">
        <v>0</v>
      </c>
      <c r="L284">
        <v>1</v>
      </c>
      <c r="N284" t="str">
        <f t="shared" si="4"/>
        <v>SELECT 308, 102, 2, 'Kuwait', 10, 1 UNION ALL</v>
      </c>
      <c r="X284">
        <v>294</v>
      </c>
      <c r="Y284">
        <v>287</v>
      </c>
      <c r="Z284">
        <v>4</v>
      </c>
      <c r="AA284">
        <v>1</v>
      </c>
    </row>
    <row r="285" spans="1:27">
      <c r="A285">
        <v>309</v>
      </c>
      <c r="B285">
        <v>193</v>
      </c>
      <c r="C285">
        <v>1</v>
      </c>
      <c r="D285" t="s">
        <v>493</v>
      </c>
      <c r="E285">
        <v>10</v>
      </c>
      <c r="F285">
        <v>1</v>
      </c>
      <c r="G285">
        <v>1</v>
      </c>
      <c r="H285" t="s">
        <v>776</v>
      </c>
      <c r="I285">
        <v>0</v>
      </c>
      <c r="J285">
        <v>0</v>
      </c>
      <c r="K285">
        <v>0</v>
      </c>
      <c r="L285">
        <v>1</v>
      </c>
      <c r="N285" t="str">
        <f t="shared" si="4"/>
        <v>SELECT 309, 193, 1, 'Dominikana', 10, 1 UNION ALL</v>
      </c>
      <c r="X285">
        <v>295</v>
      </c>
      <c r="Y285">
        <v>260</v>
      </c>
      <c r="Z285">
        <v>5</v>
      </c>
      <c r="AA285">
        <v>9</v>
      </c>
    </row>
    <row r="286" spans="1:27">
      <c r="A286">
        <v>310</v>
      </c>
      <c r="B286">
        <v>193</v>
      </c>
      <c r="C286">
        <v>2</v>
      </c>
      <c r="D286" t="s">
        <v>777</v>
      </c>
      <c r="E286">
        <v>10</v>
      </c>
      <c r="F286">
        <v>1</v>
      </c>
      <c r="G286">
        <v>1</v>
      </c>
      <c r="H286" t="s">
        <v>778</v>
      </c>
      <c r="I286">
        <v>0</v>
      </c>
      <c r="J286">
        <v>0</v>
      </c>
      <c r="K286">
        <v>0</v>
      </c>
      <c r="L286">
        <v>1</v>
      </c>
      <c r="N286" t="str">
        <f t="shared" si="4"/>
        <v>SELECT 310, 193, 2, 'Dominican Republic', 10, 1 UNION ALL</v>
      </c>
      <c r="X286">
        <v>296</v>
      </c>
      <c r="Y286">
        <v>260</v>
      </c>
      <c r="Z286">
        <v>6</v>
      </c>
      <c r="AA286">
        <v>10</v>
      </c>
    </row>
    <row r="287" spans="1:27">
      <c r="A287">
        <v>311</v>
      </c>
      <c r="B287">
        <v>174</v>
      </c>
      <c r="C287">
        <v>1</v>
      </c>
      <c r="D287" t="s">
        <v>459</v>
      </c>
      <c r="E287">
        <v>10</v>
      </c>
      <c r="F287">
        <v>1</v>
      </c>
      <c r="G287">
        <v>1</v>
      </c>
      <c r="H287" t="s">
        <v>779</v>
      </c>
      <c r="I287">
        <v>0</v>
      </c>
      <c r="J287">
        <v>0</v>
      </c>
      <c r="K287">
        <v>0</v>
      </c>
      <c r="L287">
        <v>1</v>
      </c>
      <c r="N287" t="str">
        <f t="shared" si="4"/>
        <v>SELECT 311, 174, 1, 'RPA', 10, 1 UNION ALL</v>
      </c>
      <c r="X287">
        <v>297</v>
      </c>
      <c r="Y287">
        <v>260</v>
      </c>
      <c r="Z287">
        <v>7</v>
      </c>
      <c r="AA287">
        <v>0</v>
      </c>
    </row>
    <row r="288" spans="1:27">
      <c r="A288">
        <v>312</v>
      </c>
      <c r="B288">
        <v>174</v>
      </c>
      <c r="C288">
        <v>1</v>
      </c>
      <c r="D288" t="s">
        <v>780</v>
      </c>
      <c r="E288">
        <v>7</v>
      </c>
      <c r="F288">
        <v>1</v>
      </c>
      <c r="G288">
        <v>1</v>
      </c>
      <c r="H288" t="s">
        <v>781</v>
      </c>
      <c r="I288">
        <v>0</v>
      </c>
      <c r="J288">
        <v>0</v>
      </c>
      <c r="K288">
        <v>0</v>
      </c>
      <c r="L288">
        <v>1</v>
      </c>
      <c r="N288" t="str">
        <f t="shared" si="4"/>
        <v>SELECT 312, 174, 1, 'Republika Południowej Afryki', 7, 1 UNION ALL</v>
      </c>
      <c r="X288">
        <v>298</v>
      </c>
      <c r="Y288">
        <v>260</v>
      </c>
      <c r="Z288">
        <v>8</v>
      </c>
      <c r="AA288">
        <v>1</v>
      </c>
    </row>
    <row r="289" spans="1:27">
      <c r="A289">
        <v>313</v>
      </c>
      <c r="B289">
        <v>174</v>
      </c>
      <c r="C289">
        <v>1</v>
      </c>
      <c r="D289" t="s">
        <v>782</v>
      </c>
      <c r="E289">
        <v>4</v>
      </c>
      <c r="F289">
        <v>1</v>
      </c>
      <c r="G289">
        <v>1</v>
      </c>
      <c r="H289" t="s">
        <v>783</v>
      </c>
      <c r="I289">
        <v>0</v>
      </c>
      <c r="J289">
        <v>0</v>
      </c>
      <c r="K289">
        <v>0</v>
      </c>
      <c r="L289">
        <v>1</v>
      </c>
      <c r="N289" t="str">
        <f t="shared" si="4"/>
        <v>SELECT 313, 174, 1, 'Południowa Afryka', 4, 1 UNION ALL</v>
      </c>
      <c r="X289">
        <v>299</v>
      </c>
      <c r="Y289">
        <v>262</v>
      </c>
      <c r="Z289">
        <v>5</v>
      </c>
      <c r="AA289">
        <v>9</v>
      </c>
    </row>
    <row r="290" spans="1:27">
      <c r="A290">
        <v>314</v>
      </c>
      <c r="B290">
        <v>166</v>
      </c>
      <c r="C290">
        <v>1</v>
      </c>
      <c r="D290" t="s">
        <v>445</v>
      </c>
      <c r="E290">
        <v>10</v>
      </c>
      <c r="F290">
        <v>1</v>
      </c>
      <c r="G290">
        <v>1</v>
      </c>
      <c r="H290" t="s">
        <v>784</v>
      </c>
      <c r="I290">
        <v>0</v>
      </c>
      <c r="J290">
        <v>0</v>
      </c>
      <c r="K290">
        <v>0</v>
      </c>
      <c r="L290">
        <v>1</v>
      </c>
      <c r="N290" t="str">
        <f t="shared" si="4"/>
        <v>SELECT 314, 166, 1, 'Kenia', 10, 1 UNION ALL</v>
      </c>
      <c r="X290">
        <v>300</v>
      </c>
      <c r="Y290">
        <v>262</v>
      </c>
      <c r="Z290">
        <v>6</v>
      </c>
      <c r="AA290">
        <v>10</v>
      </c>
    </row>
    <row r="291" spans="1:27">
      <c r="A291">
        <v>315</v>
      </c>
      <c r="B291">
        <v>159</v>
      </c>
      <c r="C291">
        <v>1</v>
      </c>
      <c r="D291" t="s">
        <v>433</v>
      </c>
      <c r="E291">
        <v>10</v>
      </c>
      <c r="F291">
        <v>1</v>
      </c>
      <c r="G291">
        <v>1</v>
      </c>
      <c r="H291" t="s">
        <v>785</v>
      </c>
      <c r="I291">
        <v>0</v>
      </c>
      <c r="J291">
        <v>0</v>
      </c>
      <c r="K291">
        <v>0</v>
      </c>
      <c r="L291">
        <v>1</v>
      </c>
      <c r="N291" t="str">
        <f t="shared" si="4"/>
        <v>SELECT 315, 159, 1, 'Kamerun', 10, 1 UNION ALL</v>
      </c>
      <c r="X291">
        <v>301</v>
      </c>
      <c r="Y291">
        <v>262</v>
      </c>
      <c r="Z291">
        <v>7</v>
      </c>
      <c r="AA291">
        <v>0</v>
      </c>
    </row>
    <row r="292" spans="1:27">
      <c r="A292">
        <v>316</v>
      </c>
      <c r="B292">
        <v>159</v>
      </c>
      <c r="C292">
        <v>2</v>
      </c>
      <c r="D292" t="s">
        <v>786</v>
      </c>
      <c r="E292">
        <v>10</v>
      </c>
      <c r="F292">
        <v>1</v>
      </c>
      <c r="G292">
        <v>1</v>
      </c>
      <c r="H292" t="s">
        <v>787</v>
      </c>
      <c r="I292">
        <v>0</v>
      </c>
      <c r="J292">
        <v>0</v>
      </c>
      <c r="K292">
        <v>0</v>
      </c>
      <c r="L292">
        <v>1</v>
      </c>
      <c r="N292" t="str">
        <f t="shared" si="4"/>
        <v>SELECT 316, 159, 2, 'Cameroon', 10, 1 UNION ALL</v>
      </c>
      <c r="X292">
        <v>302</v>
      </c>
      <c r="Y292">
        <v>262</v>
      </c>
      <c r="Z292">
        <v>8</v>
      </c>
      <c r="AA292">
        <v>1</v>
      </c>
    </row>
    <row r="293" spans="1:27">
      <c r="A293">
        <v>317</v>
      </c>
      <c r="B293">
        <v>158</v>
      </c>
      <c r="C293">
        <v>1</v>
      </c>
      <c r="D293" t="s">
        <v>431</v>
      </c>
      <c r="E293">
        <v>10</v>
      </c>
      <c r="F293">
        <v>1</v>
      </c>
      <c r="G293">
        <v>1</v>
      </c>
      <c r="H293" t="s">
        <v>788</v>
      </c>
      <c r="I293">
        <v>0</v>
      </c>
      <c r="J293">
        <v>0</v>
      </c>
      <c r="K293">
        <v>0</v>
      </c>
      <c r="L293">
        <v>1</v>
      </c>
      <c r="N293" t="str">
        <f t="shared" si="4"/>
        <v>SELECT 317, 158, 1, 'Nigeria', 10, 1 UNION ALL</v>
      </c>
      <c r="X293">
        <v>303</v>
      </c>
      <c r="Y293">
        <v>264</v>
      </c>
      <c r="Z293">
        <v>5</v>
      </c>
      <c r="AA293">
        <v>9</v>
      </c>
    </row>
    <row r="294" spans="1:27">
      <c r="A294">
        <v>318</v>
      </c>
      <c r="B294">
        <v>158</v>
      </c>
      <c r="C294">
        <v>2</v>
      </c>
      <c r="D294" t="s">
        <v>431</v>
      </c>
      <c r="E294">
        <v>10</v>
      </c>
      <c r="F294">
        <v>1</v>
      </c>
      <c r="G294">
        <v>1</v>
      </c>
      <c r="H294" t="s">
        <v>789</v>
      </c>
      <c r="I294">
        <v>0</v>
      </c>
      <c r="J294">
        <v>0</v>
      </c>
      <c r="K294">
        <v>0</v>
      </c>
      <c r="L294">
        <v>1</v>
      </c>
      <c r="N294" t="str">
        <f t="shared" si="4"/>
        <v>SELECT 318, 158, 2, 'Nigeria', 10, 1 UNION ALL</v>
      </c>
      <c r="X294">
        <v>304</v>
      </c>
      <c r="Y294">
        <v>264</v>
      </c>
      <c r="Z294">
        <v>6</v>
      </c>
      <c r="AA294">
        <v>10</v>
      </c>
    </row>
    <row r="295" spans="1:27">
      <c r="A295">
        <v>319</v>
      </c>
      <c r="B295">
        <v>139</v>
      </c>
      <c r="C295">
        <v>1</v>
      </c>
      <c r="D295" t="s">
        <v>393</v>
      </c>
      <c r="E295">
        <v>10</v>
      </c>
      <c r="F295">
        <v>1</v>
      </c>
      <c r="G295">
        <v>1</v>
      </c>
      <c r="H295" t="s">
        <v>790</v>
      </c>
      <c r="I295">
        <v>0</v>
      </c>
      <c r="J295">
        <v>0</v>
      </c>
      <c r="K295">
        <v>0</v>
      </c>
      <c r="L295">
        <v>1</v>
      </c>
      <c r="N295" t="str">
        <f t="shared" si="4"/>
        <v>SELECT 319, 139, 1, 'Algieria', 10, 1 UNION ALL</v>
      </c>
      <c r="X295">
        <v>305</v>
      </c>
      <c r="Y295">
        <v>264</v>
      </c>
      <c r="Z295">
        <v>7</v>
      </c>
      <c r="AA295">
        <v>0</v>
      </c>
    </row>
    <row r="296" spans="1:27">
      <c r="A296">
        <v>320</v>
      </c>
      <c r="B296">
        <v>139</v>
      </c>
      <c r="C296">
        <v>2</v>
      </c>
      <c r="D296" t="s">
        <v>791</v>
      </c>
      <c r="E296">
        <v>10</v>
      </c>
      <c r="F296">
        <v>1</v>
      </c>
      <c r="G296">
        <v>1</v>
      </c>
      <c r="H296" t="s">
        <v>792</v>
      </c>
      <c r="I296">
        <v>0</v>
      </c>
      <c r="J296">
        <v>0</v>
      </c>
      <c r="K296">
        <v>0</v>
      </c>
      <c r="L296">
        <v>1</v>
      </c>
      <c r="N296" t="str">
        <f t="shared" si="4"/>
        <v>SELECT 320, 139, 2, 'Algeria', 10, 1 UNION ALL</v>
      </c>
      <c r="X296">
        <v>306</v>
      </c>
      <c r="Y296">
        <v>264</v>
      </c>
      <c r="Z296">
        <v>8</v>
      </c>
      <c r="AA296">
        <v>1</v>
      </c>
    </row>
    <row r="297" spans="1:27">
      <c r="A297">
        <v>321</v>
      </c>
      <c r="B297">
        <v>184</v>
      </c>
      <c r="C297">
        <v>1</v>
      </c>
      <c r="D297" t="s">
        <v>477</v>
      </c>
      <c r="E297">
        <v>10</v>
      </c>
      <c r="F297">
        <v>1</v>
      </c>
      <c r="G297">
        <v>1</v>
      </c>
      <c r="H297" t="s">
        <v>793</v>
      </c>
      <c r="I297">
        <v>0</v>
      </c>
      <c r="J297">
        <v>0</v>
      </c>
      <c r="K297">
        <v>0</v>
      </c>
      <c r="L297">
        <v>1</v>
      </c>
      <c r="N297" t="str">
        <f t="shared" si="4"/>
        <v>SELECT 321, 184, 1, 'Grenlandia', 10, 1 UNION ALL</v>
      </c>
      <c r="X297">
        <v>307</v>
      </c>
      <c r="Y297">
        <v>288</v>
      </c>
      <c r="Z297">
        <v>1</v>
      </c>
      <c r="AA297">
        <v>2</v>
      </c>
    </row>
    <row r="298" spans="1:27">
      <c r="A298">
        <v>322</v>
      </c>
      <c r="B298">
        <v>167</v>
      </c>
      <c r="C298">
        <v>1</v>
      </c>
      <c r="D298" t="s">
        <v>447</v>
      </c>
      <c r="E298">
        <v>10</v>
      </c>
      <c r="F298">
        <v>1</v>
      </c>
      <c r="G298">
        <v>1</v>
      </c>
      <c r="H298" t="s">
        <v>794</v>
      </c>
      <c r="I298">
        <v>0</v>
      </c>
      <c r="J298">
        <v>0</v>
      </c>
      <c r="K298">
        <v>0</v>
      </c>
      <c r="L298">
        <v>1</v>
      </c>
      <c r="N298" t="str">
        <f t="shared" si="4"/>
        <v>SELECT 322, 167, 1, 'Tanzania', 10, 1 UNION ALL</v>
      </c>
      <c r="X298">
        <v>308</v>
      </c>
      <c r="Y298">
        <v>288</v>
      </c>
      <c r="Z298">
        <v>2</v>
      </c>
      <c r="AA298">
        <v>4</v>
      </c>
    </row>
    <row r="299" spans="1:27">
      <c r="A299">
        <v>323</v>
      </c>
      <c r="B299">
        <v>152</v>
      </c>
      <c r="C299">
        <v>1</v>
      </c>
      <c r="D299" t="s">
        <v>419</v>
      </c>
      <c r="E299">
        <v>10</v>
      </c>
      <c r="F299">
        <v>1</v>
      </c>
      <c r="G299">
        <v>1</v>
      </c>
      <c r="H299" t="s">
        <v>795</v>
      </c>
      <c r="I299">
        <v>0</v>
      </c>
      <c r="J299">
        <v>0</v>
      </c>
      <c r="K299">
        <v>0</v>
      </c>
      <c r="L299">
        <v>0</v>
      </c>
      <c r="N299" t="str">
        <f t="shared" si="4"/>
        <v>SELECT 323, 152, 1, 'Somalia', 10, 0 UNION ALL</v>
      </c>
      <c r="X299">
        <v>309</v>
      </c>
      <c r="Y299">
        <v>288</v>
      </c>
      <c r="Z299">
        <v>3</v>
      </c>
      <c r="AA299">
        <v>0</v>
      </c>
    </row>
    <row r="300" spans="1:27">
      <c r="A300">
        <v>324</v>
      </c>
      <c r="B300">
        <v>149</v>
      </c>
      <c r="C300">
        <v>1</v>
      </c>
      <c r="D300" t="s">
        <v>413</v>
      </c>
      <c r="E300">
        <v>10</v>
      </c>
      <c r="F300">
        <v>1</v>
      </c>
      <c r="G300">
        <v>1</v>
      </c>
      <c r="H300" t="s">
        <v>796</v>
      </c>
      <c r="I300">
        <v>0</v>
      </c>
      <c r="J300">
        <v>0</v>
      </c>
      <c r="K300">
        <v>0</v>
      </c>
      <c r="L300">
        <v>1</v>
      </c>
      <c r="N300" t="str">
        <f t="shared" si="4"/>
        <v>SELECT 324, 149, 1, 'Gambia', 10, 1 UNION ALL</v>
      </c>
      <c r="X300">
        <v>310</v>
      </c>
      <c r="Y300">
        <v>288</v>
      </c>
      <c r="Z300">
        <v>4</v>
      </c>
      <c r="AA300">
        <v>1</v>
      </c>
    </row>
    <row r="301" spans="1:27">
      <c r="A301">
        <v>325</v>
      </c>
      <c r="B301">
        <v>132</v>
      </c>
      <c r="C301">
        <v>1</v>
      </c>
      <c r="D301" t="s">
        <v>379</v>
      </c>
      <c r="E301">
        <v>10</v>
      </c>
      <c r="F301">
        <v>1</v>
      </c>
      <c r="G301">
        <v>1</v>
      </c>
      <c r="H301" t="s">
        <v>797</v>
      </c>
      <c r="I301">
        <v>0</v>
      </c>
      <c r="J301">
        <v>0</v>
      </c>
      <c r="K301">
        <v>0</v>
      </c>
      <c r="L301">
        <v>1</v>
      </c>
      <c r="N301" t="str">
        <f t="shared" si="4"/>
        <v>SELECT 325, 132, 1, 'Australia', 10, 1 UNION ALL</v>
      </c>
      <c r="X301">
        <v>311</v>
      </c>
      <c r="Y301">
        <v>289</v>
      </c>
      <c r="Z301">
        <v>5</v>
      </c>
      <c r="AA301">
        <v>9</v>
      </c>
    </row>
    <row r="302" spans="1:27">
      <c r="A302">
        <v>326</v>
      </c>
      <c r="B302">
        <v>194</v>
      </c>
      <c r="C302">
        <v>1</v>
      </c>
      <c r="D302" t="s">
        <v>495</v>
      </c>
      <c r="E302">
        <v>10</v>
      </c>
      <c r="F302">
        <v>1</v>
      </c>
      <c r="G302">
        <v>1</v>
      </c>
      <c r="H302" t="s">
        <v>798</v>
      </c>
      <c r="I302">
        <v>0</v>
      </c>
      <c r="J302">
        <v>0</v>
      </c>
      <c r="K302">
        <v>0</v>
      </c>
      <c r="L302">
        <v>1</v>
      </c>
      <c r="N302" t="str">
        <f t="shared" si="4"/>
        <v>SELECT 326, 194, 1, 'Haiti', 10, 1 UNION ALL</v>
      </c>
      <c r="X302">
        <v>312</v>
      </c>
      <c r="Y302">
        <v>289</v>
      </c>
      <c r="Z302">
        <v>6</v>
      </c>
      <c r="AA302">
        <v>10</v>
      </c>
    </row>
    <row r="303" spans="1:27">
      <c r="A303">
        <v>327</v>
      </c>
      <c r="B303">
        <v>195</v>
      </c>
      <c r="C303">
        <v>1</v>
      </c>
      <c r="D303" t="s">
        <v>497</v>
      </c>
      <c r="E303">
        <v>10</v>
      </c>
      <c r="F303">
        <v>1</v>
      </c>
      <c r="G303">
        <v>1</v>
      </c>
      <c r="H303" t="s">
        <v>799</v>
      </c>
      <c r="I303">
        <v>0</v>
      </c>
      <c r="J303">
        <v>0</v>
      </c>
      <c r="K303">
        <v>0</v>
      </c>
      <c r="L303">
        <v>1</v>
      </c>
      <c r="N303" t="str">
        <f t="shared" si="4"/>
        <v>SELECT 327, 195, 1, 'Portoryko', 10, 1 UNION ALL</v>
      </c>
      <c r="X303">
        <v>313</v>
      </c>
      <c r="Y303">
        <v>289</v>
      </c>
      <c r="Z303">
        <v>7</v>
      </c>
      <c r="AA303">
        <v>0</v>
      </c>
    </row>
    <row r="304" spans="1:27">
      <c r="A304">
        <v>328</v>
      </c>
      <c r="B304">
        <v>195</v>
      </c>
      <c r="C304">
        <v>1</v>
      </c>
      <c r="D304" t="s">
        <v>800</v>
      </c>
      <c r="E304">
        <v>5</v>
      </c>
      <c r="F304">
        <v>1</v>
      </c>
      <c r="G304">
        <v>1</v>
      </c>
      <c r="H304" t="s">
        <v>801</v>
      </c>
      <c r="I304">
        <v>0</v>
      </c>
      <c r="J304">
        <v>0</v>
      </c>
      <c r="K304">
        <v>0</v>
      </c>
      <c r="L304">
        <v>1</v>
      </c>
      <c r="N304" t="str">
        <f t="shared" si="4"/>
        <v>SELECT 328, 195, 1, 'Puerto Rico', 5, 1 UNION ALL</v>
      </c>
      <c r="X304">
        <v>314</v>
      </c>
      <c r="Y304">
        <v>289</v>
      </c>
      <c r="Z304">
        <v>8</v>
      </c>
      <c r="AA304">
        <v>1</v>
      </c>
    </row>
    <row r="305" spans="1:27">
      <c r="A305">
        <v>329</v>
      </c>
      <c r="B305">
        <v>196</v>
      </c>
      <c r="C305">
        <v>1</v>
      </c>
      <c r="D305" t="s">
        <v>499</v>
      </c>
      <c r="E305">
        <v>10</v>
      </c>
      <c r="F305">
        <v>1</v>
      </c>
      <c r="G305">
        <v>1</v>
      </c>
      <c r="H305" t="s">
        <v>802</v>
      </c>
      <c r="I305">
        <v>0</v>
      </c>
      <c r="J305">
        <v>0</v>
      </c>
      <c r="K305">
        <v>0</v>
      </c>
      <c r="L305">
        <v>1</v>
      </c>
      <c r="N305" t="str">
        <f t="shared" si="4"/>
        <v>SELECT 329, 196, 1, 'Kostaryka', 10, 1 UNION ALL</v>
      </c>
      <c r="X305">
        <v>315</v>
      </c>
      <c r="Y305">
        <v>290</v>
      </c>
      <c r="Z305">
        <v>1</v>
      </c>
      <c r="AA305">
        <v>1</v>
      </c>
    </row>
    <row r="306" spans="1:27">
      <c r="A306">
        <v>330</v>
      </c>
      <c r="B306">
        <v>172</v>
      </c>
      <c r="C306">
        <v>1</v>
      </c>
      <c r="D306" t="s">
        <v>457</v>
      </c>
      <c r="E306">
        <v>10</v>
      </c>
      <c r="F306">
        <v>1</v>
      </c>
      <c r="G306">
        <v>1</v>
      </c>
      <c r="H306" t="s">
        <v>803</v>
      </c>
      <c r="I306">
        <v>0</v>
      </c>
      <c r="J306">
        <v>0</v>
      </c>
      <c r="K306">
        <v>0</v>
      </c>
      <c r="L306">
        <v>1</v>
      </c>
      <c r="N306" t="str">
        <f t="shared" si="4"/>
        <v>SELECT 330, 172, 1, 'Namibia', 10, 1 UNION ALL</v>
      </c>
      <c r="X306">
        <v>316</v>
      </c>
      <c r="Y306">
        <v>290</v>
      </c>
      <c r="Z306">
        <v>2</v>
      </c>
      <c r="AA306">
        <v>4</v>
      </c>
    </row>
    <row r="307" spans="1:27">
      <c r="A307">
        <v>331</v>
      </c>
      <c r="B307">
        <v>191</v>
      </c>
      <c r="C307">
        <v>1</v>
      </c>
      <c r="D307" t="s">
        <v>491</v>
      </c>
      <c r="E307">
        <v>10</v>
      </c>
      <c r="F307">
        <v>1</v>
      </c>
      <c r="G307">
        <v>1</v>
      </c>
      <c r="H307" t="s">
        <v>804</v>
      </c>
      <c r="I307">
        <v>0</v>
      </c>
      <c r="J307">
        <v>0</v>
      </c>
      <c r="K307">
        <v>0</v>
      </c>
      <c r="L307">
        <v>1</v>
      </c>
      <c r="N307" t="str">
        <f t="shared" si="4"/>
        <v>SELECT 331, 191, 1, 'Panama', 10, 1 UNION ALL</v>
      </c>
      <c r="X307">
        <v>317</v>
      </c>
      <c r="Y307">
        <v>290</v>
      </c>
      <c r="Z307">
        <v>3</v>
      </c>
      <c r="AA307">
        <v>0</v>
      </c>
    </row>
    <row r="308" spans="1:27">
      <c r="A308">
        <v>332</v>
      </c>
      <c r="B308">
        <v>190</v>
      </c>
      <c r="C308">
        <v>1</v>
      </c>
      <c r="D308" t="s">
        <v>489</v>
      </c>
      <c r="E308">
        <v>10</v>
      </c>
      <c r="F308">
        <v>1</v>
      </c>
      <c r="G308">
        <v>1</v>
      </c>
      <c r="H308" t="s">
        <v>805</v>
      </c>
      <c r="I308">
        <v>0</v>
      </c>
      <c r="J308">
        <v>0</v>
      </c>
      <c r="K308">
        <v>0</v>
      </c>
      <c r="L308">
        <v>1</v>
      </c>
      <c r="N308" t="str">
        <f t="shared" si="4"/>
        <v>SELECT 332, 190, 1, 'Nikaragua', 10, 1 UNION ALL</v>
      </c>
      <c r="X308">
        <v>318</v>
      </c>
      <c r="Y308">
        <v>290</v>
      </c>
      <c r="Z308">
        <v>4</v>
      </c>
      <c r="AA308">
        <v>1</v>
      </c>
    </row>
    <row r="309" spans="1:27">
      <c r="A309">
        <v>333</v>
      </c>
      <c r="B309">
        <v>175</v>
      </c>
      <c r="C309">
        <v>1</v>
      </c>
      <c r="D309" t="s">
        <v>461</v>
      </c>
      <c r="E309">
        <v>10</v>
      </c>
      <c r="F309">
        <v>1</v>
      </c>
      <c r="G309">
        <v>1</v>
      </c>
      <c r="H309" t="s">
        <v>806</v>
      </c>
      <c r="I309">
        <v>0</v>
      </c>
      <c r="J309">
        <v>0</v>
      </c>
      <c r="K309">
        <v>0</v>
      </c>
      <c r="L309">
        <v>1</v>
      </c>
      <c r="N309" t="str">
        <f t="shared" si="4"/>
        <v>SELECT 333, 175, 1, 'Zambia', 10, 1 UNION ALL</v>
      </c>
      <c r="X309">
        <v>319</v>
      </c>
      <c r="Y309">
        <v>291</v>
      </c>
      <c r="Z309">
        <v>5</v>
      </c>
      <c r="AA309">
        <v>9</v>
      </c>
    </row>
    <row r="310" spans="1:27">
      <c r="A310">
        <v>334</v>
      </c>
      <c r="B310">
        <v>177</v>
      </c>
      <c r="C310">
        <v>1</v>
      </c>
      <c r="D310" t="s">
        <v>465</v>
      </c>
      <c r="E310">
        <v>10</v>
      </c>
      <c r="F310">
        <v>1</v>
      </c>
      <c r="G310">
        <v>1</v>
      </c>
      <c r="H310" t="s">
        <v>807</v>
      </c>
      <c r="I310">
        <v>0</v>
      </c>
      <c r="J310">
        <v>0</v>
      </c>
      <c r="K310">
        <v>0</v>
      </c>
      <c r="L310">
        <v>1</v>
      </c>
      <c r="N310" t="str">
        <f t="shared" si="4"/>
        <v>SELECT 334, 177, 1, 'Botswana', 10, 1 UNION ALL</v>
      </c>
      <c r="X310">
        <v>320</v>
      </c>
      <c r="Y310">
        <v>291</v>
      </c>
      <c r="Z310">
        <v>6</v>
      </c>
      <c r="AA310">
        <v>10</v>
      </c>
    </row>
    <row r="311" spans="1:27">
      <c r="A311">
        <v>335</v>
      </c>
      <c r="B311">
        <v>103</v>
      </c>
      <c r="C311">
        <v>1</v>
      </c>
      <c r="D311" t="s">
        <v>325</v>
      </c>
      <c r="E311">
        <v>10</v>
      </c>
      <c r="F311">
        <v>1</v>
      </c>
      <c r="G311">
        <v>1</v>
      </c>
      <c r="H311" t="s">
        <v>808</v>
      </c>
      <c r="I311">
        <v>0</v>
      </c>
      <c r="J311">
        <v>0</v>
      </c>
      <c r="K311">
        <v>0</v>
      </c>
      <c r="L311">
        <v>1</v>
      </c>
      <c r="N311" t="str">
        <f t="shared" si="4"/>
        <v>SELECT 335, 103, 1, 'Bahrajn', 10, 1 UNION ALL</v>
      </c>
      <c r="X311">
        <v>321</v>
      </c>
      <c r="Y311">
        <v>291</v>
      </c>
      <c r="Z311">
        <v>7</v>
      </c>
      <c r="AA311">
        <v>0</v>
      </c>
    </row>
    <row r="312" spans="1:27">
      <c r="A312">
        <v>336</v>
      </c>
      <c r="B312">
        <v>104</v>
      </c>
      <c r="C312">
        <v>1</v>
      </c>
      <c r="D312" t="s">
        <v>327</v>
      </c>
      <c r="E312">
        <v>10</v>
      </c>
      <c r="F312">
        <v>1</v>
      </c>
      <c r="G312">
        <v>1</v>
      </c>
      <c r="H312" t="s">
        <v>809</v>
      </c>
      <c r="I312">
        <v>0</v>
      </c>
      <c r="J312">
        <v>0</v>
      </c>
      <c r="K312">
        <v>0</v>
      </c>
      <c r="L312">
        <v>1</v>
      </c>
      <c r="N312" t="str">
        <f t="shared" si="4"/>
        <v>SELECT 336, 104, 1, 'Katar', 10, 1 UNION ALL</v>
      </c>
      <c r="X312">
        <v>322</v>
      </c>
      <c r="Y312">
        <v>291</v>
      </c>
      <c r="Z312">
        <v>8</v>
      </c>
      <c r="AA312">
        <v>1</v>
      </c>
    </row>
    <row r="313" spans="1:27">
      <c r="A313">
        <v>337</v>
      </c>
      <c r="B313">
        <v>105</v>
      </c>
      <c r="C313">
        <v>1</v>
      </c>
      <c r="D313" t="s">
        <v>329</v>
      </c>
      <c r="E313">
        <v>10</v>
      </c>
      <c r="F313">
        <v>1</v>
      </c>
      <c r="G313">
        <v>1</v>
      </c>
      <c r="H313" t="s">
        <v>810</v>
      </c>
      <c r="I313">
        <v>0</v>
      </c>
      <c r="J313">
        <v>0</v>
      </c>
      <c r="K313">
        <v>0</v>
      </c>
      <c r="L313">
        <v>1</v>
      </c>
      <c r="N313" t="str">
        <f t="shared" si="4"/>
        <v>SELECT 337, 105, 1, 'Irak', 10, 1 UNION ALL</v>
      </c>
      <c r="X313">
        <v>323</v>
      </c>
      <c r="Y313">
        <v>292</v>
      </c>
      <c r="Z313">
        <v>1</v>
      </c>
      <c r="AA313">
        <v>1</v>
      </c>
    </row>
    <row r="314" spans="1:27">
      <c r="A314">
        <v>338</v>
      </c>
      <c r="B314">
        <v>106</v>
      </c>
      <c r="C314">
        <v>1</v>
      </c>
      <c r="D314" t="s">
        <v>331</v>
      </c>
      <c r="E314">
        <v>10</v>
      </c>
      <c r="F314">
        <v>1</v>
      </c>
      <c r="G314">
        <v>1</v>
      </c>
      <c r="H314" t="s">
        <v>811</v>
      </c>
      <c r="I314">
        <v>0</v>
      </c>
      <c r="J314">
        <v>0</v>
      </c>
      <c r="K314">
        <v>0</v>
      </c>
      <c r="L314">
        <v>1</v>
      </c>
      <c r="N314" t="str">
        <f t="shared" si="4"/>
        <v>SELECT 338, 106, 1, 'Iran', 10, 1 UNION ALL</v>
      </c>
      <c r="X314">
        <v>324</v>
      </c>
      <c r="Y314">
        <v>292</v>
      </c>
      <c r="Z314">
        <v>2</v>
      </c>
      <c r="AA314">
        <v>4</v>
      </c>
    </row>
    <row r="315" spans="1:27">
      <c r="A315">
        <v>339</v>
      </c>
      <c r="B315">
        <v>107</v>
      </c>
      <c r="C315">
        <v>1</v>
      </c>
      <c r="D315" t="s">
        <v>333</v>
      </c>
      <c r="E315">
        <v>10</v>
      </c>
      <c r="F315">
        <v>1</v>
      </c>
      <c r="G315">
        <v>1</v>
      </c>
      <c r="H315" t="s">
        <v>812</v>
      </c>
      <c r="I315">
        <v>0</v>
      </c>
      <c r="J315">
        <v>0</v>
      </c>
      <c r="K315">
        <v>0</v>
      </c>
      <c r="L315">
        <v>1</v>
      </c>
      <c r="N315" t="str">
        <f t="shared" si="4"/>
        <v>SELECT 339, 107, 1, 'Afganistan', 10, 1 UNION ALL</v>
      </c>
      <c r="X315">
        <v>325</v>
      </c>
      <c r="Y315">
        <v>292</v>
      </c>
      <c r="Z315">
        <v>3</v>
      </c>
      <c r="AA315">
        <v>0</v>
      </c>
    </row>
    <row r="316" spans="1:27">
      <c r="A316">
        <v>340</v>
      </c>
      <c r="B316">
        <v>109</v>
      </c>
      <c r="C316">
        <v>1</v>
      </c>
      <c r="D316" t="s">
        <v>335</v>
      </c>
      <c r="E316">
        <v>10</v>
      </c>
      <c r="F316">
        <v>1</v>
      </c>
      <c r="G316">
        <v>1</v>
      </c>
      <c r="H316" t="s">
        <v>813</v>
      </c>
      <c r="I316">
        <v>0</v>
      </c>
      <c r="J316">
        <v>0</v>
      </c>
      <c r="K316">
        <v>0</v>
      </c>
      <c r="L316">
        <v>1</v>
      </c>
      <c r="N316" t="str">
        <f t="shared" si="4"/>
        <v>SELECT 340, 109, 1, 'Pakistan', 10, 1 UNION ALL</v>
      </c>
      <c r="X316">
        <v>326</v>
      </c>
      <c r="Y316">
        <v>292</v>
      </c>
      <c r="Z316">
        <v>4</v>
      </c>
      <c r="AA316">
        <v>1</v>
      </c>
    </row>
    <row r="317" spans="1:27">
      <c r="A317">
        <v>341</v>
      </c>
      <c r="B317">
        <v>110</v>
      </c>
      <c r="C317">
        <v>1</v>
      </c>
      <c r="D317" t="s">
        <v>337</v>
      </c>
      <c r="E317">
        <v>10</v>
      </c>
      <c r="F317">
        <v>1</v>
      </c>
      <c r="G317">
        <v>1</v>
      </c>
      <c r="H317" t="s">
        <v>814</v>
      </c>
      <c r="I317">
        <v>0</v>
      </c>
      <c r="J317">
        <v>0</v>
      </c>
      <c r="K317">
        <v>0</v>
      </c>
      <c r="L317">
        <v>1</v>
      </c>
      <c r="N317" t="str">
        <f t="shared" si="4"/>
        <v>SELECT 341, 110, 1, 'Uzbekistan', 10, 1 UNION ALL</v>
      </c>
      <c r="X317">
        <v>327</v>
      </c>
      <c r="Y317">
        <v>293</v>
      </c>
      <c r="Z317">
        <v>5</v>
      </c>
      <c r="AA317">
        <v>9</v>
      </c>
    </row>
    <row r="318" spans="1:27">
      <c r="A318">
        <v>342</v>
      </c>
      <c r="B318">
        <v>111</v>
      </c>
      <c r="C318">
        <v>1</v>
      </c>
      <c r="D318" t="s">
        <v>339</v>
      </c>
      <c r="E318">
        <v>10</v>
      </c>
      <c r="F318">
        <v>1</v>
      </c>
      <c r="G318">
        <v>1</v>
      </c>
      <c r="H318" t="s">
        <v>815</v>
      </c>
      <c r="I318">
        <v>0</v>
      </c>
      <c r="J318">
        <v>0</v>
      </c>
      <c r="K318">
        <v>0</v>
      </c>
      <c r="L318">
        <v>1</v>
      </c>
      <c r="N318" t="str">
        <f t="shared" si="4"/>
        <v>SELECT 342, 111, 1, 'Turkmenistan', 10, 1 UNION ALL</v>
      </c>
      <c r="X318">
        <v>328</v>
      </c>
      <c r="Y318">
        <v>293</v>
      </c>
      <c r="Z318">
        <v>6</v>
      </c>
      <c r="AA318">
        <v>10</v>
      </c>
    </row>
    <row r="319" spans="1:27">
      <c r="A319">
        <v>343</v>
      </c>
      <c r="B319">
        <v>112</v>
      </c>
      <c r="C319">
        <v>1</v>
      </c>
      <c r="D319" t="s">
        <v>341</v>
      </c>
      <c r="E319">
        <v>10</v>
      </c>
      <c r="F319">
        <v>1</v>
      </c>
      <c r="G319">
        <v>1</v>
      </c>
      <c r="H319" t="s">
        <v>816</v>
      </c>
      <c r="I319">
        <v>0</v>
      </c>
      <c r="J319">
        <v>0</v>
      </c>
      <c r="K319">
        <v>0</v>
      </c>
      <c r="L319">
        <v>1</v>
      </c>
      <c r="N319" t="str">
        <f t="shared" si="4"/>
        <v>SELECT 343, 112, 1, 'Tadżykistan', 10, 1 UNION ALL</v>
      </c>
      <c r="X319">
        <v>329</v>
      </c>
      <c r="Y319">
        <v>293</v>
      </c>
      <c r="Z319">
        <v>7</v>
      </c>
      <c r="AA319">
        <v>0</v>
      </c>
    </row>
    <row r="320" spans="1:27">
      <c r="A320">
        <v>344</v>
      </c>
      <c r="B320">
        <v>113</v>
      </c>
      <c r="C320">
        <v>1</v>
      </c>
      <c r="D320" t="s">
        <v>343</v>
      </c>
      <c r="E320">
        <v>10</v>
      </c>
      <c r="F320">
        <v>1</v>
      </c>
      <c r="G320">
        <v>1</v>
      </c>
      <c r="H320" t="s">
        <v>817</v>
      </c>
      <c r="I320">
        <v>0</v>
      </c>
      <c r="J320">
        <v>0</v>
      </c>
      <c r="K320">
        <v>0</v>
      </c>
      <c r="L320">
        <v>1</v>
      </c>
      <c r="N320" t="str">
        <f t="shared" si="4"/>
        <v>SELECT 344, 113, 1, 'Kirgistan', 10, 1 UNION ALL</v>
      </c>
      <c r="X320">
        <v>330</v>
      </c>
      <c r="Y320">
        <v>293</v>
      </c>
      <c r="Z320">
        <v>8</v>
      </c>
      <c r="AA320">
        <v>1</v>
      </c>
    </row>
    <row r="321" spans="1:27">
      <c r="A321">
        <v>345</v>
      </c>
      <c r="B321">
        <v>114</v>
      </c>
      <c r="C321">
        <v>1</v>
      </c>
      <c r="D321" t="s">
        <v>345</v>
      </c>
      <c r="E321">
        <v>10</v>
      </c>
      <c r="F321">
        <v>1</v>
      </c>
      <c r="G321">
        <v>1</v>
      </c>
      <c r="H321" t="s">
        <v>818</v>
      </c>
      <c r="I321">
        <v>0</v>
      </c>
      <c r="J321">
        <v>0</v>
      </c>
      <c r="K321">
        <v>0</v>
      </c>
      <c r="L321">
        <v>1</v>
      </c>
      <c r="N321" t="str">
        <f t="shared" si="4"/>
        <v>SELECT 345, 114, 1, 'Nepal', 10, 1 UNION ALL</v>
      </c>
      <c r="X321">
        <v>331</v>
      </c>
      <c r="Y321">
        <v>294</v>
      </c>
      <c r="Z321">
        <v>1</v>
      </c>
      <c r="AA321">
        <v>2</v>
      </c>
    </row>
    <row r="322" spans="1:27">
      <c r="A322">
        <v>346</v>
      </c>
      <c r="B322">
        <v>118</v>
      </c>
      <c r="C322">
        <v>1</v>
      </c>
      <c r="D322" t="s">
        <v>353</v>
      </c>
      <c r="E322">
        <v>10</v>
      </c>
      <c r="F322">
        <v>1</v>
      </c>
      <c r="G322">
        <v>1</v>
      </c>
      <c r="H322" t="s">
        <v>819</v>
      </c>
      <c r="I322">
        <v>0</v>
      </c>
      <c r="J322">
        <v>0</v>
      </c>
      <c r="K322">
        <v>0</v>
      </c>
      <c r="L322">
        <v>1</v>
      </c>
      <c r="N322" t="str">
        <f t="shared" si="4"/>
        <v>SELECT 346, 118, 1, 'Mongolia', 10, 1 UNION ALL</v>
      </c>
      <c r="X322">
        <v>332</v>
      </c>
      <c r="Y322">
        <v>294</v>
      </c>
      <c r="Z322">
        <v>2</v>
      </c>
      <c r="AA322">
        <v>4</v>
      </c>
    </row>
    <row r="323" spans="1:27">
      <c r="A323">
        <v>347</v>
      </c>
      <c r="B323">
        <v>115</v>
      </c>
      <c r="C323">
        <v>1</v>
      </c>
      <c r="D323" t="s">
        <v>347</v>
      </c>
      <c r="E323">
        <v>10</v>
      </c>
      <c r="F323">
        <v>1</v>
      </c>
      <c r="G323">
        <v>1</v>
      </c>
      <c r="H323" t="s">
        <v>820</v>
      </c>
      <c r="I323">
        <v>0</v>
      </c>
      <c r="J323">
        <v>0</v>
      </c>
      <c r="K323">
        <v>0</v>
      </c>
      <c r="L323">
        <v>1</v>
      </c>
      <c r="N323" t="str">
        <f t="shared" ref="N323:N386" si="5">"SELECT "&amp;A323&amp;", "&amp;B323&amp;", "&amp;C323&amp;", '"&amp;D323&amp;"', "&amp;E323&amp;", "&amp;L323&amp;" UNION ALL"</f>
        <v>SELECT 347, 115, 1, 'Bhutan', 10, 1 UNION ALL</v>
      </c>
      <c r="X323">
        <v>333</v>
      </c>
      <c r="Y323">
        <v>294</v>
      </c>
      <c r="Z323">
        <v>3</v>
      </c>
      <c r="AA323">
        <v>0</v>
      </c>
    </row>
    <row r="324" spans="1:27">
      <c r="A324">
        <v>348</v>
      </c>
      <c r="B324">
        <v>116</v>
      </c>
      <c r="C324">
        <v>1</v>
      </c>
      <c r="D324" t="s">
        <v>349</v>
      </c>
      <c r="E324">
        <v>10</v>
      </c>
      <c r="F324">
        <v>1</v>
      </c>
      <c r="G324">
        <v>1</v>
      </c>
      <c r="H324" t="s">
        <v>821</v>
      </c>
      <c r="I324">
        <v>0</v>
      </c>
      <c r="J324">
        <v>0</v>
      </c>
      <c r="K324">
        <v>0</v>
      </c>
      <c r="L324">
        <v>1</v>
      </c>
      <c r="N324" t="str">
        <f t="shared" si="5"/>
        <v>SELECT 348, 116, 1, 'Bangladesz', 10, 1 UNION ALL</v>
      </c>
      <c r="X324">
        <v>334</v>
      </c>
      <c r="Y324">
        <v>294</v>
      </c>
      <c r="Z324">
        <v>4</v>
      </c>
      <c r="AA324">
        <v>1</v>
      </c>
    </row>
    <row r="325" spans="1:27">
      <c r="A325">
        <v>349</v>
      </c>
      <c r="B325">
        <v>117</v>
      </c>
      <c r="C325">
        <v>1</v>
      </c>
      <c r="D325" t="s">
        <v>351</v>
      </c>
      <c r="E325">
        <v>10</v>
      </c>
      <c r="F325">
        <v>1</v>
      </c>
      <c r="G325">
        <v>1</v>
      </c>
      <c r="H325" t="s">
        <v>822</v>
      </c>
      <c r="I325">
        <v>0</v>
      </c>
      <c r="J325">
        <v>0</v>
      </c>
      <c r="K325">
        <v>0</v>
      </c>
      <c r="L325">
        <v>1</v>
      </c>
      <c r="N325" t="str">
        <f t="shared" si="5"/>
        <v>SELECT 349, 117, 1, 'Sri Lanka', 10, 1 UNION ALL</v>
      </c>
      <c r="X325">
        <v>335</v>
      </c>
      <c r="Y325">
        <v>295</v>
      </c>
      <c r="Z325">
        <v>5</v>
      </c>
      <c r="AA325">
        <v>9</v>
      </c>
    </row>
    <row r="326" spans="1:27">
      <c r="A326">
        <v>350</v>
      </c>
      <c r="B326">
        <v>119</v>
      </c>
      <c r="C326">
        <v>1</v>
      </c>
      <c r="D326" t="s">
        <v>355</v>
      </c>
      <c r="E326">
        <v>10</v>
      </c>
      <c r="F326">
        <v>1</v>
      </c>
      <c r="G326">
        <v>1</v>
      </c>
      <c r="H326" t="s">
        <v>823</v>
      </c>
      <c r="I326">
        <v>0</v>
      </c>
      <c r="J326">
        <v>0</v>
      </c>
      <c r="K326">
        <v>0</v>
      </c>
      <c r="L326">
        <v>1</v>
      </c>
      <c r="N326" t="str">
        <f t="shared" si="5"/>
        <v>SELECT 350, 119, 1, 'Laos', 10, 1 UNION ALL</v>
      </c>
      <c r="X326">
        <v>336</v>
      </c>
      <c r="Y326">
        <v>295</v>
      </c>
      <c r="Z326">
        <v>6</v>
      </c>
      <c r="AA326">
        <v>10</v>
      </c>
    </row>
    <row r="327" spans="1:27">
      <c r="A327">
        <v>351</v>
      </c>
      <c r="B327">
        <v>120</v>
      </c>
      <c r="C327">
        <v>1</v>
      </c>
      <c r="D327" t="s">
        <v>357</v>
      </c>
      <c r="E327">
        <v>10</v>
      </c>
      <c r="F327">
        <v>1</v>
      </c>
      <c r="G327">
        <v>1</v>
      </c>
      <c r="H327" t="s">
        <v>824</v>
      </c>
      <c r="I327">
        <v>0</v>
      </c>
      <c r="J327">
        <v>0</v>
      </c>
      <c r="K327">
        <v>0</v>
      </c>
      <c r="L327">
        <v>1</v>
      </c>
      <c r="N327" t="str">
        <f t="shared" si="5"/>
        <v>SELECT 351, 120, 1, 'Kambodża', 10, 1 UNION ALL</v>
      </c>
      <c r="X327">
        <v>337</v>
      </c>
      <c r="Y327">
        <v>295</v>
      </c>
      <c r="Z327">
        <v>7</v>
      </c>
      <c r="AA327">
        <v>0</v>
      </c>
    </row>
    <row r="328" spans="1:27">
      <c r="A328">
        <v>352</v>
      </c>
      <c r="B328">
        <v>121</v>
      </c>
      <c r="C328">
        <v>1</v>
      </c>
      <c r="D328" t="s">
        <v>359</v>
      </c>
      <c r="E328">
        <v>10</v>
      </c>
      <c r="F328">
        <v>1</v>
      </c>
      <c r="G328">
        <v>1</v>
      </c>
      <c r="H328" t="s">
        <v>825</v>
      </c>
      <c r="I328">
        <v>0</v>
      </c>
      <c r="J328">
        <v>0</v>
      </c>
      <c r="K328">
        <v>0</v>
      </c>
      <c r="L328">
        <v>1</v>
      </c>
      <c r="N328" t="str">
        <f t="shared" si="5"/>
        <v>SELECT 352, 121, 1, 'Wietnam', 10, 1 UNION ALL</v>
      </c>
      <c r="X328">
        <v>338</v>
      </c>
      <c r="Y328">
        <v>295</v>
      </c>
      <c r="Z328">
        <v>8</v>
      </c>
      <c r="AA328">
        <v>1</v>
      </c>
    </row>
    <row r="329" spans="1:27">
      <c r="A329">
        <v>353</v>
      </c>
      <c r="B329">
        <v>122</v>
      </c>
      <c r="C329">
        <v>1</v>
      </c>
      <c r="D329" t="s">
        <v>361</v>
      </c>
      <c r="E329">
        <v>10</v>
      </c>
      <c r="F329">
        <v>1</v>
      </c>
      <c r="G329">
        <v>1</v>
      </c>
      <c r="H329" t="s">
        <v>826</v>
      </c>
      <c r="I329">
        <v>0</v>
      </c>
      <c r="J329">
        <v>0</v>
      </c>
      <c r="K329">
        <v>0</v>
      </c>
      <c r="L329">
        <v>1</v>
      </c>
      <c r="N329" t="str">
        <f t="shared" si="5"/>
        <v>SELECT 353, 122, 1, 'Myanmar', 10, 1 UNION ALL</v>
      </c>
      <c r="X329">
        <v>339</v>
      </c>
      <c r="Y329">
        <v>296</v>
      </c>
      <c r="Z329">
        <v>1</v>
      </c>
      <c r="AA329">
        <v>2</v>
      </c>
    </row>
    <row r="330" spans="1:27">
      <c r="A330">
        <v>354</v>
      </c>
      <c r="B330">
        <v>122</v>
      </c>
      <c r="C330">
        <v>1</v>
      </c>
      <c r="D330" t="s">
        <v>827</v>
      </c>
      <c r="E330">
        <v>6</v>
      </c>
      <c r="F330">
        <v>1</v>
      </c>
      <c r="G330">
        <v>1</v>
      </c>
      <c r="H330" t="s">
        <v>828</v>
      </c>
      <c r="I330">
        <v>0</v>
      </c>
      <c r="J330">
        <v>0</v>
      </c>
      <c r="K330">
        <v>0</v>
      </c>
      <c r="L330">
        <v>1</v>
      </c>
      <c r="N330" t="str">
        <f t="shared" si="5"/>
        <v>SELECT 354, 122, 1, 'Birma', 6, 1 UNION ALL</v>
      </c>
      <c r="X330">
        <v>340</v>
      </c>
      <c r="Y330">
        <v>296</v>
      </c>
      <c r="Z330">
        <v>2</v>
      </c>
      <c r="AA330">
        <v>4</v>
      </c>
    </row>
    <row r="331" spans="1:27">
      <c r="A331">
        <v>355</v>
      </c>
      <c r="B331">
        <v>123</v>
      </c>
      <c r="C331">
        <v>1</v>
      </c>
      <c r="D331" t="s">
        <v>363</v>
      </c>
      <c r="E331">
        <v>10</v>
      </c>
      <c r="F331">
        <v>1</v>
      </c>
      <c r="G331">
        <v>1</v>
      </c>
      <c r="H331" t="s">
        <v>829</v>
      </c>
      <c r="I331">
        <v>0</v>
      </c>
      <c r="J331">
        <v>0</v>
      </c>
      <c r="K331">
        <v>0</v>
      </c>
      <c r="L331">
        <v>1</v>
      </c>
      <c r="N331" t="str">
        <f t="shared" si="5"/>
        <v>SELECT 355, 123, 1, 'Korea Południowa', 10, 1 UNION ALL</v>
      </c>
      <c r="X331">
        <v>341</v>
      </c>
      <c r="Y331">
        <v>296</v>
      </c>
      <c r="Z331">
        <v>3</v>
      </c>
      <c r="AA331">
        <v>0</v>
      </c>
    </row>
    <row r="332" spans="1:27">
      <c r="A332">
        <v>356</v>
      </c>
      <c r="B332">
        <v>131</v>
      </c>
      <c r="C332">
        <v>1</v>
      </c>
      <c r="D332" t="s">
        <v>377</v>
      </c>
      <c r="E332">
        <v>10</v>
      </c>
      <c r="F332">
        <v>1</v>
      </c>
      <c r="G332">
        <v>1</v>
      </c>
      <c r="H332" t="s">
        <v>830</v>
      </c>
      <c r="I332">
        <v>0</v>
      </c>
      <c r="J332">
        <v>0</v>
      </c>
      <c r="K332">
        <v>0</v>
      </c>
      <c r="L332">
        <v>1</v>
      </c>
      <c r="N332" t="str">
        <f t="shared" si="5"/>
        <v>SELECT 356, 131, 1, 'Singapur', 10, 1 UNION ALL</v>
      </c>
      <c r="X332">
        <v>342</v>
      </c>
      <c r="Y332">
        <v>296</v>
      </c>
      <c r="Z332">
        <v>4</v>
      </c>
      <c r="AA332">
        <v>1</v>
      </c>
    </row>
    <row r="333" spans="1:27">
      <c r="A333">
        <v>357</v>
      </c>
      <c r="B333">
        <v>130</v>
      </c>
      <c r="C333">
        <v>1</v>
      </c>
      <c r="D333" t="s">
        <v>375</v>
      </c>
      <c r="E333">
        <v>10</v>
      </c>
      <c r="F333">
        <v>1</v>
      </c>
      <c r="G333">
        <v>1</v>
      </c>
      <c r="H333" t="s">
        <v>831</v>
      </c>
      <c r="I333">
        <v>0</v>
      </c>
      <c r="J333">
        <v>0</v>
      </c>
      <c r="K333">
        <v>0</v>
      </c>
      <c r="L333">
        <v>1</v>
      </c>
      <c r="N333" t="str">
        <f t="shared" si="5"/>
        <v>SELECT 357, 130, 1, 'Hongkong', 10, 1 UNION ALL</v>
      </c>
      <c r="X333">
        <v>343</v>
      </c>
      <c r="Y333">
        <v>297</v>
      </c>
      <c r="Z333">
        <v>5</v>
      </c>
      <c r="AA333">
        <v>9</v>
      </c>
    </row>
    <row r="334" spans="1:27">
      <c r="A334">
        <v>358</v>
      </c>
      <c r="B334">
        <v>129</v>
      </c>
      <c r="C334">
        <v>1</v>
      </c>
      <c r="D334" t="s">
        <v>373</v>
      </c>
      <c r="E334">
        <v>10</v>
      </c>
      <c r="F334">
        <v>1</v>
      </c>
      <c r="G334">
        <v>1</v>
      </c>
      <c r="H334" t="s">
        <v>832</v>
      </c>
      <c r="I334">
        <v>0</v>
      </c>
      <c r="J334">
        <v>0</v>
      </c>
      <c r="K334">
        <v>0</v>
      </c>
      <c r="L334">
        <v>1</v>
      </c>
      <c r="N334" t="str">
        <f t="shared" si="5"/>
        <v>SELECT 358, 129, 1, 'Tajwan', 10, 1 UNION ALL</v>
      </c>
      <c r="X334">
        <v>344</v>
      </c>
      <c r="Y334">
        <v>297</v>
      </c>
      <c r="Z334">
        <v>6</v>
      </c>
      <c r="AA334">
        <v>10</v>
      </c>
    </row>
    <row r="335" spans="1:27">
      <c r="A335">
        <v>359</v>
      </c>
      <c r="B335">
        <v>128</v>
      </c>
      <c r="C335">
        <v>1</v>
      </c>
      <c r="D335" t="s">
        <v>371</v>
      </c>
      <c r="E335">
        <v>10</v>
      </c>
      <c r="F335">
        <v>1</v>
      </c>
      <c r="G335">
        <v>1</v>
      </c>
      <c r="H335" t="s">
        <v>833</v>
      </c>
      <c r="I335">
        <v>0</v>
      </c>
      <c r="J335">
        <v>0</v>
      </c>
      <c r="K335">
        <v>0</v>
      </c>
      <c r="L335">
        <v>1</v>
      </c>
      <c r="N335" t="str">
        <f t="shared" si="5"/>
        <v>SELECT 359, 128, 1, 'Filipiny', 10, 1 UNION ALL</v>
      </c>
      <c r="X335">
        <v>345</v>
      </c>
      <c r="Y335">
        <v>297</v>
      </c>
      <c r="Z335">
        <v>7</v>
      </c>
      <c r="AA335">
        <v>0</v>
      </c>
    </row>
    <row r="336" spans="1:27">
      <c r="A336">
        <v>360</v>
      </c>
      <c r="B336">
        <v>126</v>
      </c>
      <c r="C336">
        <v>1</v>
      </c>
      <c r="D336" t="s">
        <v>369</v>
      </c>
      <c r="E336">
        <v>10</v>
      </c>
      <c r="F336">
        <v>1</v>
      </c>
      <c r="G336">
        <v>1</v>
      </c>
      <c r="H336" t="s">
        <v>834</v>
      </c>
      <c r="I336">
        <v>0</v>
      </c>
      <c r="J336">
        <v>0</v>
      </c>
      <c r="K336">
        <v>0</v>
      </c>
      <c r="L336">
        <v>1</v>
      </c>
      <c r="N336" t="str">
        <f t="shared" si="5"/>
        <v>SELECT 360, 126, 1, 'Indonezja', 10, 1 UNION ALL</v>
      </c>
      <c r="X336">
        <v>346</v>
      </c>
      <c r="Y336">
        <v>297</v>
      </c>
      <c r="Z336">
        <v>8</v>
      </c>
      <c r="AA336">
        <v>1</v>
      </c>
    </row>
    <row r="337" spans="1:27">
      <c r="A337">
        <v>361</v>
      </c>
      <c r="B337">
        <v>125</v>
      </c>
      <c r="C337">
        <v>1</v>
      </c>
      <c r="D337" t="s">
        <v>367</v>
      </c>
      <c r="E337">
        <v>10</v>
      </c>
      <c r="F337">
        <v>1</v>
      </c>
      <c r="G337">
        <v>1</v>
      </c>
      <c r="H337" t="s">
        <v>835</v>
      </c>
      <c r="I337">
        <v>0</v>
      </c>
      <c r="J337">
        <v>0</v>
      </c>
      <c r="K337">
        <v>0</v>
      </c>
      <c r="L337">
        <v>1</v>
      </c>
      <c r="N337" t="str">
        <f t="shared" si="5"/>
        <v>SELECT 361, 125, 1, 'Malezja', 10, 1 UNION ALL</v>
      </c>
      <c r="X337">
        <v>347</v>
      </c>
      <c r="Y337">
        <v>298</v>
      </c>
      <c r="Z337">
        <v>1</v>
      </c>
      <c r="AA337">
        <v>2</v>
      </c>
    </row>
    <row r="338" spans="1:27">
      <c r="A338">
        <v>362</v>
      </c>
      <c r="B338">
        <v>124</v>
      </c>
      <c r="C338">
        <v>1</v>
      </c>
      <c r="D338" t="s">
        <v>365</v>
      </c>
      <c r="E338">
        <v>10</v>
      </c>
      <c r="F338">
        <v>1</v>
      </c>
      <c r="G338">
        <v>1</v>
      </c>
      <c r="H338" t="s">
        <v>836</v>
      </c>
      <c r="I338">
        <v>0</v>
      </c>
      <c r="J338">
        <v>0</v>
      </c>
      <c r="K338">
        <v>0</v>
      </c>
      <c r="L338">
        <v>1</v>
      </c>
      <c r="N338" t="str">
        <f t="shared" si="5"/>
        <v>SELECT 362, 124, 1, 'Korea Północna', 10, 1 UNION ALL</v>
      </c>
      <c r="X338">
        <v>348</v>
      </c>
      <c r="Y338">
        <v>298</v>
      </c>
      <c r="Z338">
        <v>2</v>
      </c>
      <c r="AA338">
        <v>4</v>
      </c>
    </row>
    <row r="339" spans="1:27">
      <c r="A339">
        <v>363</v>
      </c>
      <c r="B339">
        <v>19</v>
      </c>
      <c r="C339">
        <v>2</v>
      </c>
      <c r="D339" t="s">
        <v>837</v>
      </c>
      <c r="E339">
        <v>10</v>
      </c>
      <c r="F339">
        <v>1</v>
      </c>
      <c r="G339">
        <v>1</v>
      </c>
      <c r="H339" t="s">
        <v>838</v>
      </c>
      <c r="I339">
        <v>0</v>
      </c>
      <c r="J339">
        <v>0</v>
      </c>
      <c r="K339">
        <v>0</v>
      </c>
      <c r="L339">
        <v>1</v>
      </c>
      <c r="N339" t="str">
        <f t="shared" si="5"/>
        <v>SELECT 363, 19, 2, 'Bosnia', 10, 1 UNION ALL</v>
      </c>
      <c r="X339">
        <v>349</v>
      </c>
      <c r="Y339">
        <v>298</v>
      </c>
      <c r="Z339">
        <v>3</v>
      </c>
      <c r="AA339">
        <v>0</v>
      </c>
    </row>
    <row r="340" spans="1:27">
      <c r="A340">
        <v>364</v>
      </c>
      <c r="B340">
        <v>31</v>
      </c>
      <c r="C340">
        <v>2</v>
      </c>
      <c r="D340" t="s">
        <v>839</v>
      </c>
      <c r="E340">
        <v>10</v>
      </c>
      <c r="F340">
        <v>1</v>
      </c>
      <c r="G340">
        <v>1</v>
      </c>
      <c r="H340" t="s">
        <v>840</v>
      </c>
      <c r="I340">
        <v>0</v>
      </c>
      <c r="J340">
        <v>0</v>
      </c>
      <c r="K340">
        <v>0</v>
      </c>
      <c r="L340">
        <v>1</v>
      </c>
      <c r="N340" t="str">
        <f t="shared" si="5"/>
        <v>SELECT 364, 31, 2, 'Ireland', 10, 1 UNION ALL</v>
      </c>
      <c r="X340">
        <v>350</v>
      </c>
      <c r="Y340">
        <v>298</v>
      </c>
      <c r="Z340">
        <v>4</v>
      </c>
      <c r="AA340">
        <v>1</v>
      </c>
    </row>
    <row r="341" spans="1:27">
      <c r="A341">
        <v>365</v>
      </c>
      <c r="B341">
        <v>54</v>
      </c>
      <c r="C341">
        <v>2</v>
      </c>
      <c r="D341" t="s">
        <v>841</v>
      </c>
      <c r="E341">
        <v>10</v>
      </c>
      <c r="F341">
        <v>1</v>
      </c>
      <c r="G341">
        <v>1</v>
      </c>
      <c r="H341" t="s">
        <v>842</v>
      </c>
      <c r="I341">
        <v>0</v>
      </c>
      <c r="J341">
        <v>0</v>
      </c>
      <c r="K341">
        <v>0</v>
      </c>
      <c r="L341">
        <v>1</v>
      </c>
      <c r="N341" t="str">
        <f t="shared" si="5"/>
        <v>SELECT 365, 54, 2, 'UK', 10, 1 UNION ALL</v>
      </c>
      <c r="X341">
        <v>351</v>
      </c>
      <c r="Y341">
        <v>299</v>
      </c>
      <c r="Z341">
        <v>5</v>
      </c>
      <c r="AA341">
        <v>9</v>
      </c>
    </row>
    <row r="342" spans="1:27">
      <c r="A342">
        <v>366</v>
      </c>
      <c r="B342">
        <v>55</v>
      </c>
      <c r="C342">
        <v>2</v>
      </c>
      <c r="D342" t="s">
        <v>843</v>
      </c>
      <c r="E342">
        <v>10</v>
      </c>
      <c r="F342">
        <v>1</v>
      </c>
      <c r="G342">
        <v>1</v>
      </c>
      <c r="H342" t="s">
        <v>844</v>
      </c>
      <c r="I342">
        <v>0</v>
      </c>
      <c r="J342">
        <v>0</v>
      </c>
      <c r="K342">
        <v>0</v>
      </c>
      <c r="L342">
        <v>1</v>
      </c>
      <c r="N342" t="str">
        <f t="shared" si="5"/>
        <v>SELECT 366, 55, 2, 'Vatican', 10, 1 UNION ALL</v>
      </c>
      <c r="X342">
        <v>352</v>
      </c>
      <c r="Y342">
        <v>299</v>
      </c>
      <c r="Z342">
        <v>6</v>
      </c>
      <c r="AA342">
        <v>10</v>
      </c>
    </row>
    <row r="343" spans="1:27">
      <c r="A343">
        <v>367</v>
      </c>
      <c r="B343">
        <v>103</v>
      </c>
      <c r="C343">
        <v>2</v>
      </c>
      <c r="D343" t="s">
        <v>845</v>
      </c>
      <c r="E343">
        <v>10</v>
      </c>
      <c r="F343">
        <v>1</v>
      </c>
      <c r="G343">
        <v>1</v>
      </c>
      <c r="H343" t="s">
        <v>846</v>
      </c>
      <c r="I343">
        <v>0</v>
      </c>
      <c r="J343">
        <v>0</v>
      </c>
      <c r="K343">
        <v>0</v>
      </c>
      <c r="L343">
        <v>1</v>
      </c>
      <c r="N343" t="str">
        <f t="shared" si="5"/>
        <v>SELECT 367, 103, 2, 'Bahrain', 10, 1 UNION ALL</v>
      </c>
      <c r="X343">
        <v>353</v>
      </c>
      <c r="Y343">
        <v>299</v>
      </c>
      <c r="Z343">
        <v>7</v>
      </c>
      <c r="AA343">
        <v>0</v>
      </c>
    </row>
    <row r="344" spans="1:27">
      <c r="A344">
        <v>368</v>
      </c>
      <c r="B344">
        <v>104</v>
      </c>
      <c r="C344">
        <v>2</v>
      </c>
      <c r="D344" t="s">
        <v>847</v>
      </c>
      <c r="E344">
        <v>10</v>
      </c>
      <c r="F344">
        <v>1</v>
      </c>
      <c r="G344">
        <v>1</v>
      </c>
      <c r="H344" t="s">
        <v>848</v>
      </c>
      <c r="I344">
        <v>0</v>
      </c>
      <c r="J344">
        <v>0</v>
      </c>
      <c r="K344">
        <v>0</v>
      </c>
      <c r="L344">
        <v>1</v>
      </c>
      <c r="N344" t="str">
        <f t="shared" si="5"/>
        <v>SELECT 368, 104, 2, 'Qatar', 10, 1 UNION ALL</v>
      </c>
      <c r="X344">
        <v>354</v>
      </c>
      <c r="Y344">
        <v>299</v>
      </c>
      <c r="Z344">
        <v>8</v>
      </c>
      <c r="AA344">
        <v>1</v>
      </c>
    </row>
    <row r="345" spans="1:27">
      <c r="A345">
        <v>369</v>
      </c>
      <c r="B345">
        <v>105</v>
      </c>
      <c r="C345">
        <v>2</v>
      </c>
      <c r="D345" t="s">
        <v>849</v>
      </c>
      <c r="E345">
        <v>10</v>
      </c>
      <c r="F345">
        <v>1</v>
      </c>
      <c r="G345">
        <v>1</v>
      </c>
      <c r="H345" t="s">
        <v>850</v>
      </c>
      <c r="I345">
        <v>0</v>
      </c>
      <c r="J345">
        <v>0</v>
      </c>
      <c r="K345">
        <v>0</v>
      </c>
      <c r="L345">
        <v>1</v>
      </c>
      <c r="N345" t="str">
        <f t="shared" si="5"/>
        <v>SELECT 369, 105, 2, 'Iraq', 10, 1 UNION ALL</v>
      </c>
      <c r="X345">
        <v>355</v>
      </c>
      <c r="Y345">
        <v>300</v>
      </c>
      <c r="Z345">
        <v>1</v>
      </c>
      <c r="AA345">
        <v>1</v>
      </c>
    </row>
    <row r="346" spans="1:27">
      <c r="A346">
        <v>370</v>
      </c>
      <c r="B346">
        <v>106</v>
      </c>
      <c r="C346">
        <v>2</v>
      </c>
      <c r="D346" t="s">
        <v>331</v>
      </c>
      <c r="E346">
        <v>10</v>
      </c>
      <c r="F346">
        <v>1</v>
      </c>
      <c r="G346">
        <v>1</v>
      </c>
      <c r="H346" t="s">
        <v>851</v>
      </c>
      <c r="I346">
        <v>0</v>
      </c>
      <c r="J346">
        <v>0</v>
      </c>
      <c r="K346">
        <v>0</v>
      </c>
      <c r="L346">
        <v>1</v>
      </c>
      <c r="N346" t="str">
        <f t="shared" si="5"/>
        <v>SELECT 370, 106, 2, 'Iran', 10, 1 UNION ALL</v>
      </c>
      <c r="X346">
        <v>356</v>
      </c>
      <c r="Y346">
        <v>300</v>
      </c>
      <c r="Z346">
        <v>2</v>
      </c>
      <c r="AA346">
        <v>4</v>
      </c>
    </row>
    <row r="347" spans="1:27">
      <c r="A347">
        <v>371</v>
      </c>
      <c r="B347">
        <v>107</v>
      </c>
      <c r="C347">
        <v>2</v>
      </c>
      <c r="D347" t="s">
        <v>852</v>
      </c>
      <c r="E347">
        <v>10</v>
      </c>
      <c r="F347">
        <v>1</v>
      </c>
      <c r="G347">
        <v>1</v>
      </c>
      <c r="H347" t="s">
        <v>853</v>
      </c>
      <c r="I347">
        <v>0</v>
      </c>
      <c r="J347">
        <v>0</v>
      </c>
      <c r="K347">
        <v>0</v>
      </c>
      <c r="L347">
        <v>1</v>
      </c>
      <c r="N347" t="str">
        <f t="shared" si="5"/>
        <v>SELECT 371, 107, 2, 'Afghanistan', 10, 1 UNION ALL</v>
      </c>
      <c r="X347">
        <v>357</v>
      </c>
      <c r="Y347">
        <v>300</v>
      </c>
      <c r="Z347">
        <v>3</v>
      </c>
      <c r="AA347">
        <v>0</v>
      </c>
    </row>
    <row r="348" spans="1:27">
      <c r="A348">
        <v>372</v>
      </c>
      <c r="B348">
        <v>109</v>
      </c>
      <c r="C348">
        <v>2</v>
      </c>
      <c r="D348" t="s">
        <v>335</v>
      </c>
      <c r="E348">
        <v>10</v>
      </c>
      <c r="F348">
        <v>1</v>
      </c>
      <c r="G348">
        <v>1</v>
      </c>
      <c r="H348" t="s">
        <v>854</v>
      </c>
      <c r="I348">
        <v>0</v>
      </c>
      <c r="J348">
        <v>0</v>
      </c>
      <c r="K348">
        <v>0</v>
      </c>
      <c r="L348">
        <v>1</v>
      </c>
      <c r="N348" t="str">
        <f t="shared" si="5"/>
        <v>SELECT 372, 109, 2, 'Pakistan', 10, 1 UNION ALL</v>
      </c>
      <c r="X348">
        <v>358</v>
      </c>
      <c r="Y348">
        <v>300</v>
      </c>
      <c r="Z348">
        <v>4</v>
      </c>
      <c r="AA348">
        <v>1</v>
      </c>
    </row>
    <row r="349" spans="1:27">
      <c r="A349">
        <v>373</v>
      </c>
      <c r="B349">
        <v>110</v>
      </c>
      <c r="C349">
        <v>2</v>
      </c>
      <c r="D349" t="s">
        <v>337</v>
      </c>
      <c r="E349">
        <v>10</v>
      </c>
      <c r="F349">
        <v>1</v>
      </c>
      <c r="G349">
        <v>1</v>
      </c>
      <c r="H349" t="s">
        <v>855</v>
      </c>
      <c r="I349">
        <v>0</v>
      </c>
      <c r="J349">
        <v>0</v>
      </c>
      <c r="K349">
        <v>0</v>
      </c>
      <c r="L349">
        <v>1</v>
      </c>
      <c r="N349" t="str">
        <f t="shared" si="5"/>
        <v>SELECT 373, 110, 2, 'Uzbekistan', 10, 1 UNION ALL</v>
      </c>
      <c r="X349">
        <v>359</v>
      </c>
      <c r="Y349">
        <v>301</v>
      </c>
      <c r="Z349">
        <v>5</v>
      </c>
      <c r="AA349">
        <v>9</v>
      </c>
    </row>
    <row r="350" spans="1:27">
      <c r="A350">
        <v>374</v>
      </c>
      <c r="B350">
        <v>111</v>
      </c>
      <c r="C350">
        <v>2</v>
      </c>
      <c r="D350" t="s">
        <v>339</v>
      </c>
      <c r="E350">
        <v>10</v>
      </c>
      <c r="F350">
        <v>1</v>
      </c>
      <c r="G350">
        <v>1</v>
      </c>
      <c r="H350" t="s">
        <v>856</v>
      </c>
      <c r="I350">
        <v>0</v>
      </c>
      <c r="J350">
        <v>0</v>
      </c>
      <c r="K350">
        <v>0</v>
      </c>
      <c r="L350">
        <v>1</v>
      </c>
      <c r="N350" t="str">
        <f t="shared" si="5"/>
        <v>SELECT 374, 111, 2, 'Turkmenistan', 10, 1 UNION ALL</v>
      </c>
      <c r="X350">
        <v>360</v>
      </c>
      <c r="Y350">
        <v>301</v>
      </c>
      <c r="Z350">
        <v>6</v>
      </c>
      <c r="AA350">
        <v>10</v>
      </c>
    </row>
    <row r="351" spans="1:27">
      <c r="A351">
        <v>375</v>
      </c>
      <c r="B351">
        <v>112</v>
      </c>
      <c r="C351">
        <v>2</v>
      </c>
      <c r="D351" t="s">
        <v>857</v>
      </c>
      <c r="E351">
        <v>10</v>
      </c>
      <c r="F351">
        <v>1</v>
      </c>
      <c r="G351">
        <v>1</v>
      </c>
      <c r="H351" t="s">
        <v>858</v>
      </c>
      <c r="I351">
        <v>0</v>
      </c>
      <c r="J351">
        <v>0</v>
      </c>
      <c r="K351">
        <v>0</v>
      </c>
      <c r="L351">
        <v>1</v>
      </c>
      <c r="N351" t="str">
        <f t="shared" si="5"/>
        <v>SELECT 375, 112, 2, 'Tajikistan', 10, 1 UNION ALL</v>
      </c>
      <c r="X351">
        <v>361</v>
      </c>
      <c r="Y351">
        <v>301</v>
      </c>
      <c r="Z351">
        <v>7</v>
      </c>
      <c r="AA351">
        <v>0</v>
      </c>
    </row>
    <row r="352" spans="1:27">
      <c r="A352">
        <v>376</v>
      </c>
      <c r="B352">
        <v>113</v>
      </c>
      <c r="C352">
        <v>2</v>
      </c>
      <c r="D352" t="s">
        <v>859</v>
      </c>
      <c r="E352">
        <v>10</v>
      </c>
      <c r="F352">
        <v>1</v>
      </c>
      <c r="G352">
        <v>1</v>
      </c>
      <c r="H352" t="s">
        <v>860</v>
      </c>
      <c r="I352">
        <v>0</v>
      </c>
      <c r="J352">
        <v>0</v>
      </c>
      <c r="K352">
        <v>0</v>
      </c>
      <c r="L352">
        <v>1</v>
      </c>
      <c r="N352" t="str">
        <f t="shared" si="5"/>
        <v>SELECT 376, 113, 2, 'Kyrgyzstan', 10, 1 UNION ALL</v>
      </c>
      <c r="X352">
        <v>362</v>
      </c>
      <c r="Y352">
        <v>301</v>
      </c>
      <c r="Z352">
        <v>8</v>
      </c>
      <c r="AA352">
        <v>1</v>
      </c>
    </row>
    <row r="353" spans="1:27">
      <c r="A353">
        <v>377</v>
      </c>
      <c r="B353">
        <v>114</v>
      </c>
      <c r="C353">
        <v>2</v>
      </c>
      <c r="D353" t="s">
        <v>345</v>
      </c>
      <c r="E353">
        <v>10</v>
      </c>
      <c r="F353">
        <v>1</v>
      </c>
      <c r="G353">
        <v>1</v>
      </c>
      <c r="H353" t="s">
        <v>861</v>
      </c>
      <c r="I353">
        <v>0</v>
      </c>
      <c r="J353">
        <v>0</v>
      </c>
      <c r="K353">
        <v>0</v>
      </c>
      <c r="L353">
        <v>1</v>
      </c>
      <c r="N353" t="str">
        <f t="shared" si="5"/>
        <v>SELECT 377, 114, 2, 'Nepal', 10, 1 UNION ALL</v>
      </c>
      <c r="X353">
        <v>363</v>
      </c>
      <c r="Y353">
        <v>302</v>
      </c>
      <c r="Z353">
        <v>1</v>
      </c>
      <c r="AA353">
        <v>1</v>
      </c>
    </row>
    <row r="354" spans="1:27">
      <c r="A354">
        <v>378</v>
      </c>
      <c r="B354">
        <v>115</v>
      </c>
      <c r="C354">
        <v>2</v>
      </c>
      <c r="D354" t="s">
        <v>347</v>
      </c>
      <c r="E354">
        <v>10</v>
      </c>
      <c r="F354">
        <v>1</v>
      </c>
      <c r="G354">
        <v>1</v>
      </c>
      <c r="H354" t="s">
        <v>862</v>
      </c>
      <c r="I354">
        <v>0</v>
      </c>
      <c r="J354">
        <v>0</v>
      </c>
      <c r="K354">
        <v>0</v>
      </c>
      <c r="L354">
        <v>1</v>
      </c>
      <c r="N354" t="str">
        <f t="shared" si="5"/>
        <v>SELECT 378, 115, 2, 'Bhutan', 10, 1 UNION ALL</v>
      </c>
      <c r="X354">
        <v>364</v>
      </c>
      <c r="Y354">
        <v>302</v>
      </c>
      <c r="Z354">
        <v>2</v>
      </c>
      <c r="AA354">
        <v>4</v>
      </c>
    </row>
    <row r="355" spans="1:27">
      <c r="A355">
        <v>379</v>
      </c>
      <c r="B355">
        <v>116</v>
      </c>
      <c r="C355">
        <v>2</v>
      </c>
      <c r="D355" t="s">
        <v>863</v>
      </c>
      <c r="E355">
        <v>10</v>
      </c>
      <c r="F355">
        <v>1</v>
      </c>
      <c r="G355">
        <v>1</v>
      </c>
      <c r="H355" t="s">
        <v>864</v>
      </c>
      <c r="I355">
        <v>0</v>
      </c>
      <c r="J355">
        <v>0</v>
      </c>
      <c r="K355">
        <v>0</v>
      </c>
      <c r="L355">
        <v>1</v>
      </c>
      <c r="N355" t="str">
        <f t="shared" si="5"/>
        <v>SELECT 379, 116, 2, 'Bangladesh', 10, 1 UNION ALL</v>
      </c>
      <c r="X355">
        <v>365</v>
      </c>
      <c r="Y355">
        <v>302</v>
      </c>
      <c r="Z355">
        <v>3</v>
      </c>
      <c r="AA355">
        <v>0</v>
      </c>
    </row>
    <row r="356" spans="1:27">
      <c r="A356">
        <v>380</v>
      </c>
      <c r="B356">
        <v>117</v>
      </c>
      <c r="C356">
        <v>2</v>
      </c>
      <c r="D356" t="s">
        <v>351</v>
      </c>
      <c r="E356">
        <v>10</v>
      </c>
      <c r="F356">
        <v>1</v>
      </c>
      <c r="G356">
        <v>1</v>
      </c>
      <c r="H356" t="s">
        <v>865</v>
      </c>
      <c r="I356">
        <v>0</v>
      </c>
      <c r="J356">
        <v>0</v>
      </c>
      <c r="K356">
        <v>0</v>
      </c>
      <c r="L356">
        <v>1</v>
      </c>
      <c r="N356" t="str">
        <f t="shared" si="5"/>
        <v>SELECT 380, 117, 2, 'Sri Lanka', 10, 1 UNION ALL</v>
      </c>
      <c r="X356">
        <v>366</v>
      </c>
      <c r="Y356">
        <v>302</v>
      </c>
      <c r="Z356">
        <v>4</v>
      </c>
      <c r="AA356">
        <v>1</v>
      </c>
    </row>
    <row r="357" spans="1:27">
      <c r="A357">
        <v>381</v>
      </c>
      <c r="B357">
        <v>118</v>
      </c>
      <c r="C357">
        <v>2</v>
      </c>
      <c r="D357" t="s">
        <v>353</v>
      </c>
      <c r="E357">
        <v>10</v>
      </c>
      <c r="F357">
        <v>1</v>
      </c>
      <c r="G357">
        <v>1</v>
      </c>
      <c r="H357" t="s">
        <v>866</v>
      </c>
      <c r="I357">
        <v>0</v>
      </c>
      <c r="J357">
        <v>0</v>
      </c>
      <c r="K357">
        <v>0</v>
      </c>
      <c r="L357">
        <v>1</v>
      </c>
      <c r="N357" t="str">
        <f t="shared" si="5"/>
        <v>SELECT 381, 118, 2, 'Mongolia', 10, 1 UNION ALL</v>
      </c>
      <c r="X357">
        <v>367</v>
      </c>
      <c r="Y357">
        <v>303</v>
      </c>
      <c r="Z357">
        <v>5</v>
      </c>
      <c r="AA357">
        <v>9</v>
      </c>
    </row>
    <row r="358" spans="1:27">
      <c r="A358">
        <v>382</v>
      </c>
      <c r="B358">
        <v>119</v>
      </c>
      <c r="C358">
        <v>2</v>
      </c>
      <c r="D358" t="s">
        <v>355</v>
      </c>
      <c r="E358">
        <v>10</v>
      </c>
      <c r="F358">
        <v>1</v>
      </c>
      <c r="G358">
        <v>1</v>
      </c>
      <c r="H358" t="s">
        <v>867</v>
      </c>
      <c r="I358">
        <v>0</v>
      </c>
      <c r="J358">
        <v>0</v>
      </c>
      <c r="K358">
        <v>0</v>
      </c>
      <c r="L358">
        <v>1</v>
      </c>
      <c r="N358" t="str">
        <f t="shared" si="5"/>
        <v>SELECT 382, 119, 2, 'Laos', 10, 1 UNION ALL</v>
      </c>
      <c r="X358">
        <v>368</v>
      </c>
      <c r="Y358">
        <v>303</v>
      </c>
      <c r="Z358">
        <v>6</v>
      </c>
      <c r="AA358">
        <v>10</v>
      </c>
    </row>
    <row r="359" spans="1:27">
      <c r="A359">
        <v>383</v>
      </c>
      <c r="B359">
        <v>120</v>
      </c>
      <c r="C359">
        <v>2</v>
      </c>
      <c r="D359" t="s">
        <v>868</v>
      </c>
      <c r="E359">
        <v>10</v>
      </c>
      <c r="F359">
        <v>1</v>
      </c>
      <c r="G359">
        <v>1</v>
      </c>
      <c r="H359" t="s">
        <v>869</v>
      </c>
      <c r="I359">
        <v>0</v>
      </c>
      <c r="J359">
        <v>0</v>
      </c>
      <c r="K359">
        <v>0</v>
      </c>
      <c r="L359">
        <v>1</v>
      </c>
      <c r="N359" t="str">
        <f t="shared" si="5"/>
        <v>SELECT 383, 120, 2, 'Cambodia', 10, 1 UNION ALL</v>
      </c>
      <c r="X359">
        <v>369</v>
      </c>
      <c r="Y359">
        <v>303</v>
      </c>
      <c r="Z359">
        <v>7</v>
      </c>
      <c r="AA359">
        <v>0</v>
      </c>
    </row>
    <row r="360" spans="1:27">
      <c r="A360">
        <v>384</v>
      </c>
      <c r="B360">
        <v>121</v>
      </c>
      <c r="C360">
        <v>2</v>
      </c>
      <c r="D360" t="s">
        <v>870</v>
      </c>
      <c r="E360">
        <v>10</v>
      </c>
      <c r="F360">
        <v>1</v>
      </c>
      <c r="G360">
        <v>1</v>
      </c>
      <c r="H360" t="s">
        <v>871</v>
      </c>
      <c r="I360">
        <v>0</v>
      </c>
      <c r="J360">
        <v>0</v>
      </c>
      <c r="K360">
        <v>0</v>
      </c>
      <c r="L360">
        <v>1</v>
      </c>
      <c r="N360" t="str">
        <f t="shared" si="5"/>
        <v>SELECT 384, 121, 2, 'Vietnam', 10, 1 UNION ALL</v>
      </c>
      <c r="X360">
        <v>370</v>
      </c>
      <c r="Y360">
        <v>303</v>
      </c>
      <c r="Z360">
        <v>8</v>
      </c>
      <c r="AA360">
        <v>1</v>
      </c>
    </row>
    <row r="361" spans="1:27">
      <c r="A361">
        <v>385</v>
      </c>
      <c r="B361">
        <v>122</v>
      </c>
      <c r="C361">
        <v>2</v>
      </c>
      <c r="D361" t="s">
        <v>361</v>
      </c>
      <c r="E361">
        <v>10</v>
      </c>
      <c r="F361">
        <v>1</v>
      </c>
      <c r="G361">
        <v>1</v>
      </c>
      <c r="H361" t="s">
        <v>872</v>
      </c>
      <c r="I361">
        <v>0</v>
      </c>
      <c r="J361">
        <v>0</v>
      </c>
      <c r="K361">
        <v>0</v>
      </c>
      <c r="L361">
        <v>1</v>
      </c>
      <c r="N361" t="str">
        <f t="shared" si="5"/>
        <v>SELECT 385, 122, 2, 'Myanmar', 10, 1 UNION ALL</v>
      </c>
      <c r="X361">
        <v>371</v>
      </c>
      <c r="Y361">
        <v>304</v>
      </c>
      <c r="Z361">
        <v>1</v>
      </c>
      <c r="AA361">
        <v>1</v>
      </c>
    </row>
    <row r="362" spans="1:27">
      <c r="A362">
        <v>386</v>
      </c>
      <c r="B362">
        <v>122</v>
      </c>
      <c r="C362">
        <v>2</v>
      </c>
      <c r="D362" t="s">
        <v>873</v>
      </c>
      <c r="E362">
        <v>6</v>
      </c>
      <c r="F362">
        <v>1</v>
      </c>
      <c r="G362">
        <v>1</v>
      </c>
      <c r="H362" t="s">
        <v>874</v>
      </c>
      <c r="I362">
        <v>0</v>
      </c>
      <c r="J362">
        <v>0</v>
      </c>
      <c r="K362">
        <v>0</v>
      </c>
      <c r="L362">
        <v>1</v>
      </c>
      <c r="N362" t="str">
        <f t="shared" si="5"/>
        <v>SELECT 386, 122, 2, 'Burma', 6, 1 UNION ALL</v>
      </c>
      <c r="X362">
        <v>372</v>
      </c>
      <c r="Y362">
        <v>304</v>
      </c>
      <c r="Z362">
        <v>2</v>
      </c>
      <c r="AA362">
        <v>5</v>
      </c>
    </row>
    <row r="363" spans="1:27">
      <c r="A363">
        <v>387</v>
      </c>
      <c r="B363">
        <v>123</v>
      </c>
      <c r="C363">
        <v>2</v>
      </c>
      <c r="D363" t="s">
        <v>875</v>
      </c>
      <c r="E363">
        <v>10</v>
      </c>
      <c r="F363">
        <v>1</v>
      </c>
      <c r="G363">
        <v>1</v>
      </c>
      <c r="H363" t="s">
        <v>876</v>
      </c>
      <c r="I363">
        <v>0</v>
      </c>
      <c r="J363">
        <v>0</v>
      </c>
      <c r="K363">
        <v>0</v>
      </c>
      <c r="L363">
        <v>1</v>
      </c>
      <c r="N363" t="str">
        <f t="shared" si="5"/>
        <v>SELECT 387, 123, 2, 'South Korea', 10, 1 UNION ALL</v>
      </c>
      <c r="X363">
        <v>373</v>
      </c>
      <c r="Y363">
        <v>304</v>
      </c>
      <c r="Z363">
        <v>3</v>
      </c>
      <c r="AA363">
        <v>0</v>
      </c>
    </row>
    <row r="364" spans="1:27">
      <c r="A364">
        <v>388</v>
      </c>
      <c r="B364">
        <v>124</v>
      </c>
      <c r="C364">
        <v>2</v>
      </c>
      <c r="D364" t="s">
        <v>877</v>
      </c>
      <c r="E364">
        <v>10</v>
      </c>
      <c r="F364">
        <v>1</v>
      </c>
      <c r="G364">
        <v>1</v>
      </c>
      <c r="H364" t="s">
        <v>878</v>
      </c>
      <c r="I364">
        <v>0</v>
      </c>
      <c r="J364">
        <v>0</v>
      </c>
      <c r="K364">
        <v>0</v>
      </c>
      <c r="L364">
        <v>1</v>
      </c>
      <c r="N364" t="str">
        <f t="shared" si="5"/>
        <v>SELECT 388, 124, 2, 'North Korea', 10, 1 UNION ALL</v>
      </c>
      <c r="X364">
        <v>374</v>
      </c>
      <c r="Y364">
        <v>304</v>
      </c>
      <c r="Z364">
        <v>4</v>
      </c>
      <c r="AA364">
        <v>1</v>
      </c>
    </row>
    <row r="365" spans="1:27">
      <c r="A365">
        <v>389</v>
      </c>
      <c r="B365">
        <v>125</v>
      </c>
      <c r="C365">
        <v>2</v>
      </c>
      <c r="D365" t="s">
        <v>879</v>
      </c>
      <c r="E365">
        <v>10</v>
      </c>
      <c r="F365">
        <v>1</v>
      </c>
      <c r="G365">
        <v>1</v>
      </c>
      <c r="H365" t="s">
        <v>880</v>
      </c>
      <c r="I365">
        <v>0</v>
      </c>
      <c r="J365">
        <v>0</v>
      </c>
      <c r="K365">
        <v>0</v>
      </c>
      <c r="L365">
        <v>1</v>
      </c>
      <c r="N365" t="str">
        <f t="shared" si="5"/>
        <v>SELECT 389, 125, 2, 'Malaysia', 10, 1 UNION ALL</v>
      </c>
      <c r="X365">
        <v>375</v>
      </c>
      <c r="Y365">
        <v>305</v>
      </c>
      <c r="Z365">
        <v>5</v>
      </c>
      <c r="AA365">
        <v>9</v>
      </c>
    </row>
    <row r="366" spans="1:27">
      <c r="A366">
        <v>390</v>
      </c>
      <c r="B366">
        <v>126</v>
      </c>
      <c r="C366">
        <v>2</v>
      </c>
      <c r="D366" t="s">
        <v>881</v>
      </c>
      <c r="E366">
        <v>10</v>
      </c>
      <c r="F366">
        <v>1</v>
      </c>
      <c r="G366">
        <v>1</v>
      </c>
      <c r="H366" t="s">
        <v>882</v>
      </c>
      <c r="I366">
        <v>0</v>
      </c>
      <c r="J366">
        <v>0</v>
      </c>
      <c r="K366">
        <v>0</v>
      </c>
      <c r="L366">
        <v>1</v>
      </c>
      <c r="N366" t="str">
        <f t="shared" si="5"/>
        <v>SELECT 390, 126, 2, 'Indonesia', 10, 1 UNION ALL</v>
      </c>
      <c r="X366">
        <v>376</v>
      </c>
      <c r="Y366">
        <v>305</v>
      </c>
      <c r="Z366">
        <v>6</v>
      </c>
      <c r="AA366">
        <v>11</v>
      </c>
    </row>
    <row r="367" spans="1:27">
      <c r="A367">
        <v>391</v>
      </c>
      <c r="B367">
        <v>128</v>
      </c>
      <c r="C367">
        <v>2</v>
      </c>
      <c r="D367" t="s">
        <v>883</v>
      </c>
      <c r="E367">
        <v>10</v>
      </c>
      <c r="F367">
        <v>1</v>
      </c>
      <c r="G367">
        <v>1</v>
      </c>
      <c r="H367" t="s">
        <v>884</v>
      </c>
      <c r="I367">
        <v>0</v>
      </c>
      <c r="J367">
        <v>0</v>
      </c>
      <c r="K367">
        <v>0</v>
      </c>
      <c r="L367">
        <v>1</v>
      </c>
      <c r="N367" t="str">
        <f t="shared" si="5"/>
        <v>SELECT 391, 128, 2, 'the Philippines', 10, 1 UNION ALL</v>
      </c>
      <c r="X367">
        <v>377</v>
      </c>
      <c r="Y367">
        <v>305</v>
      </c>
      <c r="Z367">
        <v>7</v>
      </c>
      <c r="AA367">
        <v>0</v>
      </c>
    </row>
    <row r="368" spans="1:27">
      <c r="A368">
        <v>392</v>
      </c>
      <c r="B368">
        <v>129</v>
      </c>
      <c r="C368">
        <v>2</v>
      </c>
      <c r="D368" t="s">
        <v>885</v>
      </c>
      <c r="E368">
        <v>10</v>
      </c>
      <c r="F368">
        <v>1</v>
      </c>
      <c r="G368">
        <v>1</v>
      </c>
      <c r="H368" t="s">
        <v>886</v>
      </c>
      <c r="I368">
        <v>0</v>
      </c>
      <c r="J368">
        <v>0</v>
      </c>
      <c r="K368">
        <v>0</v>
      </c>
      <c r="L368">
        <v>1</v>
      </c>
      <c r="N368" t="str">
        <f t="shared" si="5"/>
        <v>SELECT 392, 129, 2, 'Taiwan', 10, 1 UNION ALL</v>
      </c>
      <c r="X368">
        <v>378</v>
      </c>
      <c r="Y368">
        <v>305</v>
      </c>
      <c r="Z368">
        <v>8</v>
      </c>
      <c r="AA368">
        <v>1</v>
      </c>
    </row>
    <row r="369" spans="1:27">
      <c r="A369">
        <v>393</v>
      </c>
      <c r="B369">
        <v>130</v>
      </c>
      <c r="C369">
        <v>2</v>
      </c>
      <c r="D369" t="s">
        <v>887</v>
      </c>
      <c r="E369">
        <v>10</v>
      </c>
      <c r="F369">
        <v>1</v>
      </c>
      <c r="G369">
        <v>1</v>
      </c>
      <c r="H369" t="s">
        <v>888</v>
      </c>
      <c r="I369">
        <v>0</v>
      </c>
      <c r="J369">
        <v>0</v>
      </c>
      <c r="K369">
        <v>0</v>
      </c>
      <c r="L369">
        <v>1</v>
      </c>
      <c r="N369" t="str">
        <f t="shared" si="5"/>
        <v>SELECT 393, 130, 2, 'Hong Kong', 10, 1 UNION ALL</v>
      </c>
      <c r="X369">
        <v>379</v>
      </c>
      <c r="Y369">
        <v>306</v>
      </c>
      <c r="Z369">
        <v>5</v>
      </c>
      <c r="AA369">
        <v>9</v>
      </c>
    </row>
    <row r="370" spans="1:27">
      <c r="A370">
        <v>394</v>
      </c>
      <c r="B370">
        <v>131</v>
      </c>
      <c r="C370">
        <v>2</v>
      </c>
      <c r="D370" t="s">
        <v>889</v>
      </c>
      <c r="E370">
        <v>10</v>
      </c>
      <c r="F370">
        <v>1</v>
      </c>
      <c r="G370">
        <v>1</v>
      </c>
      <c r="H370" t="s">
        <v>890</v>
      </c>
      <c r="I370">
        <v>0</v>
      </c>
      <c r="J370">
        <v>0</v>
      </c>
      <c r="K370">
        <v>0</v>
      </c>
      <c r="L370">
        <v>1</v>
      </c>
      <c r="N370" t="str">
        <f t="shared" si="5"/>
        <v>SELECT 394, 131, 2, 'Singapore', 10, 1 UNION ALL</v>
      </c>
      <c r="X370">
        <v>380</v>
      </c>
      <c r="Y370">
        <v>306</v>
      </c>
      <c r="Z370">
        <v>6</v>
      </c>
      <c r="AA370">
        <v>11</v>
      </c>
    </row>
    <row r="371" spans="1:27">
      <c r="A371">
        <v>395</v>
      </c>
      <c r="B371">
        <v>132</v>
      </c>
      <c r="C371">
        <v>2</v>
      </c>
      <c r="D371" t="s">
        <v>379</v>
      </c>
      <c r="E371">
        <v>10</v>
      </c>
      <c r="F371">
        <v>1</v>
      </c>
      <c r="G371">
        <v>1</v>
      </c>
      <c r="H371" t="s">
        <v>891</v>
      </c>
      <c r="I371">
        <v>0</v>
      </c>
      <c r="J371">
        <v>0</v>
      </c>
      <c r="K371">
        <v>0</v>
      </c>
      <c r="L371">
        <v>1</v>
      </c>
      <c r="N371" t="str">
        <f t="shared" si="5"/>
        <v>SELECT 395, 132, 2, 'Australia', 10, 1 UNION ALL</v>
      </c>
      <c r="X371">
        <v>381</v>
      </c>
      <c r="Y371">
        <v>306</v>
      </c>
      <c r="Z371">
        <v>7</v>
      </c>
      <c r="AA371">
        <v>0</v>
      </c>
    </row>
    <row r="372" spans="1:27">
      <c r="A372">
        <v>396</v>
      </c>
      <c r="B372">
        <v>133</v>
      </c>
      <c r="C372">
        <v>2</v>
      </c>
      <c r="D372" t="s">
        <v>892</v>
      </c>
      <c r="E372">
        <v>10</v>
      </c>
      <c r="F372">
        <v>1</v>
      </c>
      <c r="G372">
        <v>1</v>
      </c>
      <c r="H372" t="s">
        <v>893</v>
      </c>
      <c r="I372">
        <v>0</v>
      </c>
      <c r="J372">
        <v>0</v>
      </c>
      <c r="K372">
        <v>0</v>
      </c>
      <c r="L372">
        <v>1</v>
      </c>
      <c r="N372" t="str">
        <f t="shared" si="5"/>
        <v>SELECT 396, 133, 2, 'New Zealand', 10, 1 UNION ALL</v>
      </c>
      <c r="X372">
        <v>382</v>
      </c>
      <c r="Y372">
        <v>306</v>
      </c>
      <c r="Z372">
        <v>8</v>
      </c>
      <c r="AA372">
        <v>1</v>
      </c>
    </row>
    <row r="373" spans="1:27">
      <c r="A373">
        <v>397</v>
      </c>
      <c r="B373">
        <v>133</v>
      </c>
      <c r="C373">
        <v>1</v>
      </c>
      <c r="D373" t="s">
        <v>381</v>
      </c>
      <c r="E373">
        <v>10</v>
      </c>
      <c r="F373">
        <v>1</v>
      </c>
      <c r="G373">
        <v>1</v>
      </c>
      <c r="H373" t="s">
        <v>894</v>
      </c>
      <c r="I373">
        <v>0</v>
      </c>
      <c r="J373">
        <v>0</v>
      </c>
      <c r="K373">
        <v>0</v>
      </c>
      <c r="L373">
        <v>1</v>
      </c>
      <c r="N373" t="str">
        <f t="shared" si="5"/>
        <v>SELECT 397, 133, 1, 'Nowa Zelandia', 10, 1 UNION ALL</v>
      </c>
      <c r="X373">
        <v>383</v>
      </c>
      <c r="Y373">
        <v>307</v>
      </c>
      <c r="Z373">
        <v>1</v>
      </c>
      <c r="AA373">
        <v>1</v>
      </c>
    </row>
    <row r="374" spans="1:27">
      <c r="A374">
        <v>398</v>
      </c>
      <c r="B374">
        <v>134</v>
      </c>
      <c r="C374">
        <v>1</v>
      </c>
      <c r="D374" t="s">
        <v>383</v>
      </c>
      <c r="E374">
        <v>10</v>
      </c>
      <c r="F374">
        <v>1</v>
      </c>
      <c r="G374">
        <v>1</v>
      </c>
      <c r="H374" t="s">
        <v>895</v>
      </c>
      <c r="I374">
        <v>0</v>
      </c>
      <c r="J374">
        <v>0</v>
      </c>
      <c r="K374">
        <v>0</v>
      </c>
      <c r="L374">
        <v>1</v>
      </c>
      <c r="N374" t="str">
        <f t="shared" si="5"/>
        <v>SELECT 398, 134, 1, 'Fidżi', 10, 1 UNION ALL</v>
      </c>
      <c r="X374">
        <v>384</v>
      </c>
      <c r="Y374">
        <v>307</v>
      </c>
      <c r="Z374">
        <v>2</v>
      </c>
      <c r="AA374">
        <v>4</v>
      </c>
    </row>
    <row r="375" spans="1:27">
      <c r="A375">
        <v>399</v>
      </c>
      <c r="B375">
        <v>134</v>
      </c>
      <c r="C375">
        <v>2</v>
      </c>
      <c r="D375" t="s">
        <v>896</v>
      </c>
      <c r="E375">
        <v>10</v>
      </c>
      <c r="F375">
        <v>1</v>
      </c>
      <c r="G375">
        <v>1</v>
      </c>
      <c r="H375" t="s">
        <v>897</v>
      </c>
      <c r="I375">
        <v>0</v>
      </c>
      <c r="J375">
        <v>0</v>
      </c>
      <c r="K375">
        <v>0</v>
      </c>
      <c r="L375">
        <v>1</v>
      </c>
      <c r="N375" t="str">
        <f t="shared" si="5"/>
        <v>SELECT 399, 134, 2, 'Fiji', 10, 1 UNION ALL</v>
      </c>
      <c r="X375">
        <v>385</v>
      </c>
      <c r="Y375">
        <v>307</v>
      </c>
      <c r="Z375">
        <v>3</v>
      </c>
      <c r="AA375">
        <v>0</v>
      </c>
    </row>
    <row r="376" spans="1:27">
      <c r="A376">
        <v>400</v>
      </c>
      <c r="B376">
        <v>198</v>
      </c>
      <c r="C376">
        <v>2</v>
      </c>
      <c r="D376" t="s">
        <v>898</v>
      </c>
      <c r="E376">
        <v>10</v>
      </c>
      <c r="F376">
        <v>1</v>
      </c>
      <c r="G376">
        <v>1</v>
      </c>
      <c r="H376" t="s">
        <v>899</v>
      </c>
      <c r="I376">
        <v>0</v>
      </c>
      <c r="J376">
        <v>0</v>
      </c>
      <c r="K376">
        <v>0</v>
      </c>
      <c r="L376">
        <v>1</v>
      </c>
      <c r="N376" t="str">
        <f t="shared" si="5"/>
        <v>SELECT 400, 198, 2, 'the Bahamas', 10, 1 UNION ALL</v>
      </c>
      <c r="X376">
        <v>386</v>
      </c>
      <c r="Y376">
        <v>307</v>
      </c>
      <c r="Z376">
        <v>4</v>
      </c>
      <c r="AA376">
        <v>1</v>
      </c>
    </row>
    <row r="377" spans="1:27">
      <c r="A377">
        <v>401</v>
      </c>
      <c r="B377">
        <v>197</v>
      </c>
      <c r="C377">
        <v>2</v>
      </c>
      <c r="D377" t="s">
        <v>501</v>
      </c>
      <c r="E377">
        <v>10</v>
      </c>
      <c r="F377">
        <v>1</v>
      </c>
      <c r="G377">
        <v>1</v>
      </c>
      <c r="H377" t="s">
        <v>900</v>
      </c>
      <c r="I377">
        <v>0</v>
      </c>
      <c r="J377">
        <v>0</v>
      </c>
      <c r="K377">
        <v>0</v>
      </c>
      <c r="L377">
        <v>1</v>
      </c>
      <c r="N377" t="str">
        <f t="shared" si="5"/>
        <v>SELECT 401, 197, 2, 'Belize', 10, 1 UNION ALL</v>
      </c>
      <c r="X377">
        <v>387</v>
      </c>
      <c r="Y377">
        <v>308</v>
      </c>
      <c r="Z377">
        <v>5</v>
      </c>
      <c r="AA377">
        <v>9</v>
      </c>
    </row>
    <row r="378" spans="1:27">
      <c r="A378">
        <v>402</v>
      </c>
      <c r="B378">
        <v>196</v>
      </c>
      <c r="C378">
        <v>2</v>
      </c>
      <c r="D378" t="s">
        <v>901</v>
      </c>
      <c r="E378">
        <v>10</v>
      </c>
      <c r="F378">
        <v>1</v>
      </c>
      <c r="G378">
        <v>1</v>
      </c>
      <c r="H378" t="s">
        <v>902</v>
      </c>
      <c r="I378">
        <v>0</v>
      </c>
      <c r="J378">
        <v>0</v>
      </c>
      <c r="K378">
        <v>0</v>
      </c>
      <c r="L378">
        <v>1</v>
      </c>
      <c r="N378" t="str">
        <f t="shared" si="5"/>
        <v>SELECT 402, 196, 2, 'Costa Rica', 10, 1 UNION ALL</v>
      </c>
      <c r="X378">
        <v>388</v>
      </c>
      <c r="Y378">
        <v>308</v>
      </c>
      <c r="Z378">
        <v>6</v>
      </c>
      <c r="AA378">
        <v>10</v>
      </c>
    </row>
    <row r="379" spans="1:27">
      <c r="A379">
        <v>403</v>
      </c>
      <c r="B379">
        <v>195</v>
      </c>
      <c r="C379">
        <v>2</v>
      </c>
      <c r="D379" t="s">
        <v>800</v>
      </c>
      <c r="E379">
        <v>10</v>
      </c>
      <c r="F379">
        <v>1</v>
      </c>
      <c r="G379">
        <v>1</v>
      </c>
      <c r="H379" t="s">
        <v>903</v>
      </c>
      <c r="I379">
        <v>0</v>
      </c>
      <c r="J379">
        <v>0</v>
      </c>
      <c r="K379">
        <v>0</v>
      </c>
      <c r="L379">
        <v>1</v>
      </c>
      <c r="N379" t="str">
        <f t="shared" si="5"/>
        <v>SELECT 403, 195, 2, 'Puerto Rico', 10, 1 UNION ALL</v>
      </c>
      <c r="X379">
        <v>389</v>
      </c>
      <c r="Y379">
        <v>308</v>
      </c>
      <c r="Z379">
        <v>7</v>
      </c>
      <c r="AA379">
        <v>0</v>
      </c>
    </row>
    <row r="380" spans="1:27">
      <c r="A380">
        <v>404</v>
      </c>
      <c r="B380">
        <v>194</v>
      </c>
      <c r="C380">
        <v>2</v>
      </c>
      <c r="D380" t="s">
        <v>495</v>
      </c>
      <c r="E380">
        <v>10</v>
      </c>
      <c r="F380">
        <v>1</v>
      </c>
      <c r="G380">
        <v>1</v>
      </c>
      <c r="H380" t="s">
        <v>904</v>
      </c>
      <c r="I380">
        <v>0</v>
      </c>
      <c r="J380">
        <v>0</v>
      </c>
      <c r="K380">
        <v>0</v>
      </c>
      <c r="L380">
        <v>1</v>
      </c>
      <c r="N380" t="str">
        <f t="shared" si="5"/>
        <v>SELECT 404, 194, 2, 'Haiti', 10, 1 UNION ALL</v>
      </c>
      <c r="X380">
        <v>390</v>
      </c>
      <c r="Y380">
        <v>308</v>
      </c>
      <c r="Z380">
        <v>8</v>
      </c>
      <c r="AA380">
        <v>1</v>
      </c>
    </row>
    <row r="381" spans="1:27">
      <c r="A381">
        <v>405</v>
      </c>
      <c r="B381">
        <v>183</v>
      </c>
      <c r="C381">
        <v>1</v>
      </c>
      <c r="D381" t="s">
        <v>475</v>
      </c>
      <c r="E381">
        <v>10</v>
      </c>
      <c r="F381">
        <v>1</v>
      </c>
      <c r="G381">
        <v>1</v>
      </c>
      <c r="H381" t="s">
        <v>905</v>
      </c>
      <c r="I381">
        <v>0</v>
      </c>
      <c r="J381">
        <v>0</v>
      </c>
      <c r="K381">
        <v>0</v>
      </c>
      <c r="L381">
        <v>1</v>
      </c>
      <c r="N381" t="str">
        <f t="shared" si="5"/>
        <v>SELECT 405, 183, 1, 'Meksyk', 10, 1 UNION ALL</v>
      </c>
      <c r="X381">
        <v>391</v>
      </c>
      <c r="Y381">
        <v>309</v>
      </c>
      <c r="Z381">
        <v>1</v>
      </c>
      <c r="AA381">
        <v>2</v>
      </c>
    </row>
    <row r="382" spans="1:27">
      <c r="A382">
        <v>406</v>
      </c>
      <c r="B382">
        <v>183</v>
      </c>
      <c r="C382">
        <v>2</v>
      </c>
      <c r="D382" t="s">
        <v>906</v>
      </c>
      <c r="E382">
        <v>10</v>
      </c>
      <c r="F382">
        <v>1</v>
      </c>
      <c r="G382">
        <v>1</v>
      </c>
      <c r="H382" t="s">
        <v>907</v>
      </c>
      <c r="I382">
        <v>0</v>
      </c>
      <c r="J382">
        <v>0</v>
      </c>
      <c r="K382">
        <v>0</v>
      </c>
      <c r="L382">
        <v>1</v>
      </c>
      <c r="N382" t="str">
        <f t="shared" si="5"/>
        <v>SELECT 406, 183, 2, 'Mexico', 10, 1 UNION ALL</v>
      </c>
      <c r="X382">
        <v>392</v>
      </c>
      <c r="Y382">
        <v>309</v>
      </c>
      <c r="Z382">
        <v>2</v>
      </c>
      <c r="AA382">
        <v>4</v>
      </c>
    </row>
    <row r="383" spans="1:27">
      <c r="A383">
        <v>407</v>
      </c>
      <c r="B383">
        <v>184</v>
      </c>
      <c r="C383">
        <v>2</v>
      </c>
      <c r="D383" t="s">
        <v>908</v>
      </c>
      <c r="E383">
        <v>10</v>
      </c>
      <c r="F383">
        <v>1</v>
      </c>
      <c r="G383">
        <v>1</v>
      </c>
      <c r="H383" t="s">
        <v>909</v>
      </c>
      <c r="I383">
        <v>0</v>
      </c>
      <c r="J383">
        <v>0</v>
      </c>
      <c r="K383">
        <v>0</v>
      </c>
      <c r="L383">
        <v>1</v>
      </c>
      <c r="N383" t="str">
        <f t="shared" si="5"/>
        <v>SELECT 407, 184, 2, 'Greenland', 10, 1 UNION ALL</v>
      </c>
      <c r="X383">
        <v>393</v>
      </c>
      <c r="Y383">
        <v>309</v>
      </c>
      <c r="Z383">
        <v>3</v>
      </c>
      <c r="AA383">
        <v>0</v>
      </c>
    </row>
    <row r="384" spans="1:27">
      <c r="A384">
        <v>408</v>
      </c>
      <c r="B384">
        <v>185</v>
      </c>
      <c r="C384">
        <v>1</v>
      </c>
      <c r="D384" t="s">
        <v>479</v>
      </c>
      <c r="E384">
        <v>10</v>
      </c>
      <c r="F384">
        <v>1</v>
      </c>
      <c r="G384">
        <v>1</v>
      </c>
      <c r="H384" t="s">
        <v>910</v>
      </c>
      <c r="I384">
        <v>0</v>
      </c>
      <c r="J384">
        <v>0</v>
      </c>
      <c r="K384">
        <v>0</v>
      </c>
      <c r="L384">
        <v>1</v>
      </c>
      <c r="N384" t="str">
        <f t="shared" si="5"/>
        <v>SELECT 408, 185, 1, 'Jamajka', 10, 1 UNION ALL</v>
      </c>
      <c r="X384">
        <v>394</v>
      </c>
      <c r="Y384">
        <v>309</v>
      </c>
      <c r="Z384">
        <v>4</v>
      </c>
      <c r="AA384">
        <v>1</v>
      </c>
    </row>
    <row r="385" spans="1:27">
      <c r="A385">
        <v>409</v>
      </c>
      <c r="B385">
        <v>185</v>
      </c>
      <c r="C385">
        <v>2</v>
      </c>
      <c r="D385" t="s">
        <v>911</v>
      </c>
      <c r="E385">
        <v>10</v>
      </c>
      <c r="F385">
        <v>1</v>
      </c>
      <c r="G385">
        <v>1</v>
      </c>
      <c r="H385" t="s">
        <v>912</v>
      </c>
      <c r="I385">
        <v>0</v>
      </c>
      <c r="J385">
        <v>0</v>
      </c>
      <c r="K385">
        <v>0</v>
      </c>
      <c r="L385">
        <v>1</v>
      </c>
      <c r="N385" t="str">
        <f t="shared" si="5"/>
        <v>SELECT 409, 185, 2, 'Jamaica', 10, 1 UNION ALL</v>
      </c>
      <c r="X385">
        <v>395</v>
      </c>
      <c r="Y385">
        <v>310</v>
      </c>
      <c r="Z385">
        <v>5</v>
      </c>
      <c r="AA385">
        <v>9</v>
      </c>
    </row>
    <row r="386" spans="1:27">
      <c r="A386">
        <v>410</v>
      </c>
      <c r="B386">
        <v>186</v>
      </c>
      <c r="C386">
        <v>1</v>
      </c>
      <c r="D386" t="s">
        <v>481</v>
      </c>
      <c r="E386">
        <v>10</v>
      </c>
      <c r="F386">
        <v>1</v>
      </c>
      <c r="G386">
        <v>1</v>
      </c>
      <c r="H386" t="s">
        <v>913</v>
      </c>
      <c r="I386">
        <v>0</v>
      </c>
      <c r="J386">
        <v>0</v>
      </c>
      <c r="K386">
        <v>0</v>
      </c>
      <c r="L386">
        <v>1</v>
      </c>
      <c r="N386" t="str">
        <f t="shared" si="5"/>
        <v>SELECT 410, 186, 1, 'Kuba', 10, 1 UNION ALL</v>
      </c>
      <c r="X386">
        <v>396</v>
      </c>
      <c r="Y386">
        <v>310</v>
      </c>
      <c r="Z386">
        <v>6</v>
      </c>
      <c r="AA386">
        <v>10</v>
      </c>
    </row>
    <row r="387" spans="1:27">
      <c r="A387">
        <v>411</v>
      </c>
      <c r="B387">
        <v>186</v>
      </c>
      <c r="C387">
        <v>2</v>
      </c>
      <c r="D387" t="s">
        <v>914</v>
      </c>
      <c r="E387">
        <v>10</v>
      </c>
      <c r="F387">
        <v>1</v>
      </c>
      <c r="G387">
        <v>1</v>
      </c>
      <c r="H387" t="s">
        <v>915</v>
      </c>
      <c r="I387">
        <v>0</v>
      </c>
      <c r="J387">
        <v>0</v>
      </c>
      <c r="K387">
        <v>0</v>
      </c>
      <c r="L387">
        <v>1</v>
      </c>
      <c r="N387" t="str">
        <f t="shared" ref="N387:N430" si="6">"SELECT "&amp;A387&amp;", "&amp;B387&amp;", "&amp;C387&amp;", '"&amp;D387&amp;"', "&amp;E387&amp;", "&amp;L387&amp;" UNION ALL"</f>
        <v>SELECT 411, 186, 2, 'Cuba', 10, 1 UNION ALL</v>
      </c>
      <c r="X387">
        <v>397</v>
      </c>
      <c r="Y387">
        <v>310</v>
      </c>
      <c r="Z387">
        <v>7</v>
      </c>
      <c r="AA387">
        <v>0</v>
      </c>
    </row>
    <row r="388" spans="1:27">
      <c r="A388">
        <v>412</v>
      </c>
      <c r="B388">
        <v>187</v>
      </c>
      <c r="C388">
        <v>1</v>
      </c>
      <c r="D388" t="s">
        <v>483</v>
      </c>
      <c r="E388">
        <v>10</v>
      </c>
      <c r="F388">
        <v>1</v>
      </c>
      <c r="G388">
        <v>1</v>
      </c>
      <c r="H388" t="s">
        <v>916</v>
      </c>
      <c r="I388">
        <v>0</v>
      </c>
      <c r="J388">
        <v>0</v>
      </c>
      <c r="K388">
        <v>0</v>
      </c>
      <c r="L388">
        <v>1</v>
      </c>
      <c r="N388" t="str">
        <f t="shared" si="6"/>
        <v>SELECT 412, 187, 1, 'Honduras', 10, 1 UNION ALL</v>
      </c>
      <c r="X388">
        <v>398</v>
      </c>
      <c r="Y388">
        <v>310</v>
      </c>
      <c r="Z388">
        <v>8</v>
      </c>
      <c r="AA388">
        <v>1</v>
      </c>
    </row>
    <row r="389" spans="1:27">
      <c r="A389">
        <v>413</v>
      </c>
      <c r="B389">
        <v>187</v>
      </c>
      <c r="C389">
        <v>2</v>
      </c>
      <c r="D389" t="s">
        <v>483</v>
      </c>
      <c r="E389">
        <v>10</v>
      </c>
      <c r="F389">
        <v>1</v>
      </c>
      <c r="G389">
        <v>1</v>
      </c>
      <c r="H389" t="s">
        <v>917</v>
      </c>
      <c r="I389">
        <v>0</v>
      </c>
      <c r="J389">
        <v>0</v>
      </c>
      <c r="K389">
        <v>0</v>
      </c>
      <c r="L389">
        <v>1</v>
      </c>
      <c r="N389" t="str">
        <f t="shared" si="6"/>
        <v>SELECT 413, 187, 2, 'Honduras', 10, 1 UNION ALL</v>
      </c>
      <c r="X389">
        <v>399</v>
      </c>
      <c r="Y389">
        <v>311</v>
      </c>
      <c r="Z389">
        <v>1</v>
      </c>
      <c r="AA389">
        <v>3</v>
      </c>
    </row>
    <row r="390" spans="1:27">
      <c r="A390">
        <v>414</v>
      </c>
      <c r="B390">
        <v>188</v>
      </c>
      <c r="C390">
        <v>1</v>
      </c>
      <c r="D390" t="s">
        <v>485</v>
      </c>
      <c r="E390">
        <v>10</v>
      </c>
      <c r="F390">
        <v>1</v>
      </c>
      <c r="G390">
        <v>1</v>
      </c>
      <c r="H390" t="s">
        <v>918</v>
      </c>
      <c r="I390">
        <v>0</v>
      </c>
      <c r="J390">
        <v>0</v>
      </c>
      <c r="K390">
        <v>0</v>
      </c>
      <c r="L390">
        <v>1</v>
      </c>
      <c r="N390" t="str">
        <f t="shared" si="6"/>
        <v>SELECT 414, 188, 1, 'Salwador', 10, 1 UNION ALL</v>
      </c>
      <c r="X390">
        <v>400</v>
      </c>
      <c r="Y390">
        <v>311</v>
      </c>
      <c r="Z390">
        <v>2</v>
      </c>
      <c r="AA390">
        <v>4</v>
      </c>
    </row>
    <row r="391" spans="1:27">
      <c r="A391">
        <v>415</v>
      </c>
      <c r="B391">
        <v>188</v>
      </c>
      <c r="C391">
        <v>2</v>
      </c>
      <c r="D391" t="s">
        <v>919</v>
      </c>
      <c r="E391">
        <v>10</v>
      </c>
      <c r="F391">
        <v>1</v>
      </c>
      <c r="G391">
        <v>1</v>
      </c>
      <c r="H391" t="s">
        <v>920</v>
      </c>
      <c r="I391">
        <v>0</v>
      </c>
      <c r="J391">
        <v>0</v>
      </c>
      <c r="K391">
        <v>0</v>
      </c>
      <c r="L391">
        <v>1</v>
      </c>
      <c r="N391" t="str">
        <f t="shared" si="6"/>
        <v>SELECT 415, 188, 2, 'El Salvador', 10, 1 UNION ALL</v>
      </c>
      <c r="X391">
        <v>401</v>
      </c>
      <c r="Y391">
        <v>311</v>
      </c>
      <c r="Z391">
        <v>3</v>
      </c>
      <c r="AA391">
        <v>0</v>
      </c>
    </row>
    <row r="392" spans="1:27">
      <c r="A392">
        <v>416</v>
      </c>
      <c r="B392">
        <v>189</v>
      </c>
      <c r="C392">
        <v>1</v>
      </c>
      <c r="D392" t="s">
        <v>487</v>
      </c>
      <c r="E392">
        <v>10</v>
      </c>
      <c r="F392">
        <v>1</v>
      </c>
      <c r="G392">
        <v>1</v>
      </c>
      <c r="H392" t="s">
        <v>921</v>
      </c>
      <c r="I392">
        <v>0</v>
      </c>
      <c r="J392">
        <v>0</v>
      </c>
      <c r="K392">
        <v>0</v>
      </c>
      <c r="L392">
        <v>1</v>
      </c>
      <c r="N392" t="str">
        <f t="shared" si="6"/>
        <v>SELECT 416, 189, 1, 'Gwatemala', 10, 1 UNION ALL</v>
      </c>
      <c r="X392">
        <v>402</v>
      </c>
      <c r="Y392">
        <v>311</v>
      </c>
      <c r="Z392">
        <v>4</v>
      </c>
      <c r="AA392">
        <v>1</v>
      </c>
    </row>
    <row r="393" spans="1:27">
      <c r="A393">
        <v>417</v>
      </c>
      <c r="B393">
        <v>189</v>
      </c>
      <c r="C393">
        <v>2</v>
      </c>
      <c r="D393" t="s">
        <v>922</v>
      </c>
      <c r="E393">
        <v>10</v>
      </c>
      <c r="F393">
        <v>1</v>
      </c>
      <c r="G393">
        <v>1</v>
      </c>
      <c r="H393" t="s">
        <v>923</v>
      </c>
      <c r="I393">
        <v>0</v>
      </c>
      <c r="J393">
        <v>0</v>
      </c>
      <c r="K393">
        <v>0</v>
      </c>
      <c r="L393">
        <v>1</v>
      </c>
      <c r="N393" t="str">
        <f t="shared" si="6"/>
        <v>SELECT 417, 189, 2, 'Guatemala', 10, 1 UNION ALL</v>
      </c>
      <c r="X393">
        <v>403</v>
      </c>
      <c r="Y393">
        <v>312</v>
      </c>
      <c r="Z393">
        <v>1</v>
      </c>
      <c r="AA393">
        <v>2</v>
      </c>
    </row>
    <row r="394" spans="1:27">
      <c r="A394">
        <v>418</v>
      </c>
      <c r="B394">
        <v>171</v>
      </c>
      <c r="C394">
        <v>1</v>
      </c>
      <c r="D394" t="s">
        <v>455</v>
      </c>
      <c r="E394">
        <v>10</v>
      </c>
      <c r="F394">
        <v>1</v>
      </c>
      <c r="G394">
        <v>1</v>
      </c>
      <c r="H394" t="s">
        <v>924</v>
      </c>
      <c r="I394">
        <v>0</v>
      </c>
      <c r="J394">
        <v>0</v>
      </c>
      <c r="K394">
        <v>0</v>
      </c>
      <c r="L394">
        <v>1</v>
      </c>
      <c r="N394" t="str">
        <f t="shared" si="6"/>
        <v>SELECT 418, 171, 1, 'Angola', 10, 1 UNION ALL</v>
      </c>
      <c r="X394">
        <v>404</v>
      </c>
      <c r="Y394">
        <v>312</v>
      </c>
      <c r="Z394">
        <v>2</v>
      </c>
      <c r="AA394">
        <v>4</v>
      </c>
    </row>
    <row r="395" spans="1:27">
      <c r="A395">
        <v>419</v>
      </c>
      <c r="B395">
        <v>171</v>
      </c>
      <c r="C395">
        <v>2</v>
      </c>
      <c r="D395" t="s">
        <v>455</v>
      </c>
      <c r="E395">
        <v>10</v>
      </c>
      <c r="F395">
        <v>1</v>
      </c>
      <c r="G395">
        <v>1</v>
      </c>
      <c r="H395" t="s">
        <v>925</v>
      </c>
      <c r="I395">
        <v>0</v>
      </c>
      <c r="J395">
        <v>0</v>
      </c>
      <c r="K395">
        <v>0</v>
      </c>
      <c r="L395">
        <v>1</v>
      </c>
      <c r="N395" t="str">
        <f t="shared" si="6"/>
        <v>SELECT 419, 171, 2, 'Angola', 10, 1 UNION ALL</v>
      </c>
      <c r="X395">
        <v>405</v>
      </c>
      <c r="Y395">
        <v>312</v>
      </c>
      <c r="Z395">
        <v>3</v>
      </c>
      <c r="AA395">
        <v>0</v>
      </c>
    </row>
    <row r="396" spans="1:27">
      <c r="A396">
        <v>420</v>
      </c>
      <c r="B396">
        <v>155</v>
      </c>
      <c r="C396">
        <v>1</v>
      </c>
      <c r="D396" t="s">
        <v>425</v>
      </c>
      <c r="E396">
        <v>10</v>
      </c>
      <c r="F396">
        <v>1</v>
      </c>
      <c r="G396">
        <v>1</v>
      </c>
      <c r="H396" t="s">
        <v>926</v>
      </c>
      <c r="I396">
        <v>0</v>
      </c>
      <c r="J396">
        <v>0</v>
      </c>
      <c r="K396">
        <v>0</v>
      </c>
      <c r="L396">
        <v>1</v>
      </c>
      <c r="N396" t="str">
        <f t="shared" si="6"/>
        <v>SELECT 420, 155, 1, 'Liberia', 10, 1 UNION ALL</v>
      </c>
      <c r="X396">
        <v>406</v>
      </c>
      <c r="Y396">
        <v>312</v>
      </c>
      <c r="Z396">
        <v>4</v>
      </c>
      <c r="AA396">
        <v>1</v>
      </c>
    </row>
    <row r="397" spans="1:27">
      <c r="A397">
        <v>421</v>
      </c>
      <c r="B397">
        <v>190</v>
      </c>
      <c r="C397">
        <v>2</v>
      </c>
      <c r="D397" t="s">
        <v>927</v>
      </c>
      <c r="E397">
        <v>10</v>
      </c>
      <c r="F397">
        <v>1</v>
      </c>
      <c r="G397">
        <v>1</v>
      </c>
      <c r="H397" t="s">
        <v>928</v>
      </c>
      <c r="I397">
        <v>0</v>
      </c>
      <c r="J397">
        <v>0</v>
      </c>
      <c r="K397">
        <v>0</v>
      </c>
      <c r="L397">
        <v>1</v>
      </c>
      <c r="N397" t="str">
        <f t="shared" si="6"/>
        <v>SELECT 421, 190, 2, 'Nicaragua', 10, 1 UNION ALL</v>
      </c>
      <c r="X397">
        <v>407</v>
      </c>
      <c r="Y397">
        <v>313</v>
      </c>
      <c r="Z397">
        <v>1</v>
      </c>
      <c r="AA397">
        <v>2</v>
      </c>
    </row>
    <row r="398" spans="1:27">
      <c r="A398">
        <v>422</v>
      </c>
      <c r="B398">
        <v>191</v>
      </c>
      <c r="C398">
        <v>2</v>
      </c>
      <c r="D398" t="s">
        <v>491</v>
      </c>
      <c r="E398">
        <v>10</v>
      </c>
      <c r="F398">
        <v>1</v>
      </c>
      <c r="G398">
        <v>1</v>
      </c>
      <c r="H398" t="s">
        <v>929</v>
      </c>
      <c r="I398">
        <v>0</v>
      </c>
      <c r="J398">
        <v>0</v>
      </c>
      <c r="K398">
        <v>0</v>
      </c>
      <c r="L398">
        <v>1</v>
      </c>
      <c r="N398" t="str">
        <f t="shared" si="6"/>
        <v>SELECT 422, 191, 2, 'Panama', 10, 1 UNION ALL</v>
      </c>
      <c r="X398">
        <v>408</v>
      </c>
      <c r="Y398">
        <v>313</v>
      </c>
      <c r="Z398">
        <v>2</v>
      </c>
      <c r="AA398">
        <v>4</v>
      </c>
    </row>
    <row r="399" spans="1:27">
      <c r="A399">
        <v>423</v>
      </c>
      <c r="B399">
        <v>170</v>
      </c>
      <c r="C399">
        <v>1</v>
      </c>
      <c r="D399" t="s">
        <v>453</v>
      </c>
      <c r="E399">
        <v>10</v>
      </c>
      <c r="F399">
        <v>1</v>
      </c>
      <c r="G399">
        <v>1</v>
      </c>
      <c r="H399" t="s">
        <v>930</v>
      </c>
      <c r="I399">
        <v>0</v>
      </c>
      <c r="J399">
        <v>0</v>
      </c>
      <c r="K399">
        <v>0</v>
      </c>
      <c r="L399">
        <v>1</v>
      </c>
      <c r="N399" t="str">
        <f t="shared" si="6"/>
        <v>SELECT 423, 170, 1, 'Madagaskar', 10, 1 UNION ALL</v>
      </c>
      <c r="X399">
        <v>409</v>
      </c>
      <c r="Y399">
        <v>313</v>
      </c>
      <c r="Z399">
        <v>3</v>
      </c>
      <c r="AA399">
        <v>0</v>
      </c>
    </row>
    <row r="400" spans="1:27">
      <c r="A400">
        <v>424</v>
      </c>
      <c r="B400">
        <v>170</v>
      </c>
      <c r="C400">
        <v>2</v>
      </c>
      <c r="D400" t="s">
        <v>931</v>
      </c>
      <c r="E400">
        <v>10</v>
      </c>
      <c r="F400">
        <v>1</v>
      </c>
      <c r="G400">
        <v>1</v>
      </c>
      <c r="H400" t="s">
        <v>932</v>
      </c>
      <c r="I400">
        <v>0</v>
      </c>
      <c r="J400">
        <v>0</v>
      </c>
      <c r="K400">
        <v>0</v>
      </c>
      <c r="L400">
        <v>1</v>
      </c>
      <c r="N400" t="str">
        <f t="shared" si="6"/>
        <v>SELECT 424, 170, 2, 'Madagascar', 10, 1 UNION ALL</v>
      </c>
      <c r="X400">
        <v>410</v>
      </c>
      <c r="Y400">
        <v>313</v>
      </c>
      <c r="Z400">
        <v>4</v>
      </c>
      <c r="AA400">
        <v>1</v>
      </c>
    </row>
    <row r="401" spans="1:27">
      <c r="A401">
        <v>425</v>
      </c>
      <c r="B401">
        <v>172</v>
      </c>
      <c r="C401">
        <v>2</v>
      </c>
      <c r="D401" t="s">
        <v>457</v>
      </c>
      <c r="E401">
        <v>10</v>
      </c>
      <c r="F401">
        <v>1</v>
      </c>
      <c r="G401">
        <v>1</v>
      </c>
      <c r="H401" t="s">
        <v>933</v>
      </c>
      <c r="I401">
        <v>0</v>
      </c>
      <c r="J401">
        <v>0</v>
      </c>
      <c r="K401">
        <v>0</v>
      </c>
      <c r="L401">
        <v>1</v>
      </c>
      <c r="N401" t="str">
        <f t="shared" si="6"/>
        <v>SELECT 425, 172, 2, 'Namibia', 10, 1 UNION ALL</v>
      </c>
      <c r="X401">
        <v>411</v>
      </c>
      <c r="Y401">
        <v>314</v>
      </c>
      <c r="Z401">
        <v>1</v>
      </c>
      <c r="AA401">
        <v>2</v>
      </c>
    </row>
    <row r="402" spans="1:27">
      <c r="A402">
        <v>426</v>
      </c>
      <c r="B402">
        <v>174</v>
      </c>
      <c r="C402">
        <v>2</v>
      </c>
      <c r="D402" t="s">
        <v>934</v>
      </c>
      <c r="E402">
        <v>10</v>
      </c>
      <c r="F402">
        <v>1</v>
      </c>
      <c r="G402">
        <v>1</v>
      </c>
      <c r="H402" t="s">
        <v>935</v>
      </c>
      <c r="I402">
        <v>0</v>
      </c>
      <c r="J402">
        <v>0</v>
      </c>
      <c r="K402">
        <v>0</v>
      </c>
      <c r="L402">
        <v>1</v>
      </c>
      <c r="N402" t="str">
        <f t="shared" si="6"/>
        <v>SELECT 426, 174, 2, 'South Africa', 10, 1 UNION ALL</v>
      </c>
      <c r="X402">
        <v>412</v>
      </c>
      <c r="Y402">
        <v>314</v>
      </c>
      <c r="Z402">
        <v>2</v>
      </c>
      <c r="AA402">
        <v>4</v>
      </c>
    </row>
    <row r="403" spans="1:27">
      <c r="A403">
        <v>427</v>
      </c>
      <c r="B403">
        <v>176</v>
      </c>
      <c r="C403">
        <v>1</v>
      </c>
      <c r="D403" t="s">
        <v>463</v>
      </c>
      <c r="E403">
        <v>10</v>
      </c>
      <c r="F403">
        <v>1</v>
      </c>
      <c r="G403">
        <v>1</v>
      </c>
      <c r="H403" t="s">
        <v>936</v>
      </c>
      <c r="I403">
        <v>0</v>
      </c>
      <c r="J403">
        <v>0</v>
      </c>
      <c r="K403">
        <v>0</v>
      </c>
      <c r="L403">
        <v>1</v>
      </c>
      <c r="N403" t="str">
        <f t="shared" si="6"/>
        <v>SELECT 427, 176, 1, 'Zimbabwe', 10, 1 UNION ALL</v>
      </c>
      <c r="X403">
        <v>413</v>
      </c>
      <c r="Y403">
        <v>314</v>
      </c>
      <c r="Z403">
        <v>3</v>
      </c>
      <c r="AA403">
        <v>0</v>
      </c>
    </row>
    <row r="404" spans="1:27">
      <c r="A404">
        <v>428</v>
      </c>
      <c r="B404">
        <v>176</v>
      </c>
      <c r="C404">
        <v>2</v>
      </c>
      <c r="D404" t="s">
        <v>463</v>
      </c>
      <c r="E404">
        <v>10</v>
      </c>
      <c r="F404">
        <v>1</v>
      </c>
      <c r="G404">
        <v>1</v>
      </c>
      <c r="H404" t="s">
        <v>937</v>
      </c>
      <c r="I404">
        <v>0</v>
      </c>
      <c r="J404">
        <v>0</v>
      </c>
      <c r="K404">
        <v>0</v>
      </c>
      <c r="L404">
        <v>1</v>
      </c>
      <c r="N404" t="str">
        <f t="shared" si="6"/>
        <v>SELECT 428, 176, 2, 'Zimbabwe', 10, 1 UNION ALL</v>
      </c>
      <c r="X404">
        <v>414</v>
      </c>
      <c r="Y404">
        <v>314</v>
      </c>
      <c r="Z404">
        <v>4</v>
      </c>
      <c r="AA404">
        <v>1</v>
      </c>
    </row>
    <row r="405" spans="1:27">
      <c r="A405">
        <v>429</v>
      </c>
      <c r="B405">
        <v>178</v>
      </c>
      <c r="C405">
        <v>1</v>
      </c>
      <c r="D405" t="s">
        <v>467</v>
      </c>
      <c r="E405">
        <v>10</v>
      </c>
      <c r="F405">
        <v>1</v>
      </c>
      <c r="G405">
        <v>1</v>
      </c>
      <c r="H405" t="s">
        <v>938</v>
      </c>
      <c r="I405">
        <v>0</v>
      </c>
      <c r="J405">
        <v>0</v>
      </c>
      <c r="K405">
        <v>0</v>
      </c>
      <c r="L405">
        <v>1</v>
      </c>
      <c r="N405" t="str">
        <f t="shared" si="6"/>
        <v>SELECT 429, 178, 1, 'Seszele', 10, 1 UNION ALL</v>
      </c>
      <c r="X405">
        <v>415</v>
      </c>
      <c r="Y405">
        <v>315</v>
      </c>
      <c r="Z405">
        <v>1</v>
      </c>
      <c r="AA405">
        <v>1</v>
      </c>
    </row>
    <row r="406" spans="1:27">
      <c r="A406">
        <v>430</v>
      </c>
      <c r="B406">
        <v>178</v>
      </c>
      <c r="C406">
        <v>2</v>
      </c>
      <c r="D406" t="s">
        <v>939</v>
      </c>
      <c r="E406">
        <v>10</v>
      </c>
      <c r="F406">
        <v>1</v>
      </c>
      <c r="G406">
        <v>1</v>
      </c>
      <c r="H406" t="s">
        <v>940</v>
      </c>
      <c r="I406">
        <v>0</v>
      </c>
      <c r="J406">
        <v>0</v>
      </c>
      <c r="K406">
        <v>0</v>
      </c>
      <c r="L406">
        <v>1</v>
      </c>
      <c r="N406" t="str">
        <f t="shared" si="6"/>
        <v>SELECT 430, 178, 2, 'Seychelles', 10, 1 UNION ALL</v>
      </c>
      <c r="X406">
        <v>416</v>
      </c>
      <c r="Y406">
        <v>315</v>
      </c>
      <c r="Z406">
        <v>2</v>
      </c>
      <c r="AA406">
        <v>4</v>
      </c>
    </row>
    <row r="407" spans="1:27">
      <c r="A407">
        <v>431</v>
      </c>
      <c r="B407">
        <v>180</v>
      </c>
      <c r="C407">
        <v>1</v>
      </c>
      <c r="D407" t="s">
        <v>469</v>
      </c>
      <c r="E407">
        <v>10</v>
      </c>
      <c r="F407">
        <v>1</v>
      </c>
      <c r="G407">
        <v>1</v>
      </c>
      <c r="H407" t="s">
        <v>941</v>
      </c>
      <c r="I407">
        <v>0</v>
      </c>
      <c r="J407">
        <v>0</v>
      </c>
      <c r="K407">
        <v>0</v>
      </c>
      <c r="L407">
        <v>1</v>
      </c>
      <c r="N407" t="str">
        <f t="shared" si="6"/>
        <v>SELECT 431, 180, 1, 'Mauritius', 10, 1 UNION ALL</v>
      </c>
      <c r="X407">
        <v>417</v>
      </c>
      <c r="Y407">
        <v>315</v>
      </c>
      <c r="Z407">
        <v>3</v>
      </c>
      <c r="AA407">
        <v>0</v>
      </c>
    </row>
    <row r="408" spans="1:27">
      <c r="A408">
        <v>432</v>
      </c>
      <c r="B408">
        <v>180</v>
      </c>
      <c r="C408">
        <v>2</v>
      </c>
      <c r="D408" t="s">
        <v>469</v>
      </c>
      <c r="E408">
        <v>10</v>
      </c>
      <c r="F408">
        <v>1</v>
      </c>
      <c r="G408">
        <v>1</v>
      </c>
      <c r="H408" t="s">
        <v>942</v>
      </c>
      <c r="I408">
        <v>0</v>
      </c>
      <c r="J408">
        <v>0</v>
      </c>
      <c r="K408">
        <v>0</v>
      </c>
      <c r="L408">
        <v>1</v>
      </c>
      <c r="N408" t="str">
        <f t="shared" si="6"/>
        <v>SELECT 432, 180, 2, 'Mauritius', 10, 1 UNION ALL</v>
      </c>
      <c r="X408">
        <v>418</v>
      </c>
      <c r="Y408">
        <v>315</v>
      </c>
      <c r="Z408">
        <v>4</v>
      </c>
      <c r="AA408">
        <v>1</v>
      </c>
    </row>
    <row r="409" spans="1:27">
      <c r="A409">
        <v>433</v>
      </c>
      <c r="B409">
        <v>181</v>
      </c>
      <c r="C409">
        <v>1</v>
      </c>
      <c r="D409" t="s">
        <v>471</v>
      </c>
      <c r="E409">
        <v>10</v>
      </c>
      <c r="F409">
        <v>1</v>
      </c>
      <c r="G409">
        <v>1</v>
      </c>
      <c r="H409" t="s">
        <v>943</v>
      </c>
      <c r="I409">
        <v>0</v>
      </c>
      <c r="J409">
        <v>0</v>
      </c>
      <c r="K409">
        <v>0</v>
      </c>
      <c r="L409">
        <v>1</v>
      </c>
      <c r="N409" t="str">
        <f t="shared" si="6"/>
        <v>SELECT 433, 181, 1, 'USA', 10, 1 UNION ALL</v>
      </c>
      <c r="X409">
        <v>419</v>
      </c>
      <c r="Y409">
        <v>316</v>
      </c>
      <c r="Z409">
        <v>5</v>
      </c>
      <c r="AA409">
        <v>9</v>
      </c>
    </row>
    <row r="410" spans="1:27">
      <c r="A410">
        <v>434</v>
      </c>
      <c r="B410">
        <v>181</v>
      </c>
      <c r="C410">
        <v>1</v>
      </c>
      <c r="D410" t="s">
        <v>944</v>
      </c>
      <c r="E410">
        <v>5</v>
      </c>
      <c r="F410">
        <v>1</v>
      </c>
      <c r="G410">
        <v>1</v>
      </c>
      <c r="H410" t="s">
        <v>945</v>
      </c>
      <c r="I410">
        <v>0</v>
      </c>
      <c r="J410">
        <v>0</v>
      </c>
      <c r="K410">
        <v>0</v>
      </c>
      <c r="L410">
        <v>1</v>
      </c>
      <c r="N410" t="str">
        <f t="shared" si="6"/>
        <v>SELECT 434, 181, 1, 'Stany Zjednoczone', 5, 1 UNION ALL</v>
      </c>
      <c r="X410">
        <v>420</v>
      </c>
      <c r="Y410">
        <v>316</v>
      </c>
      <c r="Z410">
        <v>6</v>
      </c>
      <c r="AA410">
        <v>10</v>
      </c>
    </row>
    <row r="411" spans="1:27">
      <c r="A411">
        <v>435</v>
      </c>
      <c r="B411">
        <v>181</v>
      </c>
      <c r="C411">
        <v>2</v>
      </c>
      <c r="D411" t="s">
        <v>946</v>
      </c>
      <c r="E411">
        <v>10</v>
      </c>
      <c r="F411">
        <v>1</v>
      </c>
      <c r="G411">
        <v>1</v>
      </c>
      <c r="H411" t="s">
        <v>947</v>
      </c>
      <c r="I411">
        <v>0</v>
      </c>
      <c r="J411">
        <v>0</v>
      </c>
      <c r="K411">
        <v>0</v>
      </c>
      <c r="L411">
        <v>1</v>
      </c>
      <c r="N411" t="str">
        <f t="shared" si="6"/>
        <v>SELECT 435, 181, 2, 'the USA', 10, 1 UNION ALL</v>
      </c>
      <c r="X411">
        <v>421</v>
      </c>
      <c r="Y411">
        <v>316</v>
      </c>
      <c r="Z411">
        <v>7</v>
      </c>
      <c r="AA411">
        <v>0</v>
      </c>
    </row>
    <row r="412" spans="1:27">
      <c r="A412">
        <v>436</v>
      </c>
      <c r="B412">
        <v>181</v>
      </c>
      <c r="C412">
        <v>2</v>
      </c>
      <c r="D412" t="s">
        <v>948</v>
      </c>
      <c r="E412">
        <v>10</v>
      </c>
      <c r="F412">
        <v>1</v>
      </c>
      <c r="G412">
        <v>1</v>
      </c>
      <c r="H412" t="s">
        <v>949</v>
      </c>
      <c r="I412">
        <v>0</v>
      </c>
      <c r="J412">
        <v>0</v>
      </c>
      <c r="K412">
        <v>0</v>
      </c>
      <c r="L412">
        <v>1</v>
      </c>
      <c r="N412" t="str">
        <f t="shared" si="6"/>
        <v>SELECT 436, 181, 2, 'the United States', 10, 1 UNION ALL</v>
      </c>
      <c r="X412">
        <v>422</v>
      </c>
      <c r="Y412">
        <v>316</v>
      </c>
      <c r="Z412">
        <v>8</v>
      </c>
      <c r="AA412">
        <v>1</v>
      </c>
    </row>
    <row r="413" spans="1:27">
      <c r="A413">
        <v>437</v>
      </c>
      <c r="B413">
        <v>175</v>
      </c>
      <c r="C413">
        <v>2</v>
      </c>
      <c r="D413" t="s">
        <v>461</v>
      </c>
      <c r="E413">
        <v>10</v>
      </c>
      <c r="F413">
        <v>1</v>
      </c>
      <c r="G413">
        <v>1</v>
      </c>
      <c r="H413" t="s">
        <v>950</v>
      </c>
      <c r="I413">
        <v>0</v>
      </c>
      <c r="J413">
        <v>0</v>
      </c>
      <c r="K413">
        <v>0</v>
      </c>
      <c r="L413">
        <v>1</v>
      </c>
      <c r="N413" t="str">
        <f t="shared" si="6"/>
        <v>SELECT 437, 175, 2, 'Zambia', 10, 1 UNION ALL</v>
      </c>
      <c r="X413">
        <v>423</v>
      </c>
      <c r="Y413">
        <v>317</v>
      </c>
      <c r="Z413">
        <v>1</v>
      </c>
      <c r="AA413">
        <v>2</v>
      </c>
    </row>
    <row r="414" spans="1:27">
      <c r="A414">
        <v>438</v>
      </c>
      <c r="B414">
        <v>177</v>
      </c>
      <c r="C414">
        <v>2</v>
      </c>
      <c r="D414" t="s">
        <v>465</v>
      </c>
      <c r="E414">
        <v>10</v>
      </c>
      <c r="F414">
        <v>1</v>
      </c>
      <c r="G414">
        <v>1</v>
      </c>
      <c r="H414" t="s">
        <v>951</v>
      </c>
      <c r="I414">
        <v>0</v>
      </c>
      <c r="J414">
        <v>0</v>
      </c>
      <c r="K414">
        <v>0</v>
      </c>
      <c r="L414">
        <v>1</v>
      </c>
      <c r="N414" t="str">
        <f t="shared" si="6"/>
        <v>SELECT 438, 177, 2, 'Botswana', 10, 1 UNION ALL</v>
      </c>
      <c r="X414">
        <v>424</v>
      </c>
      <c r="Y414">
        <v>317</v>
      </c>
      <c r="Z414">
        <v>2</v>
      </c>
      <c r="AA414">
        <v>4</v>
      </c>
    </row>
    <row r="415" spans="1:27">
      <c r="A415">
        <v>439</v>
      </c>
      <c r="B415">
        <v>166</v>
      </c>
      <c r="C415">
        <v>2</v>
      </c>
      <c r="D415" t="s">
        <v>952</v>
      </c>
      <c r="E415">
        <v>10</v>
      </c>
      <c r="F415">
        <v>1</v>
      </c>
      <c r="G415">
        <v>1</v>
      </c>
      <c r="H415" t="s">
        <v>953</v>
      </c>
      <c r="I415">
        <v>0</v>
      </c>
      <c r="J415">
        <v>0</v>
      </c>
      <c r="K415">
        <v>0</v>
      </c>
      <c r="L415">
        <v>1</v>
      </c>
      <c r="N415" t="str">
        <f t="shared" si="6"/>
        <v>SELECT 439, 166, 2, 'Kenya', 10, 1 UNION ALL</v>
      </c>
      <c r="X415">
        <v>425</v>
      </c>
      <c r="Y415">
        <v>317</v>
      </c>
      <c r="Z415">
        <v>3</v>
      </c>
      <c r="AA415">
        <v>0</v>
      </c>
    </row>
    <row r="416" spans="1:27">
      <c r="A416">
        <v>440</v>
      </c>
      <c r="B416">
        <v>167</v>
      </c>
      <c r="C416">
        <v>2</v>
      </c>
      <c r="D416" t="s">
        <v>447</v>
      </c>
      <c r="E416">
        <v>10</v>
      </c>
      <c r="F416">
        <v>1</v>
      </c>
      <c r="G416">
        <v>1</v>
      </c>
      <c r="H416" t="s">
        <v>954</v>
      </c>
      <c r="I416">
        <v>0</v>
      </c>
      <c r="J416">
        <v>0</v>
      </c>
      <c r="K416">
        <v>0</v>
      </c>
      <c r="L416">
        <v>1</v>
      </c>
      <c r="N416" t="str">
        <f t="shared" si="6"/>
        <v>SELECT 440, 167, 2, 'Tanzania', 10, 1 UNION ALL</v>
      </c>
      <c r="X416">
        <v>426</v>
      </c>
      <c r="Y416">
        <v>317</v>
      </c>
      <c r="Z416">
        <v>4</v>
      </c>
      <c r="AA416">
        <v>1</v>
      </c>
    </row>
    <row r="417" spans="1:27">
      <c r="A417">
        <v>441</v>
      </c>
      <c r="B417">
        <v>168</v>
      </c>
      <c r="C417">
        <v>1</v>
      </c>
      <c r="D417" t="s">
        <v>449</v>
      </c>
      <c r="E417">
        <v>10</v>
      </c>
      <c r="F417">
        <v>1</v>
      </c>
      <c r="G417">
        <v>1</v>
      </c>
      <c r="H417" t="s">
        <v>955</v>
      </c>
      <c r="I417">
        <v>0</v>
      </c>
      <c r="J417">
        <v>0</v>
      </c>
      <c r="K417">
        <v>0</v>
      </c>
      <c r="L417">
        <v>1</v>
      </c>
      <c r="N417" t="str">
        <f t="shared" si="6"/>
        <v>SELECT 441, 168, 1, 'Mozambik', 10, 1 UNION ALL</v>
      </c>
      <c r="X417">
        <v>427</v>
      </c>
      <c r="Y417">
        <v>318</v>
      </c>
      <c r="Z417">
        <v>5</v>
      </c>
      <c r="AA417">
        <v>8</v>
      </c>
    </row>
    <row r="418" spans="1:27">
      <c r="A418">
        <v>442</v>
      </c>
      <c r="B418">
        <v>168</v>
      </c>
      <c r="C418">
        <v>2</v>
      </c>
      <c r="D418" t="s">
        <v>956</v>
      </c>
      <c r="E418">
        <v>10</v>
      </c>
      <c r="F418">
        <v>1</v>
      </c>
      <c r="G418">
        <v>1</v>
      </c>
      <c r="H418" t="s">
        <v>957</v>
      </c>
      <c r="I418">
        <v>0</v>
      </c>
      <c r="J418">
        <v>0</v>
      </c>
      <c r="K418">
        <v>0</v>
      </c>
      <c r="L418">
        <v>1</v>
      </c>
      <c r="N418" t="str">
        <f t="shared" si="6"/>
        <v>SELECT 442, 168, 2, 'Mozambique', 10, 1 UNION ALL</v>
      </c>
      <c r="X418">
        <v>428</v>
      </c>
      <c r="Y418">
        <v>318</v>
      </c>
      <c r="Z418">
        <v>6</v>
      </c>
      <c r="AA418">
        <v>10</v>
      </c>
    </row>
    <row r="419" spans="1:27">
      <c r="A419">
        <v>443</v>
      </c>
      <c r="B419">
        <v>169</v>
      </c>
      <c r="C419">
        <v>1</v>
      </c>
      <c r="D419" t="s">
        <v>451</v>
      </c>
      <c r="E419">
        <v>10</v>
      </c>
      <c r="F419">
        <v>1</v>
      </c>
      <c r="G419">
        <v>1</v>
      </c>
      <c r="H419" t="s">
        <v>958</v>
      </c>
      <c r="I419">
        <v>0</v>
      </c>
      <c r="J419">
        <v>0</v>
      </c>
      <c r="K419">
        <v>0</v>
      </c>
      <c r="L419">
        <v>1</v>
      </c>
      <c r="N419" t="str">
        <f t="shared" si="6"/>
        <v>SELECT 443, 169, 1, 'Ruanda', 10, 1 UNION ALL</v>
      </c>
      <c r="X419">
        <v>429</v>
      </c>
      <c r="Y419">
        <v>318</v>
      </c>
      <c r="Z419">
        <v>7</v>
      </c>
      <c r="AA419">
        <v>0</v>
      </c>
    </row>
    <row r="420" spans="1:27">
      <c r="A420">
        <v>444</v>
      </c>
      <c r="B420">
        <v>169</v>
      </c>
      <c r="C420">
        <v>1</v>
      </c>
      <c r="D420" t="s">
        <v>959</v>
      </c>
      <c r="E420">
        <v>10</v>
      </c>
      <c r="F420">
        <v>1</v>
      </c>
      <c r="G420">
        <v>1</v>
      </c>
      <c r="H420" t="s">
        <v>960</v>
      </c>
      <c r="I420">
        <v>0</v>
      </c>
      <c r="J420">
        <v>0</v>
      </c>
      <c r="K420">
        <v>0</v>
      </c>
      <c r="L420">
        <v>1</v>
      </c>
      <c r="N420" t="str">
        <f t="shared" si="6"/>
        <v>SELECT 444, 169, 1, 'Rwanda', 10, 1 UNION ALL</v>
      </c>
      <c r="X420">
        <v>430</v>
      </c>
      <c r="Y420">
        <v>318</v>
      </c>
      <c r="Z420">
        <v>8</v>
      </c>
      <c r="AA420">
        <v>1</v>
      </c>
    </row>
    <row r="421" spans="1:27">
      <c r="A421">
        <v>445</v>
      </c>
      <c r="B421">
        <v>169</v>
      </c>
      <c r="C421">
        <v>2</v>
      </c>
      <c r="D421" t="s">
        <v>959</v>
      </c>
      <c r="E421">
        <v>10</v>
      </c>
      <c r="F421">
        <v>1</v>
      </c>
      <c r="G421">
        <v>1</v>
      </c>
      <c r="H421" t="s">
        <v>961</v>
      </c>
      <c r="I421">
        <v>0</v>
      </c>
      <c r="J421">
        <v>0</v>
      </c>
      <c r="K421">
        <v>0</v>
      </c>
      <c r="L421">
        <v>1</v>
      </c>
      <c r="N421" t="str">
        <f t="shared" si="6"/>
        <v>SELECT 445, 169, 2, 'Rwanda', 10, 1 UNION ALL</v>
      </c>
      <c r="X421">
        <v>431</v>
      </c>
      <c r="Y421">
        <v>319</v>
      </c>
      <c r="Z421">
        <v>1</v>
      </c>
      <c r="AA421">
        <v>2</v>
      </c>
    </row>
    <row r="422" spans="1:27">
      <c r="A422">
        <v>446</v>
      </c>
      <c r="B422">
        <v>165</v>
      </c>
      <c r="C422">
        <v>1</v>
      </c>
      <c r="D422" t="s">
        <v>443</v>
      </c>
      <c r="E422">
        <v>10</v>
      </c>
      <c r="F422">
        <v>1</v>
      </c>
      <c r="G422">
        <v>1</v>
      </c>
      <c r="H422" t="s">
        <v>962</v>
      </c>
      <c r="I422">
        <v>0</v>
      </c>
      <c r="J422">
        <v>0</v>
      </c>
      <c r="K422">
        <v>0</v>
      </c>
      <c r="L422">
        <v>1</v>
      </c>
      <c r="N422" t="str">
        <f t="shared" si="6"/>
        <v>SELECT 446, 165, 1, 'Burundi', 10, 1 UNION ALL</v>
      </c>
      <c r="X422">
        <v>432</v>
      </c>
      <c r="Y422">
        <v>319</v>
      </c>
      <c r="Z422">
        <v>2</v>
      </c>
      <c r="AA422">
        <v>4</v>
      </c>
    </row>
    <row r="423" spans="1:27">
      <c r="A423">
        <v>447</v>
      </c>
      <c r="B423">
        <v>165</v>
      </c>
      <c r="C423">
        <v>2</v>
      </c>
      <c r="D423" t="s">
        <v>443</v>
      </c>
      <c r="E423">
        <v>10</v>
      </c>
      <c r="F423">
        <v>1</v>
      </c>
      <c r="G423">
        <v>1</v>
      </c>
      <c r="H423" t="s">
        <v>963</v>
      </c>
      <c r="I423">
        <v>0</v>
      </c>
      <c r="J423">
        <v>0</v>
      </c>
      <c r="K423">
        <v>0</v>
      </c>
      <c r="L423">
        <v>1</v>
      </c>
      <c r="N423" t="str">
        <f t="shared" si="6"/>
        <v>SELECT 447, 165, 2, 'Burundi', 10, 1 UNION ALL</v>
      </c>
      <c r="X423">
        <v>433</v>
      </c>
      <c r="Y423">
        <v>319</v>
      </c>
      <c r="Z423">
        <v>3</v>
      </c>
      <c r="AA423">
        <v>0</v>
      </c>
    </row>
    <row r="424" spans="1:27">
      <c r="A424">
        <v>448</v>
      </c>
      <c r="B424">
        <v>164</v>
      </c>
      <c r="C424">
        <v>1</v>
      </c>
      <c r="D424" t="s">
        <v>441</v>
      </c>
      <c r="E424">
        <v>10</v>
      </c>
      <c r="F424">
        <v>1</v>
      </c>
      <c r="G424">
        <v>1</v>
      </c>
      <c r="H424" t="s">
        <v>964</v>
      </c>
      <c r="I424">
        <v>0</v>
      </c>
      <c r="J424">
        <v>0</v>
      </c>
      <c r="K424">
        <v>0</v>
      </c>
      <c r="L424">
        <v>1</v>
      </c>
      <c r="N424" t="str">
        <f t="shared" si="6"/>
        <v>SELECT 448, 164, 1, 'Uganda', 10, 1 UNION ALL</v>
      </c>
      <c r="X424">
        <v>434</v>
      </c>
      <c r="Y424">
        <v>319</v>
      </c>
      <c r="Z424">
        <v>4</v>
      </c>
      <c r="AA424">
        <v>1</v>
      </c>
    </row>
    <row r="425" spans="1:27">
      <c r="A425">
        <v>449</v>
      </c>
      <c r="B425">
        <v>164</v>
      </c>
      <c r="C425">
        <v>2</v>
      </c>
      <c r="D425" t="s">
        <v>441</v>
      </c>
      <c r="E425">
        <v>10</v>
      </c>
      <c r="F425">
        <v>1</v>
      </c>
      <c r="G425">
        <v>1</v>
      </c>
      <c r="H425" t="s">
        <v>965</v>
      </c>
      <c r="I425">
        <v>0</v>
      </c>
      <c r="J425">
        <v>0</v>
      </c>
      <c r="K425">
        <v>0</v>
      </c>
      <c r="L425">
        <v>1</v>
      </c>
      <c r="N425" t="str">
        <f t="shared" si="6"/>
        <v>SELECT 449, 164, 2, 'Uganda', 10, 1 UNION ALL</v>
      </c>
      <c r="X425">
        <v>435</v>
      </c>
      <c r="Y425">
        <v>320</v>
      </c>
      <c r="Z425">
        <v>5</v>
      </c>
      <c r="AA425">
        <v>8</v>
      </c>
    </row>
    <row r="426" spans="1:27">
      <c r="A426">
        <v>450</v>
      </c>
      <c r="B426">
        <v>162</v>
      </c>
      <c r="C426">
        <v>1</v>
      </c>
      <c r="D426" t="s">
        <v>437</v>
      </c>
      <c r="E426">
        <v>10</v>
      </c>
      <c r="F426">
        <v>1</v>
      </c>
      <c r="G426">
        <v>1</v>
      </c>
      <c r="H426" t="s">
        <v>966</v>
      </c>
      <c r="I426">
        <v>0</v>
      </c>
      <c r="J426">
        <v>0</v>
      </c>
      <c r="K426">
        <v>0</v>
      </c>
      <c r="L426">
        <v>1</v>
      </c>
      <c r="N426" t="str">
        <f t="shared" si="6"/>
        <v>SELECT 450, 162, 1, 'Kongo', 10, 1 UNION ALL</v>
      </c>
      <c r="X426">
        <v>436</v>
      </c>
      <c r="Y426">
        <v>320</v>
      </c>
      <c r="Z426">
        <v>6</v>
      </c>
      <c r="AA426">
        <v>10</v>
      </c>
    </row>
    <row r="427" spans="1:27">
      <c r="A427">
        <v>451</v>
      </c>
      <c r="B427">
        <v>162</v>
      </c>
      <c r="C427">
        <v>2</v>
      </c>
      <c r="D427" t="s">
        <v>967</v>
      </c>
      <c r="E427">
        <v>10</v>
      </c>
      <c r="F427">
        <v>1</v>
      </c>
      <c r="G427">
        <v>1</v>
      </c>
      <c r="H427" t="s">
        <v>968</v>
      </c>
      <c r="I427">
        <v>0</v>
      </c>
      <c r="J427">
        <v>0</v>
      </c>
      <c r="K427">
        <v>0</v>
      </c>
      <c r="L427">
        <v>1</v>
      </c>
      <c r="N427" t="str">
        <f t="shared" si="6"/>
        <v>SELECT 451, 162, 2, 'Congo', 10, 1 UNION ALL</v>
      </c>
      <c r="X427">
        <v>437</v>
      </c>
      <c r="Y427">
        <v>320</v>
      </c>
      <c r="Z427">
        <v>7</v>
      </c>
      <c r="AA427">
        <v>0</v>
      </c>
    </row>
    <row r="428" spans="1:27">
      <c r="A428">
        <v>452</v>
      </c>
      <c r="B428">
        <v>160</v>
      </c>
      <c r="C428">
        <v>1</v>
      </c>
      <c r="D428" t="s">
        <v>435</v>
      </c>
      <c r="E428">
        <v>10</v>
      </c>
      <c r="F428">
        <v>1</v>
      </c>
      <c r="G428">
        <v>1</v>
      </c>
      <c r="H428" t="s">
        <v>969</v>
      </c>
      <c r="I428">
        <v>0</v>
      </c>
      <c r="J428">
        <v>0</v>
      </c>
      <c r="K428">
        <v>0</v>
      </c>
      <c r="L428">
        <v>1</v>
      </c>
      <c r="N428" t="str">
        <f t="shared" si="6"/>
        <v>SELECT 452, 160, 1, 'Gabon', 10, 1 UNION ALL</v>
      </c>
      <c r="X428">
        <v>438</v>
      </c>
      <c r="Y428">
        <v>320</v>
      </c>
      <c r="Z428">
        <v>8</v>
      </c>
      <c r="AA428">
        <v>1</v>
      </c>
    </row>
    <row r="429" spans="1:27">
      <c r="A429">
        <v>453</v>
      </c>
      <c r="B429">
        <v>160</v>
      </c>
      <c r="C429">
        <v>2</v>
      </c>
      <c r="D429" t="s">
        <v>435</v>
      </c>
      <c r="E429">
        <v>10</v>
      </c>
      <c r="F429">
        <v>1</v>
      </c>
      <c r="G429">
        <v>1</v>
      </c>
      <c r="H429" t="s">
        <v>970</v>
      </c>
      <c r="I429">
        <v>0</v>
      </c>
      <c r="J429">
        <v>0</v>
      </c>
      <c r="K429">
        <v>0</v>
      </c>
      <c r="L429">
        <v>1</v>
      </c>
      <c r="N429" t="str">
        <f t="shared" si="6"/>
        <v>SELECT 453, 160, 2, 'Gabon', 10, 1 UNION ALL</v>
      </c>
      <c r="X429">
        <v>439</v>
      </c>
      <c r="Y429">
        <v>321</v>
      </c>
      <c r="Z429">
        <v>1</v>
      </c>
      <c r="AA429">
        <v>2</v>
      </c>
    </row>
    <row r="430" spans="1:27">
      <c r="A430">
        <v>454</v>
      </c>
      <c r="B430">
        <v>163</v>
      </c>
      <c r="C430">
        <v>1</v>
      </c>
      <c r="D430" t="s">
        <v>439</v>
      </c>
      <c r="E430">
        <v>10</v>
      </c>
      <c r="F430">
        <v>1</v>
      </c>
      <c r="G430">
        <v>1</v>
      </c>
      <c r="H430" t="s">
        <v>971</v>
      </c>
      <c r="I430">
        <v>0</v>
      </c>
      <c r="J430">
        <v>0</v>
      </c>
      <c r="K430">
        <v>0</v>
      </c>
      <c r="L430">
        <v>1</v>
      </c>
      <c r="N430" t="str">
        <f t="shared" si="6"/>
        <v>SELECT 454, 163, 1, 'Demokratyczna Republika Konga', 10, 1 UNION ALL</v>
      </c>
      <c r="X430">
        <v>440</v>
      </c>
      <c r="Y430">
        <v>321</v>
      </c>
      <c r="Z430">
        <v>2</v>
      </c>
      <c r="AA430">
        <v>4</v>
      </c>
    </row>
    <row r="431" spans="1:27">
      <c r="X431">
        <v>441</v>
      </c>
      <c r="Y431">
        <v>321</v>
      </c>
      <c r="Z431">
        <v>3</v>
      </c>
      <c r="AA431">
        <v>0</v>
      </c>
    </row>
    <row r="432" spans="1:27">
      <c r="X432">
        <v>442</v>
      </c>
      <c r="Y432">
        <v>321</v>
      </c>
      <c r="Z432">
        <v>4</v>
      </c>
      <c r="AA432">
        <v>1</v>
      </c>
    </row>
    <row r="433" spans="24:27">
      <c r="X433">
        <v>443</v>
      </c>
      <c r="Y433">
        <v>322</v>
      </c>
      <c r="Z433">
        <v>1</v>
      </c>
      <c r="AA433">
        <v>2</v>
      </c>
    </row>
    <row r="434" spans="24:27">
      <c r="X434">
        <v>444</v>
      </c>
      <c r="Y434">
        <v>322</v>
      </c>
      <c r="Z434">
        <v>2</v>
      </c>
      <c r="AA434">
        <v>4</v>
      </c>
    </row>
    <row r="435" spans="24:27">
      <c r="X435">
        <v>445</v>
      </c>
      <c r="Y435">
        <v>322</v>
      </c>
      <c r="Z435">
        <v>3</v>
      </c>
      <c r="AA435">
        <v>0</v>
      </c>
    </row>
    <row r="436" spans="24:27">
      <c r="X436">
        <v>446</v>
      </c>
      <c r="Y436">
        <v>322</v>
      </c>
      <c r="Z436">
        <v>4</v>
      </c>
      <c r="AA436">
        <v>1</v>
      </c>
    </row>
    <row r="437" spans="24:27">
      <c r="X437">
        <v>447</v>
      </c>
      <c r="Y437">
        <v>323</v>
      </c>
      <c r="Z437">
        <v>1</v>
      </c>
      <c r="AA437">
        <v>2</v>
      </c>
    </row>
    <row r="438" spans="24:27">
      <c r="X438">
        <v>448</v>
      </c>
      <c r="Y438">
        <v>323</v>
      </c>
      <c r="Z438">
        <v>2</v>
      </c>
      <c r="AA438">
        <v>4</v>
      </c>
    </row>
    <row r="439" spans="24:27">
      <c r="X439">
        <v>449</v>
      </c>
      <c r="Y439">
        <v>323</v>
      </c>
      <c r="Z439">
        <v>3</v>
      </c>
      <c r="AA439">
        <v>0</v>
      </c>
    </row>
    <row r="440" spans="24:27">
      <c r="X440">
        <v>450</v>
      </c>
      <c r="Y440">
        <v>323</v>
      </c>
      <c r="Z440">
        <v>4</v>
      </c>
      <c r="AA440">
        <v>1</v>
      </c>
    </row>
    <row r="441" spans="24:27">
      <c r="X441">
        <v>451</v>
      </c>
      <c r="Y441">
        <v>324</v>
      </c>
      <c r="Z441">
        <v>1</v>
      </c>
      <c r="AA441">
        <v>2</v>
      </c>
    </row>
    <row r="442" spans="24:27">
      <c r="X442">
        <v>452</v>
      </c>
      <c r="Y442">
        <v>324</v>
      </c>
      <c r="Z442">
        <v>2</v>
      </c>
      <c r="AA442">
        <v>4</v>
      </c>
    </row>
    <row r="443" spans="24:27">
      <c r="X443">
        <v>453</v>
      </c>
      <c r="Y443">
        <v>324</v>
      </c>
      <c r="Z443">
        <v>3</v>
      </c>
      <c r="AA443">
        <v>0</v>
      </c>
    </row>
    <row r="444" spans="24:27">
      <c r="X444">
        <v>454</v>
      </c>
      <c r="Y444">
        <v>324</v>
      </c>
      <c r="Z444">
        <v>4</v>
      </c>
      <c r="AA444">
        <v>1</v>
      </c>
    </row>
    <row r="445" spans="24:27">
      <c r="X445">
        <v>455</v>
      </c>
      <c r="Y445">
        <v>325</v>
      </c>
      <c r="Z445">
        <v>1</v>
      </c>
      <c r="AA445">
        <v>2</v>
      </c>
    </row>
    <row r="446" spans="24:27">
      <c r="X446">
        <v>456</v>
      </c>
      <c r="Y446">
        <v>325</v>
      </c>
      <c r="Z446">
        <v>2</v>
      </c>
      <c r="AA446">
        <v>4</v>
      </c>
    </row>
    <row r="447" spans="24:27">
      <c r="X447">
        <v>457</v>
      </c>
      <c r="Y447">
        <v>325</v>
      </c>
      <c r="Z447">
        <v>3</v>
      </c>
      <c r="AA447">
        <v>0</v>
      </c>
    </row>
    <row r="448" spans="24:27">
      <c r="X448">
        <v>458</v>
      </c>
      <c r="Y448">
        <v>325</v>
      </c>
      <c r="Z448">
        <v>4</v>
      </c>
      <c r="AA448">
        <v>1</v>
      </c>
    </row>
    <row r="449" spans="24:27">
      <c r="X449">
        <v>459</v>
      </c>
      <c r="Y449">
        <v>326</v>
      </c>
      <c r="Z449">
        <v>1</v>
      </c>
      <c r="AA449">
        <v>3</v>
      </c>
    </row>
    <row r="450" spans="24:27">
      <c r="X450">
        <v>460</v>
      </c>
      <c r="Y450">
        <v>326</v>
      </c>
      <c r="Z450">
        <v>2</v>
      </c>
      <c r="AA450">
        <v>4</v>
      </c>
    </row>
    <row r="451" spans="24:27">
      <c r="X451">
        <v>461</v>
      </c>
      <c r="Y451">
        <v>326</v>
      </c>
      <c r="Z451">
        <v>3</v>
      </c>
      <c r="AA451">
        <v>0</v>
      </c>
    </row>
    <row r="452" spans="24:27">
      <c r="X452">
        <v>462</v>
      </c>
      <c r="Y452">
        <v>326</v>
      </c>
      <c r="Z452">
        <v>4</v>
      </c>
      <c r="AA452">
        <v>1</v>
      </c>
    </row>
    <row r="453" spans="24:27">
      <c r="X453">
        <v>463</v>
      </c>
      <c r="Y453">
        <v>327</v>
      </c>
      <c r="Z453">
        <v>1</v>
      </c>
      <c r="AA453">
        <v>3</v>
      </c>
    </row>
    <row r="454" spans="24:27">
      <c r="X454">
        <v>464</v>
      </c>
      <c r="Y454">
        <v>327</v>
      </c>
      <c r="Z454">
        <v>2</v>
      </c>
      <c r="AA454">
        <v>4</v>
      </c>
    </row>
    <row r="455" spans="24:27">
      <c r="X455">
        <v>465</v>
      </c>
      <c r="Y455">
        <v>327</v>
      </c>
      <c r="Z455">
        <v>3</v>
      </c>
      <c r="AA455">
        <v>0</v>
      </c>
    </row>
    <row r="456" spans="24:27">
      <c r="X456">
        <v>466</v>
      </c>
      <c r="Y456">
        <v>327</v>
      </c>
      <c r="Z456">
        <v>4</v>
      </c>
      <c r="AA456">
        <v>1</v>
      </c>
    </row>
    <row r="457" spans="24:27">
      <c r="X457">
        <v>467</v>
      </c>
      <c r="Y457">
        <v>328</v>
      </c>
      <c r="Z457">
        <v>1</v>
      </c>
      <c r="AA457">
        <v>3</v>
      </c>
    </row>
    <row r="458" spans="24:27">
      <c r="X458">
        <v>468</v>
      </c>
      <c r="Y458">
        <v>328</v>
      </c>
      <c r="Z458">
        <v>2</v>
      </c>
      <c r="AA458">
        <v>4</v>
      </c>
    </row>
    <row r="459" spans="24:27">
      <c r="X459">
        <v>469</v>
      </c>
      <c r="Y459">
        <v>328</v>
      </c>
      <c r="Z459">
        <v>3</v>
      </c>
      <c r="AA459">
        <v>0</v>
      </c>
    </row>
    <row r="460" spans="24:27">
      <c r="X460">
        <v>470</v>
      </c>
      <c r="Y460">
        <v>328</v>
      </c>
      <c r="Z460">
        <v>4</v>
      </c>
      <c r="AA460">
        <v>1</v>
      </c>
    </row>
    <row r="461" spans="24:27">
      <c r="X461">
        <v>471</v>
      </c>
      <c r="Y461">
        <v>329</v>
      </c>
      <c r="Z461">
        <v>1</v>
      </c>
      <c r="AA461">
        <v>2</v>
      </c>
    </row>
    <row r="462" spans="24:27">
      <c r="X462">
        <v>472</v>
      </c>
      <c r="Y462">
        <v>329</v>
      </c>
      <c r="Z462">
        <v>2</v>
      </c>
      <c r="AA462">
        <v>4</v>
      </c>
    </row>
    <row r="463" spans="24:27">
      <c r="X463">
        <v>473</v>
      </c>
      <c r="Y463">
        <v>329</v>
      </c>
      <c r="Z463">
        <v>3</v>
      </c>
      <c r="AA463">
        <v>0</v>
      </c>
    </row>
    <row r="464" spans="24:27">
      <c r="X464">
        <v>474</v>
      </c>
      <c r="Y464">
        <v>329</v>
      </c>
      <c r="Z464">
        <v>4</v>
      </c>
      <c r="AA464">
        <v>1</v>
      </c>
    </row>
    <row r="465" spans="24:27">
      <c r="X465">
        <v>475</v>
      </c>
      <c r="Y465">
        <v>330</v>
      </c>
      <c r="Z465">
        <v>1</v>
      </c>
      <c r="AA465">
        <v>2</v>
      </c>
    </row>
    <row r="466" spans="24:27">
      <c r="X466">
        <v>476</v>
      </c>
      <c r="Y466">
        <v>330</v>
      </c>
      <c r="Z466">
        <v>2</v>
      </c>
      <c r="AA466">
        <v>4</v>
      </c>
    </row>
    <row r="467" spans="24:27">
      <c r="X467">
        <v>477</v>
      </c>
      <c r="Y467">
        <v>330</v>
      </c>
      <c r="Z467">
        <v>3</v>
      </c>
      <c r="AA467">
        <v>0</v>
      </c>
    </row>
    <row r="468" spans="24:27">
      <c r="X468">
        <v>478</v>
      </c>
      <c r="Y468">
        <v>330</v>
      </c>
      <c r="Z468">
        <v>4</v>
      </c>
      <c r="AA468">
        <v>1</v>
      </c>
    </row>
    <row r="469" spans="24:27">
      <c r="X469">
        <v>479</v>
      </c>
      <c r="Y469">
        <v>266</v>
      </c>
      <c r="Z469">
        <v>1</v>
      </c>
      <c r="AA469">
        <v>2</v>
      </c>
    </row>
    <row r="470" spans="24:27">
      <c r="X470">
        <v>480</v>
      </c>
      <c r="Y470">
        <v>266</v>
      </c>
      <c r="Z470">
        <v>2</v>
      </c>
      <c r="AA470">
        <v>4</v>
      </c>
    </row>
    <row r="471" spans="24:27">
      <c r="X471">
        <v>481</v>
      </c>
      <c r="Y471">
        <v>266</v>
      </c>
      <c r="Z471">
        <v>3</v>
      </c>
      <c r="AA471">
        <v>0</v>
      </c>
    </row>
    <row r="472" spans="24:27">
      <c r="X472">
        <v>482</v>
      </c>
      <c r="Y472">
        <v>266</v>
      </c>
      <c r="Z472">
        <v>4</v>
      </c>
      <c r="AA472">
        <v>1</v>
      </c>
    </row>
    <row r="473" spans="24:27">
      <c r="X473">
        <v>483</v>
      </c>
      <c r="Y473">
        <v>267</v>
      </c>
      <c r="Z473">
        <v>5</v>
      </c>
      <c r="AA473">
        <v>9</v>
      </c>
    </row>
    <row r="474" spans="24:27">
      <c r="X474">
        <v>484</v>
      </c>
      <c r="Y474">
        <v>267</v>
      </c>
      <c r="Z474">
        <v>6</v>
      </c>
      <c r="AA474">
        <v>10</v>
      </c>
    </row>
    <row r="475" spans="24:27">
      <c r="X475">
        <v>485</v>
      </c>
      <c r="Y475">
        <v>267</v>
      </c>
      <c r="Z475">
        <v>7</v>
      </c>
      <c r="AA475">
        <v>0</v>
      </c>
    </row>
    <row r="476" spans="24:27">
      <c r="X476">
        <v>486</v>
      </c>
      <c r="Y476">
        <v>267</v>
      </c>
      <c r="Z476">
        <v>8</v>
      </c>
      <c r="AA476">
        <v>1</v>
      </c>
    </row>
    <row r="477" spans="24:27">
      <c r="X477">
        <v>487</v>
      </c>
      <c r="Y477">
        <v>331</v>
      </c>
      <c r="Z477">
        <v>1</v>
      </c>
      <c r="AA477">
        <v>2</v>
      </c>
    </row>
    <row r="478" spans="24:27">
      <c r="X478">
        <v>488</v>
      </c>
      <c r="Y478">
        <v>331</v>
      </c>
      <c r="Z478">
        <v>2</v>
      </c>
      <c r="AA478">
        <v>4</v>
      </c>
    </row>
    <row r="479" spans="24:27">
      <c r="X479">
        <v>489</v>
      </c>
      <c r="Y479">
        <v>331</v>
      </c>
      <c r="Z479">
        <v>3</v>
      </c>
      <c r="AA479">
        <v>0</v>
      </c>
    </row>
    <row r="480" spans="24:27">
      <c r="X480">
        <v>490</v>
      </c>
      <c r="Y480">
        <v>331</v>
      </c>
      <c r="Z480">
        <v>4</v>
      </c>
      <c r="AA480">
        <v>1</v>
      </c>
    </row>
    <row r="481" spans="24:27">
      <c r="X481">
        <v>491</v>
      </c>
      <c r="Y481">
        <v>332</v>
      </c>
      <c r="Z481">
        <v>1</v>
      </c>
      <c r="AA481">
        <v>2</v>
      </c>
    </row>
    <row r="482" spans="24:27">
      <c r="X482">
        <v>492</v>
      </c>
      <c r="Y482">
        <v>332</v>
      </c>
      <c r="Z482">
        <v>2</v>
      </c>
      <c r="AA482">
        <v>4</v>
      </c>
    </row>
    <row r="483" spans="24:27">
      <c r="X483">
        <v>493</v>
      </c>
      <c r="Y483">
        <v>332</v>
      </c>
      <c r="Z483">
        <v>3</v>
      </c>
      <c r="AA483">
        <v>0</v>
      </c>
    </row>
    <row r="484" spans="24:27">
      <c r="X484">
        <v>494</v>
      </c>
      <c r="Y484">
        <v>332</v>
      </c>
      <c r="Z484">
        <v>4</v>
      </c>
      <c r="AA484">
        <v>1</v>
      </c>
    </row>
    <row r="485" spans="24:27">
      <c r="X485">
        <v>495</v>
      </c>
      <c r="Y485">
        <v>333</v>
      </c>
      <c r="Z485">
        <v>1</v>
      </c>
      <c r="AA485">
        <v>2</v>
      </c>
    </row>
    <row r="486" spans="24:27">
      <c r="X486">
        <v>496</v>
      </c>
      <c r="Y486">
        <v>333</v>
      </c>
      <c r="Z486">
        <v>2</v>
      </c>
      <c r="AA486">
        <v>4</v>
      </c>
    </row>
    <row r="487" spans="24:27">
      <c r="X487">
        <v>497</v>
      </c>
      <c r="Y487">
        <v>333</v>
      </c>
      <c r="Z487">
        <v>3</v>
      </c>
      <c r="AA487">
        <v>0</v>
      </c>
    </row>
    <row r="488" spans="24:27">
      <c r="X488">
        <v>498</v>
      </c>
      <c r="Y488">
        <v>333</v>
      </c>
      <c r="Z488">
        <v>4</v>
      </c>
      <c r="AA488">
        <v>1</v>
      </c>
    </row>
    <row r="489" spans="24:27">
      <c r="X489">
        <v>499</v>
      </c>
      <c r="Y489">
        <v>334</v>
      </c>
      <c r="Z489">
        <v>1</v>
      </c>
      <c r="AA489">
        <v>2</v>
      </c>
    </row>
    <row r="490" spans="24:27">
      <c r="X490">
        <v>500</v>
      </c>
      <c r="Y490">
        <v>334</v>
      </c>
      <c r="Z490">
        <v>2</v>
      </c>
      <c r="AA490">
        <v>4</v>
      </c>
    </row>
    <row r="491" spans="24:27">
      <c r="X491">
        <v>501</v>
      </c>
      <c r="Y491">
        <v>334</v>
      </c>
      <c r="Z491">
        <v>3</v>
      </c>
      <c r="AA491">
        <v>0</v>
      </c>
    </row>
    <row r="492" spans="24:27">
      <c r="X492">
        <v>502</v>
      </c>
      <c r="Y492">
        <v>334</v>
      </c>
      <c r="Z492">
        <v>4</v>
      </c>
      <c r="AA492">
        <v>1</v>
      </c>
    </row>
    <row r="493" spans="24:27">
      <c r="X493">
        <v>503</v>
      </c>
      <c r="Y493">
        <v>335</v>
      </c>
      <c r="Z493">
        <v>1</v>
      </c>
      <c r="AA493">
        <v>1</v>
      </c>
    </row>
    <row r="494" spans="24:27">
      <c r="X494">
        <v>504</v>
      </c>
      <c r="Y494">
        <v>335</v>
      </c>
      <c r="Z494">
        <v>2</v>
      </c>
      <c r="AA494">
        <v>4</v>
      </c>
    </row>
    <row r="495" spans="24:27">
      <c r="X495">
        <v>505</v>
      </c>
      <c r="Y495">
        <v>335</v>
      </c>
      <c r="Z495">
        <v>3</v>
      </c>
      <c r="AA495">
        <v>0</v>
      </c>
    </row>
    <row r="496" spans="24:27">
      <c r="X496">
        <v>506</v>
      </c>
      <c r="Y496">
        <v>335</v>
      </c>
      <c r="Z496">
        <v>4</v>
      </c>
      <c r="AA496">
        <v>1</v>
      </c>
    </row>
    <row r="497" spans="24:27">
      <c r="X497">
        <v>507</v>
      </c>
      <c r="Y497">
        <v>336</v>
      </c>
      <c r="Z497">
        <v>1</v>
      </c>
      <c r="AA497">
        <v>1</v>
      </c>
    </row>
    <row r="498" spans="24:27">
      <c r="X498">
        <v>508</v>
      </c>
      <c r="Y498">
        <v>336</v>
      </c>
      <c r="Z498">
        <v>2</v>
      </c>
      <c r="AA498">
        <v>4</v>
      </c>
    </row>
    <row r="499" spans="24:27">
      <c r="X499">
        <v>509</v>
      </c>
      <c r="Y499">
        <v>336</v>
      </c>
      <c r="Z499">
        <v>3</v>
      </c>
      <c r="AA499">
        <v>0</v>
      </c>
    </row>
    <row r="500" spans="24:27">
      <c r="X500">
        <v>510</v>
      </c>
      <c r="Y500">
        <v>336</v>
      </c>
      <c r="Z500">
        <v>4</v>
      </c>
      <c r="AA500">
        <v>1</v>
      </c>
    </row>
    <row r="501" spans="24:27">
      <c r="X501">
        <v>511</v>
      </c>
      <c r="Y501">
        <v>337</v>
      </c>
      <c r="Z501">
        <v>1</v>
      </c>
      <c r="AA501">
        <v>1</v>
      </c>
    </row>
    <row r="502" spans="24:27">
      <c r="X502">
        <v>512</v>
      </c>
      <c r="Y502">
        <v>337</v>
      </c>
      <c r="Z502">
        <v>2</v>
      </c>
      <c r="AA502">
        <v>4</v>
      </c>
    </row>
    <row r="503" spans="24:27">
      <c r="X503">
        <v>513</v>
      </c>
      <c r="Y503">
        <v>337</v>
      </c>
      <c r="Z503">
        <v>3</v>
      </c>
      <c r="AA503">
        <v>0</v>
      </c>
    </row>
    <row r="504" spans="24:27">
      <c r="X504">
        <v>514</v>
      </c>
      <c r="Y504">
        <v>337</v>
      </c>
      <c r="Z504">
        <v>4</v>
      </c>
      <c r="AA504">
        <v>1</v>
      </c>
    </row>
    <row r="505" spans="24:27">
      <c r="X505">
        <v>515</v>
      </c>
      <c r="Y505">
        <v>338</v>
      </c>
      <c r="Z505">
        <v>1</v>
      </c>
      <c r="AA505">
        <v>1</v>
      </c>
    </row>
    <row r="506" spans="24:27">
      <c r="X506">
        <v>516</v>
      </c>
      <c r="Y506">
        <v>338</v>
      </c>
      <c r="Z506">
        <v>2</v>
      </c>
      <c r="AA506">
        <v>4</v>
      </c>
    </row>
    <row r="507" spans="24:27">
      <c r="X507">
        <v>517</v>
      </c>
      <c r="Y507">
        <v>338</v>
      </c>
      <c r="Z507">
        <v>3</v>
      </c>
      <c r="AA507">
        <v>0</v>
      </c>
    </row>
    <row r="508" spans="24:27">
      <c r="X508">
        <v>518</v>
      </c>
      <c r="Y508">
        <v>338</v>
      </c>
      <c r="Z508">
        <v>4</v>
      </c>
      <c r="AA508">
        <v>1</v>
      </c>
    </row>
    <row r="509" spans="24:27">
      <c r="X509">
        <v>519</v>
      </c>
      <c r="Y509">
        <v>339</v>
      </c>
      <c r="Z509">
        <v>1</v>
      </c>
      <c r="AA509">
        <v>1</v>
      </c>
    </row>
    <row r="510" spans="24:27">
      <c r="X510">
        <v>520</v>
      </c>
      <c r="Y510">
        <v>339</v>
      </c>
      <c r="Z510">
        <v>2</v>
      </c>
      <c r="AA510">
        <v>4</v>
      </c>
    </row>
    <row r="511" spans="24:27">
      <c r="X511">
        <v>521</v>
      </c>
      <c r="Y511">
        <v>339</v>
      </c>
      <c r="Z511">
        <v>3</v>
      </c>
      <c r="AA511">
        <v>0</v>
      </c>
    </row>
    <row r="512" spans="24:27">
      <c r="X512">
        <v>522</v>
      </c>
      <c r="Y512">
        <v>339</v>
      </c>
      <c r="Z512">
        <v>4</v>
      </c>
      <c r="AA512">
        <v>1</v>
      </c>
    </row>
    <row r="513" spans="24:27">
      <c r="X513">
        <v>523</v>
      </c>
      <c r="Y513">
        <v>340</v>
      </c>
      <c r="Z513">
        <v>1</v>
      </c>
      <c r="AA513">
        <v>1</v>
      </c>
    </row>
    <row r="514" spans="24:27">
      <c r="X514">
        <v>524</v>
      </c>
      <c r="Y514">
        <v>340</v>
      </c>
      <c r="Z514">
        <v>2</v>
      </c>
      <c r="AA514">
        <v>4</v>
      </c>
    </row>
    <row r="515" spans="24:27">
      <c r="X515">
        <v>525</v>
      </c>
      <c r="Y515">
        <v>340</v>
      </c>
      <c r="Z515">
        <v>3</v>
      </c>
      <c r="AA515">
        <v>0</v>
      </c>
    </row>
    <row r="516" spans="24:27">
      <c r="X516">
        <v>526</v>
      </c>
      <c r="Y516">
        <v>340</v>
      </c>
      <c r="Z516">
        <v>4</v>
      </c>
      <c r="AA516">
        <v>1</v>
      </c>
    </row>
    <row r="517" spans="24:27">
      <c r="X517">
        <v>527</v>
      </c>
      <c r="Y517">
        <v>341</v>
      </c>
      <c r="Z517">
        <v>1</v>
      </c>
      <c r="AA517">
        <v>1</v>
      </c>
    </row>
    <row r="518" spans="24:27">
      <c r="X518">
        <v>528</v>
      </c>
      <c r="Y518">
        <v>341</v>
      </c>
      <c r="Z518">
        <v>2</v>
      </c>
      <c r="AA518">
        <v>4</v>
      </c>
    </row>
    <row r="519" spans="24:27">
      <c r="X519">
        <v>529</v>
      </c>
      <c r="Y519">
        <v>341</v>
      </c>
      <c r="Z519">
        <v>3</v>
      </c>
      <c r="AA519">
        <v>0</v>
      </c>
    </row>
    <row r="520" spans="24:27">
      <c r="X520">
        <v>530</v>
      </c>
      <c r="Y520">
        <v>341</v>
      </c>
      <c r="Z520">
        <v>4</v>
      </c>
      <c r="AA520">
        <v>1</v>
      </c>
    </row>
    <row r="521" spans="24:27">
      <c r="X521">
        <v>531</v>
      </c>
      <c r="Y521">
        <v>342</v>
      </c>
      <c r="Z521">
        <v>1</v>
      </c>
      <c r="AA521">
        <v>1</v>
      </c>
    </row>
    <row r="522" spans="24:27">
      <c r="X522">
        <v>532</v>
      </c>
      <c r="Y522">
        <v>342</v>
      </c>
      <c r="Z522">
        <v>2</v>
      </c>
      <c r="AA522">
        <v>4</v>
      </c>
    </row>
    <row r="523" spans="24:27">
      <c r="X523">
        <v>533</v>
      </c>
      <c r="Y523">
        <v>342</v>
      </c>
      <c r="Z523">
        <v>3</v>
      </c>
      <c r="AA523">
        <v>0</v>
      </c>
    </row>
    <row r="524" spans="24:27">
      <c r="X524">
        <v>534</v>
      </c>
      <c r="Y524">
        <v>342</v>
      </c>
      <c r="Z524">
        <v>4</v>
      </c>
      <c r="AA524">
        <v>1</v>
      </c>
    </row>
    <row r="525" spans="24:27">
      <c r="X525">
        <v>535</v>
      </c>
      <c r="Y525">
        <v>343</v>
      </c>
      <c r="Z525">
        <v>1</v>
      </c>
      <c r="AA525">
        <v>1</v>
      </c>
    </row>
    <row r="526" spans="24:27">
      <c r="X526">
        <v>536</v>
      </c>
      <c r="Y526">
        <v>343</v>
      </c>
      <c r="Z526">
        <v>2</v>
      </c>
      <c r="AA526">
        <v>4</v>
      </c>
    </row>
    <row r="527" spans="24:27">
      <c r="X527">
        <v>537</v>
      </c>
      <c r="Y527">
        <v>343</v>
      </c>
      <c r="Z527">
        <v>3</v>
      </c>
      <c r="AA527">
        <v>0</v>
      </c>
    </row>
    <row r="528" spans="24:27">
      <c r="X528">
        <v>538</v>
      </c>
      <c r="Y528">
        <v>343</v>
      </c>
      <c r="Z528">
        <v>4</v>
      </c>
      <c r="AA528">
        <v>1</v>
      </c>
    </row>
    <row r="529" spans="24:27">
      <c r="X529">
        <v>539</v>
      </c>
      <c r="Y529">
        <v>344</v>
      </c>
      <c r="Z529">
        <v>1</v>
      </c>
      <c r="AA529">
        <v>1</v>
      </c>
    </row>
    <row r="530" spans="24:27">
      <c r="X530">
        <v>540</v>
      </c>
      <c r="Y530">
        <v>344</v>
      </c>
      <c r="Z530">
        <v>2</v>
      </c>
      <c r="AA530">
        <v>4</v>
      </c>
    </row>
    <row r="531" spans="24:27">
      <c r="X531">
        <v>541</v>
      </c>
      <c r="Y531">
        <v>344</v>
      </c>
      <c r="Z531">
        <v>3</v>
      </c>
      <c r="AA531">
        <v>0</v>
      </c>
    </row>
    <row r="532" spans="24:27">
      <c r="X532">
        <v>542</v>
      </c>
      <c r="Y532">
        <v>344</v>
      </c>
      <c r="Z532">
        <v>4</v>
      </c>
      <c r="AA532">
        <v>1</v>
      </c>
    </row>
    <row r="533" spans="24:27">
      <c r="X533">
        <v>543</v>
      </c>
      <c r="Y533">
        <v>345</v>
      </c>
      <c r="Z533">
        <v>1</v>
      </c>
      <c r="AA533">
        <v>1</v>
      </c>
    </row>
    <row r="534" spans="24:27">
      <c r="X534">
        <v>544</v>
      </c>
      <c r="Y534">
        <v>345</v>
      </c>
      <c r="Z534">
        <v>2</v>
      </c>
      <c r="AA534">
        <v>4</v>
      </c>
    </row>
    <row r="535" spans="24:27">
      <c r="X535">
        <v>545</v>
      </c>
      <c r="Y535">
        <v>345</v>
      </c>
      <c r="Z535">
        <v>3</v>
      </c>
      <c r="AA535">
        <v>0</v>
      </c>
    </row>
    <row r="536" spans="24:27">
      <c r="X536">
        <v>546</v>
      </c>
      <c r="Y536">
        <v>345</v>
      </c>
      <c r="Z536">
        <v>4</v>
      </c>
      <c r="AA536">
        <v>1</v>
      </c>
    </row>
    <row r="537" spans="24:27">
      <c r="X537">
        <v>547</v>
      </c>
      <c r="Y537">
        <v>346</v>
      </c>
      <c r="Z537">
        <v>1</v>
      </c>
      <c r="AA537">
        <v>2</v>
      </c>
    </row>
    <row r="538" spans="24:27">
      <c r="X538">
        <v>548</v>
      </c>
      <c r="Y538">
        <v>346</v>
      </c>
      <c r="Z538">
        <v>2</v>
      </c>
      <c r="AA538">
        <v>4</v>
      </c>
    </row>
    <row r="539" spans="24:27">
      <c r="X539">
        <v>549</v>
      </c>
      <c r="Y539">
        <v>346</v>
      </c>
      <c r="Z539">
        <v>3</v>
      </c>
      <c r="AA539">
        <v>0</v>
      </c>
    </row>
    <row r="540" spans="24:27">
      <c r="X540">
        <v>550</v>
      </c>
      <c r="Y540">
        <v>346</v>
      </c>
      <c r="Z540">
        <v>4</v>
      </c>
      <c r="AA540">
        <v>1</v>
      </c>
    </row>
    <row r="541" spans="24:27">
      <c r="X541">
        <v>551</v>
      </c>
      <c r="Y541">
        <v>347</v>
      </c>
      <c r="Z541">
        <v>1</v>
      </c>
      <c r="AA541">
        <v>1</v>
      </c>
    </row>
    <row r="542" spans="24:27">
      <c r="X542">
        <v>552</v>
      </c>
      <c r="Y542">
        <v>347</v>
      </c>
      <c r="Z542">
        <v>2</v>
      </c>
      <c r="AA542">
        <v>4</v>
      </c>
    </row>
    <row r="543" spans="24:27">
      <c r="X543">
        <v>553</v>
      </c>
      <c r="Y543">
        <v>347</v>
      </c>
      <c r="Z543">
        <v>3</v>
      </c>
      <c r="AA543">
        <v>0</v>
      </c>
    </row>
    <row r="544" spans="24:27">
      <c r="X544">
        <v>554</v>
      </c>
      <c r="Y544">
        <v>347</v>
      </c>
      <c r="Z544">
        <v>4</v>
      </c>
      <c r="AA544">
        <v>1</v>
      </c>
    </row>
    <row r="545" spans="24:27">
      <c r="X545">
        <v>555</v>
      </c>
      <c r="Y545">
        <v>348</v>
      </c>
      <c r="Z545">
        <v>1</v>
      </c>
      <c r="AA545">
        <v>1</v>
      </c>
    </row>
    <row r="546" spans="24:27">
      <c r="X546">
        <v>556</v>
      </c>
      <c r="Y546">
        <v>348</v>
      </c>
      <c r="Z546">
        <v>2</v>
      </c>
      <c r="AA546">
        <v>4</v>
      </c>
    </row>
    <row r="547" spans="24:27">
      <c r="X547">
        <v>557</v>
      </c>
      <c r="Y547">
        <v>348</v>
      </c>
      <c r="Z547">
        <v>3</v>
      </c>
      <c r="AA547">
        <v>0</v>
      </c>
    </row>
    <row r="548" spans="24:27">
      <c r="X548">
        <v>558</v>
      </c>
      <c r="Y548">
        <v>348</v>
      </c>
      <c r="Z548">
        <v>4</v>
      </c>
      <c r="AA548">
        <v>1</v>
      </c>
    </row>
    <row r="549" spans="24:27">
      <c r="X549">
        <v>559</v>
      </c>
      <c r="Y549">
        <v>349</v>
      </c>
      <c r="Z549">
        <v>1</v>
      </c>
      <c r="AA549">
        <v>2</v>
      </c>
    </row>
    <row r="550" spans="24:27">
      <c r="X550">
        <v>560</v>
      </c>
      <c r="Y550">
        <v>349</v>
      </c>
      <c r="Z550">
        <v>2</v>
      </c>
      <c r="AA550">
        <v>4</v>
      </c>
    </row>
    <row r="551" spans="24:27">
      <c r="X551">
        <v>561</v>
      </c>
      <c r="Y551">
        <v>349</v>
      </c>
      <c r="Z551">
        <v>3</v>
      </c>
      <c r="AA551">
        <v>0</v>
      </c>
    </row>
    <row r="552" spans="24:27">
      <c r="X552">
        <v>562</v>
      </c>
      <c r="Y552">
        <v>349</v>
      </c>
      <c r="Z552">
        <v>4</v>
      </c>
      <c r="AA552">
        <v>1</v>
      </c>
    </row>
    <row r="553" spans="24:27">
      <c r="X553">
        <v>563</v>
      </c>
      <c r="Y553">
        <v>350</v>
      </c>
      <c r="Z553">
        <v>1</v>
      </c>
      <c r="AA553">
        <v>1</v>
      </c>
    </row>
    <row r="554" spans="24:27">
      <c r="X554">
        <v>564</v>
      </c>
      <c r="Y554">
        <v>350</v>
      </c>
      <c r="Z554">
        <v>2</v>
      </c>
      <c r="AA554">
        <v>4</v>
      </c>
    </row>
    <row r="555" spans="24:27">
      <c r="X555">
        <v>565</v>
      </c>
      <c r="Y555">
        <v>350</v>
      </c>
      <c r="Z555">
        <v>3</v>
      </c>
      <c r="AA555">
        <v>0</v>
      </c>
    </row>
    <row r="556" spans="24:27">
      <c r="X556">
        <v>566</v>
      </c>
      <c r="Y556">
        <v>350</v>
      </c>
      <c r="Z556">
        <v>4</v>
      </c>
      <c r="AA556">
        <v>1</v>
      </c>
    </row>
    <row r="557" spans="24:27">
      <c r="X557">
        <v>567</v>
      </c>
      <c r="Y557">
        <v>351</v>
      </c>
      <c r="Z557">
        <v>1</v>
      </c>
      <c r="AA557">
        <v>2</v>
      </c>
    </row>
    <row r="558" spans="24:27">
      <c r="X558">
        <v>568</v>
      </c>
      <c r="Y558">
        <v>351</v>
      </c>
      <c r="Z558">
        <v>2</v>
      </c>
      <c r="AA558">
        <v>4</v>
      </c>
    </row>
    <row r="559" spans="24:27">
      <c r="X559">
        <v>569</v>
      </c>
      <c r="Y559">
        <v>351</v>
      </c>
      <c r="Z559">
        <v>3</v>
      </c>
      <c r="AA559">
        <v>0</v>
      </c>
    </row>
    <row r="560" spans="24:27">
      <c r="X560">
        <v>570</v>
      </c>
      <c r="Y560">
        <v>351</v>
      </c>
      <c r="Z560">
        <v>4</v>
      </c>
      <c r="AA560">
        <v>1</v>
      </c>
    </row>
    <row r="561" spans="24:27">
      <c r="X561">
        <v>571</v>
      </c>
      <c r="Y561">
        <v>352</v>
      </c>
      <c r="Z561">
        <v>1</v>
      </c>
      <c r="AA561">
        <v>1</v>
      </c>
    </row>
    <row r="562" spans="24:27">
      <c r="X562">
        <v>572</v>
      </c>
      <c r="Y562">
        <v>352</v>
      </c>
      <c r="Z562">
        <v>2</v>
      </c>
      <c r="AA562">
        <v>4</v>
      </c>
    </row>
    <row r="563" spans="24:27">
      <c r="X563">
        <v>573</v>
      </c>
      <c r="Y563">
        <v>352</v>
      </c>
      <c r="Z563">
        <v>3</v>
      </c>
      <c r="AA563">
        <v>0</v>
      </c>
    </row>
    <row r="564" spans="24:27">
      <c r="X564">
        <v>574</v>
      </c>
      <c r="Y564">
        <v>352</v>
      </c>
      <c r="Z564">
        <v>4</v>
      </c>
      <c r="AA564">
        <v>1</v>
      </c>
    </row>
    <row r="565" spans="24:27">
      <c r="X565">
        <v>575</v>
      </c>
      <c r="Y565">
        <v>353</v>
      </c>
      <c r="Z565">
        <v>1</v>
      </c>
      <c r="AA565">
        <v>1</v>
      </c>
    </row>
    <row r="566" spans="24:27">
      <c r="X566">
        <v>576</v>
      </c>
      <c r="Y566">
        <v>353</v>
      </c>
      <c r="Z566">
        <v>2</v>
      </c>
      <c r="AA566">
        <v>4</v>
      </c>
    </row>
    <row r="567" spans="24:27">
      <c r="X567">
        <v>577</v>
      </c>
      <c r="Y567">
        <v>353</v>
      </c>
      <c r="Z567">
        <v>3</v>
      </c>
      <c r="AA567">
        <v>0</v>
      </c>
    </row>
    <row r="568" spans="24:27">
      <c r="X568">
        <v>578</v>
      </c>
      <c r="Y568">
        <v>353</v>
      </c>
      <c r="Z568">
        <v>4</v>
      </c>
      <c r="AA568">
        <v>1</v>
      </c>
    </row>
    <row r="569" spans="24:27">
      <c r="X569">
        <v>579</v>
      </c>
      <c r="Y569">
        <v>354</v>
      </c>
      <c r="Z569">
        <v>1</v>
      </c>
      <c r="AA569">
        <v>2</v>
      </c>
    </row>
    <row r="570" spans="24:27">
      <c r="X570">
        <v>580</v>
      </c>
      <c r="Y570">
        <v>354</v>
      </c>
      <c r="Z570">
        <v>2</v>
      </c>
      <c r="AA570">
        <v>4</v>
      </c>
    </row>
    <row r="571" spans="24:27">
      <c r="X571">
        <v>581</v>
      </c>
      <c r="Y571">
        <v>354</v>
      </c>
      <c r="Z571">
        <v>3</v>
      </c>
      <c r="AA571">
        <v>0</v>
      </c>
    </row>
    <row r="572" spans="24:27">
      <c r="X572">
        <v>582</v>
      </c>
      <c r="Y572">
        <v>354</v>
      </c>
      <c r="Z572">
        <v>4</v>
      </c>
      <c r="AA572">
        <v>1</v>
      </c>
    </row>
    <row r="573" spans="24:27">
      <c r="X573">
        <v>583</v>
      </c>
      <c r="Y573">
        <v>355</v>
      </c>
      <c r="Z573">
        <v>1</v>
      </c>
      <c r="AA573">
        <v>2</v>
      </c>
    </row>
    <row r="574" spans="24:27">
      <c r="X574">
        <v>584</v>
      </c>
      <c r="Y574">
        <v>355</v>
      </c>
      <c r="Z574">
        <v>2</v>
      </c>
      <c r="AA574">
        <v>4</v>
      </c>
    </row>
    <row r="575" spans="24:27">
      <c r="X575">
        <v>585</v>
      </c>
      <c r="Y575">
        <v>355</v>
      </c>
      <c r="Z575">
        <v>3</v>
      </c>
      <c r="AA575">
        <v>0</v>
      </c>
    </row>
    <row r="576" spans="24:27">
      <c r="X576">
        <v>586</v>
      </c>
      <c r="Y576">
        <v>355</v>
      </c>
      <c r="Z576">
        <v>4</v>
      </c>
      <c r="AA576">
        <v>1</v>
      </c>
    </row>
    <row r="577" spans="24:27">
      <c r="X577">
        <v>587</v>
      </c>
      <c r="Y577">
        <v>356</v>
      </c>
      <c r="Z577">
        <v>1</v>
      </c>
      <c r="AA577">
        <v>1</v>
      </c>
    </row>
    <row r="578" spans="24:27">
      <c r="X578">
        <v>588</v>
      </c>
      <c r="Y578">
        <v>356</v>
      </c>
      <c r="Z578">
        <v>2</v>
      </c>
      <c r="AA578">
        <v>4</v>
      </c>
    </row>
    <row r="579" spans="24:27">
      <c r="X579">
        <v>589</v>
      </c>
      <c r="Y579">
        <v>356</v>
      </c>
      <c r="Z579">
        <v>3</v>
      </c>
      <c r="AA579">
        <v>0</v>
      </c>
    </row>
    <row r="580" spans="24:27">
      <c r="X580">
        <v>590</v>
      </c>
      <c r="Y580">
        <v>356</v>
      </c>
      <c r="Z580">
        <v>4</v>
      </c>
      <c r="AA580">
        <v>1</v>
      </c>
    </row>
    <row r="581" spans="24:27">
      <c r="X581">
        <v>591</v>
      </c>
      <c r="Y581">
        <v>357</v>
      </c>
      <c r="Z581">
        <v>1</v>
      </c>
      <c r="AA581">
        <v>1</v>
      </c>
    </row>
    <row r="582" spans="24:27">
      <c r="X582">
        <v>592</v>
      </c>
      <c r="Y582">
        <v>357</v>
      </c>
      <c r="Z582">
        <v>2</v>
      </c>
      <c r="AA582">
        <v>4</v>
      </c>
    </row>
    <row r="583" spans="24:27">
      <c r="X583">
        <v>593</v>
      </c>
      <c r="Y583">
        <v>357</v>
      </c>
      <c r="Z583">
        <v>3</v>
      </c>
      <c r="AA583">
        <v>0</v>
      </c>
    </row>
    <row r="584" spans="24:27">
      <c r="X584">
        <v>594</v>
      </c>
      <c r="Y584">
        <v>357</v>
      </c>
      <c r="Z584">
        <v>4</v>
      </c>
      <c r="AA584">
        <v>1</v>
      </c>
    </row>
    <row r="585" spans="24:27">
      <c r="X585">
        <v>595</v>
      </c>
      <c r="Y585">
        <v>358</v>
      </c>
      <c r="Z585">
        <v>1</v>
      </c>
      <c r="AA585">
        <v>1</v>
      </c>
    </row>
    <row r="586" spans="24:27">
      <c r="X586">
        <v>596</v>
      </c>
      <c r="Y586">
        <v>358</v>
      </c>
      <c r="Z586">
        <v>2</v>
      </c>
      <c r="AA586">
        <v>4</v>
      </c>
    </row>
    <row r="587" spans="24:27">
      <c r="X587">
        <v>597</v>
      </c>
      <c r="Y587">
        <v>358</v>
      </c>
      <c r="Z587">
        <v>3</v>
      </c>
      <c r="AA587">
        <v>0</v>
      </c>
    </row>
    <row r="588" spans="24:27">
      <c r="X588">
        <v>598</v>
      </c>
      <c r="Y588">
        <v>358</v>
      </c>
      <c r="Z588">
        <v>4</v>
      </c>
      <c r="AA588">
        <v>1</v>
      </c>
    </row>
    <row r="589" spans="24:27">
      <c r="X589">
        <v>599</v>
      </c>
      <c r="Y589">
        <v>359</v>
      </c>
      <c r="Z589">
        <v>1</v>
      </c>
      <c r="AA589">
        <v>2</v>
      </c>
    </row>
    <row r="590" spans="24:27">
      <c r="X590">
        <v>600</v>
      </c>
      <c r="Y590">
        <v>359</v>
      </c>
      <c r="Z590">
        <v>2</v>
      </c>
      <c r="AA590">
        <v>5</v>
      </c>
    </row>
    <row r="591" spans="24:27">
      <c r="X591">
        <v>601</v>
      </c>
      <c r="Y591">
        <v>359</v>
      </c>
      <c r="Z591">
        <v>3</v>
      </c>
      <c r="AA591">
        <v>0</v>
      </c>
    </row>
    <row r="592" spans="24:27">
      <c r="X592">
        <v>602</v>
      </c>
      <c r="Y592">
        <v>359</v>
      </c>
      <c r="Z592">
        <v>4</v>
      </c>
      <c r="AA592">
        <v>1</v>
      </c>
    </row>
    <row r="593" spans="24:27">
      <c r="X593">
        <v>603</v>
      </c>
      <c r="Y593">
        <v>360</v>
      </c>
      <c r="Z593">
        <v>1</v>
      </c>
      <c r="AA593">
        <v>2</v>
      </c>
    </row>
    <row r="594" spans="24:27">
      <c r="X594">
        <v>604</v>
      </c>
      <c r="Y594">
        <v>360</v>
      </c>
      <c r="Z594">
        <v>2</v>
      </c>
      <c r="AA594">
        <v>4</v>
      </c>
    </row>
    <row r="595" spans="24:27">
      <c r="X595">
        <v>605</v>
      </c>
      <c r="Y595">
        <v>360</v>
      </c>
      <c r="Z595">
        <v>3</v>
      </c>
      <c r="AA595">
        <v>0</v>
      </c>
    </row>
    <row r="596" spans="24:27">
      <c r="X596">
        <v>606</v>
      </c>
      <c r="Y596">
        <v>360</v>
      </c>
      <c r="Z596">
        <v>4</v>
      </c>
      <c r="AA596">
        <v>1</v>
      </c>
    </row>
    <row r="597" spans="24:27">
      <c r="X597">
        <v>607</v>
      </c>
      <c r="Y597">
        <v>361</v>
      </c>
      <c r="Z597">
        <v>1</v>
      </c>
      <c r="AA597">
        <v>2</v>
      </c>
    </row>
    <row r="598" spans="24:27">
      <c r="X598">
        <v>608</v>
      </c>
      <c r="Y598">
        <v>361</v>
      </c>
      <c r="Z598">
        <v>2</v>
      </c>
      <c r="AA598">
        <v>4</v>
      </c>
    </row>
    <row r="599" spans="24:27">
      <c r="X599">
        <v>609</v>
      </c>
      <c r="Y599">
        <v>361</v>
      </c>
      <c r="Z599">
        <v>3</v>
      </c>
      <c r="AA599">
        <v>0</v>
      </c>
    </row>
    <row r="600" spans="24:27">
      <c r="X600">
        <v>610</v>
      </c>
      <c r="Y600">
        <v>361</v>
      </c>
      <c r="Z600">
        <v>4</v>
      </c>
      <c r="AA600">
        <v>1</v>
      </c>
    </row>
    <row r="601" spans="24:27">
      <c r="X601">
        <v>611</v>
      </c>
      <c r="Y601">
        <v>362</v>
      </c>
      <c r="Z601">
        <v>1</v>
      </c>
      <c r="AA601">
        <v>2</v>
      </c>
    </row>
    <row r="602" spans="24:27">
      <c r="X602">
        <v>612</v>
      </c>
      <c r="Y602">
        <v>362</v>
      </c>
      <c r="Z602">
        <v>2</v>
      </c>
      <c r="AA602">
        <v>4</v>
      </c>
    </row>
    <row r="603" spans="24:27">
      <c r="X603">
        <v>613</v>
      </c>
      <c r="Y603">
        <v>362</v>
      </c>
      <c r="Z603">
        <v>3</v>
      </c>
      <c r="AA603">
        <v>0</v>
      </c>
    </row>
    <row r="604" spans="24:27">
      <c r="X604">
        <v>614</v>
      </c>
      <c r="Y604">
        <v>362</v>
      </c>
      <c r="Z604">
        <v>4</v>
      </c>
      <c r="AA604">
        <v>1</v>
      </c>
    </row>
    <row r="605" spans="24:27">
      <c r="X605">
        <v>615</v>
      </c>
      <c r="Y605">
        <v>16</v>
      </c>
      <c r="Z605">
        <v>5</v>
      </c>
      <c r="AA605">
        <v>9</v>
      </c>
    </row>
    <row r="606" spans="24:27">
      <c r="X606">
        <v>616</v>
      </c>
      <c r="Y606">
        <v>16</v>
      </c>
      <c r="Z606">
        <v>6</v>
      </c>
      <c r="AA606">
        <v>10</v>
      </c>
    </row>
    <row r="607" spans="24:27">
      <c r="X607">
        <v>617</v>
      </c>
      <c r="Y607">
        <v>16</v>
      </c>
      <c r="Z607">
        <v>7</v>
      </c>
      <c r="AA607">
        <v>0</v>
      </c>
    </row>
    <row r="608" spans="24:27">
      <c r="X608">
        <v>618</v>
      </c>
      <c r="Y608">
        <v>16</v>
      </c>
      <c r="Z608">
        <v>8</v>
      </c>
      <c r="AA608">
        <v>1</v>
      </c>
    </row>
    <row r="609" spans="24:27">
      <c r="X609">
        <v>619</v>
      </c>
      <c r="Y609">
        <v>20</v>
      </c>
      <c r="Z609">
        <v>5</v>
      </c>
      <c r="AA609">
        <v>9</v>
      </c>
    </row>
    <row r="610" spans="24:27">
      <c r="X610">
        <v>620</v>
      </c>
      <c r="Y610">
        <v>20</v>
      </c>
      <c r="Z610">
        <v>6</v>
      </c>
      <c r="AA610">
        <v>10</v>
      </c>
    </row>
    <row r="611" spans="24:27">
      <c r="X611">
        <v>621</v>
      </c>
      <c r="Y611">
        <v>20</v>
      </c>
      <c r="Z611">
        <v>7</v>
      </c>
      <c r="AA611">
        <v>0</v>
      </c>
    </row>
    <row r="612" spans="24:27">
      <c r="X612">
        <v>622</v>
      </c>
      <c r="Y612">
        <v>20</v>
      </c>
      <c r="Z612">
        <v>8</v>
      </c>
      <c r="AA612">
        <v>1</v>
      </c>
    </row>
    <row r="613" spans="24:27">
      <c r="X613">
        <v>623</v>
      </c>
      <c r="Y613">
        <v>24</v>
      </c>
      <c r="Z613">
        <v>5</v>
      </c>
      <c r="AA613">
        <v>9</v>
      </c>
    </row>
    <row r="614" spans="24:27">
      <c r="X614">
        <v>624</v>
      </c>
      <c r="Y614">
        <v>24</v>
      </c>
      <c r="Z614">
        <v>6</v>
      </c>
      <c r="AA614">
        <v>10</v>
      </c>
    </row>
    <row r="615" spans="24:27">
      <c r="X615">
        <v>625</v>
      </c>
      <c r="Y615">
        <v>24</v>
      </c>
      <c r="Z615">
        <v>7</v>
      </c>
      <c r="AA615">
        <v>0</v>
      </c>
    </row>
    <row r="616" spans="24:27">
      <c r="X616">
        <v>626</v>
      </c>
      <c r="Y616">
        <v>24</v>
      </c>
      <c r="Z616">
        <v>8</v>
      </c>
      <c r="AA616">
        <v>1</v>
      </c>
    </row>
    <row r="617" spans="24:27">
      <c r="X617">
        <v>627</v>
      </c>
      <c r="Y617">
        <v>28</v>
      </c>
      <c r="Z617">
        <v>5</v>
      </c>
      <c r="AA617">
        <v>9</v>
      </c>
    </row>
    <row r="618" spans="24:27">
      <c r="X618">
        <v>628</v>
      </c>
      <c r="Y618">
        <v>28</v>
      </c>
      <c r="Z618">
        <v>6</v>
      </c>
      <c r="AA618">
        <v>10</v>
      </c>
    </row>
    <row r="619" spans="24:27">
      <c r="X619">
        <v>629</v>
      </c>
      <c r="Y619">
        <v>28</v>
      </c>
      <c r="Z619">
        <v>7</v>
      </c>
      <c r="AA619">
        <v>0</v>
      </c>
    </row>
    <row r="620" spans="24:27">
      <c r="X620">
        <v>630</v>
      </c>
      <c r="Y620">
        <v>28</v>
      </c>
      <c r="Z620">
        <v>8</v>
      </c>
      <c r="AA620">
        <v>1</v>
      </c>
    </row>
    <row r="621" spans="24:27">
      <c r="X621">
        <v>631</v>
      </c>
      <c r="Y621">
        <v>32</v>
      </c>
      <c r="Z621">
        <v>5</v>
      </c>
      <c r="AA621">
        <v>9</v>
      </c>
    </row>
    <row r="622" spans="24:27">
      <c r="X622">
        <v>632</v>
      </c>
      <c r="Y622">
        <v>32</v>
      </c>
      <c r="Z622">
        <v>6</v>
      </c>
      <c r="AA622">
        <v>10</v>
      </c>
    </row>
    <row r="623" spans="24:27">
      <c r="X623">
        <v>633</v>
      </c>
      <c r="Y623">
        <v>32</v>
      </c>
      <c r="Z623">
        <v>7</v>
      </c>
      <c r="AA623">
        <v>0</v>
      </c>
    </row>
    <row r="624" spans="24:27">
      <c r="X624">
        <v>634</v>
      </c>
      <c r="Y624">
        <v>32</v>
      </c>
      <c r="Z624">
        <v>8</v>
      </c>
      <c r="AA624">
        <v>1</v>
      </c>
    </row>
    <row r="625" spans="24:27">
      <c r="X625">
        <v>635</v>
      </c>
      <c r="Y625">
        <v>36</v>
      </c>
      <c r="Z625">
        <v>5</v>
      </c>
      <c r="AA625">
        <v>9</v>
      </c>
    </row>
    <row r="626" spans="24:27">
      <c r="X626">
        <v>636</v>
      </c>
      <c r="Y626">
        <v>36</v>
      </c>
      <c r="Z626">
        <v>6</v>
      </c>
      <c r="AA626">
        <v>10</v>
      </c>
    </row>
    <row r="627" spans="24:27">
      <c r="X627">
        <v>637</v>
      </c>
      <c r="Y627">
        <v>36</v>
      </c>
      <c r="Z627">
        <v>7</v>
      </c>
      <c r="AA627">
        <v>0</v>
      </c>
    </row>
    <row r="628" spans="24:27">
      <c r="X628">
        <v>638</v>
      </c>
      <c r="Y628">
        <v>36</v>
      </c>
      <c r="Z628">
        <v>8</v>
      </c>
      <c r="AA628">
        <v>1</v>
      </c>
    </row>
    <row r="629" spans="24:27">
      <c r="X629">
        <v>639</v>
      </c>
      <c r="Y629">
        <v>85</v>
      </c>
      <c r="Z629">
        <v>5</v>
      </c>
      <c r="AA629">
        <v>9</v>
      </c>
    </row>
    <row r="630" spans="24:27">
      <c r="X630">
        <v>640</v>
      </c>
      <c r="Y630">
        <v>85</v>
      </c>
      <c r="Z630">
        <v>6</v>
      </c>
      <c r="AA630">
        <v>10</v>
      </c>
    </row>
    <row r="631" spans="24:27">
      <c r="X631">
        <v>641</v>
      </c>
      <c r="Y631">
        <v>85</v>
      </c>
      <c r="Z631">
        <v>7</v>
      </c>
      <c r="AA631">
        <v>0</v>
      </c>
    </row>
    <row r="632" spans="24:27">
      <c r="X632">
        <v>642</v>
      </c>
      <c r="Y632">
        <v>85</v>
      </c>
      <c r="Z632">
        <v>8</v>
      </c>
      <c r="AA632">
        <v>1</v>
      </c>
    </row>
    <row r="633" spans="24:27">
      <c r="X633">
        <v>643</v>
      </c>
      <c r="Y633">
        <v>86</v>
      </c>
      <c r="Z633">
        <v>5</v>
      </c>
      <c r="AA633">
        <v>9</v>
      </c>
    </row>
    <row r="634" spans="24:27">
      <c r="X634">
        <v>644</v>
      </c>
      <c r="Y634">
        <v>86</v>
      </c>
      <c r="Z634">
        <v>6</v>
      </c>
      <c r="AA634">
        <v>10</v>
      </c>
    </row>
    <row r="635" spans="24:27">
      <c r="X635">
        <v>645</v>
      </c>
      <c r="Y635">
        <v>86</v>
      </c>
      <c r="Z635">
        <v>7</v>
      </c>
      <c r="AA635">
        <v>0</v>
      </c>
    </row>
    <row r="636" spans="24:27">
      <c r="X636">
        <v>646</v>
      </c>
      <c r="Y636">
        <v>86</v>
      </c>
      <c r="Z636">
        <v>8</v>
      </c>
      <c r="AA636">
        <v>1</v>
      </c>
    </row>
    <row r="637" spans="24:27">
      <c r="X637">
        <v>647</v>
      </c>
      <c r="Y637">
        <v>87</v>
      </c>
      <c r="Z637">
        <v>5</v>
      </c>
      <c r="AA637">
        <v>9</v>
      </c>
    </row>
    <row r="638" spans="24:27">
      <c r="X638">
        <v>648</v>
      </c>
      <c r="Y638">
        <v>87</v>
      </c>
      <c r="Z638">
        <v>6</v>
      </c>
      <c r="AA638">
        <v>10</v>
      </c>
    </row>
    <row r="639" spans="24:27">
      <c r="X639">
        <v>649</v>
      </c>
      <c r="Y639">
        <v>87</v>
      </c>
      <c r="Z639">
        <v>7</v>
      </c>
      <c r="AA639">
        <v>0</v>
      </c>
    </row>
    <row r="640" spans="24:27">
      <c r="X640">
        <v>650</v>
      </c>
      <c r="Y640">
        <v>87</v>
      </c>
      <c r="Z640">
        <v>8</v>
      </c>
      <c r="AA640">
        <v>1</v>
      </c>
    </row>
    <row r="641" spans="24:27">
      <c r="X641">
        <v>651</v>
      </c>
      <c r="Y641">
        <v>88</v>
      </c>
      <c r="Z641">
        <v>5</v>
      </c>
      <c r="AA641">
        <v>9</v>
      </c>
    </row>
    <row r="642" spans="24:27">
      <c r="X642">
        <v>652</v>
      </c>
      <c r="Y642">
        <v>88</v>
      </c>
      <c r="Z642">
        <v>6</v>
      </c>
      <c r="AA642">
        <v>10</v>
      </c>
    </row>
    <row r="643" spans="24:27">
      <c r="X643">
        <v>653</v>
      </c>
      <c r="Y643">
        <v>88</v>
      </c>
      <c r="Z643">
        <v>7</v>
      </c>
      <c r="AA643">
        <v>0</v>
      </c>
    </row>
    <row r="644" spans="24:27">
      <c r="X644">
        <v>654</v>
      </c>
      <c r="Y644">
        <v>88</v>
      </c>
      <c r="Z644">
        <v>8</v>
      </c>
      <c r="AA644">
        <v>1</v>
      </c>
    </row>
    <row r="645" spans="24:27">
      <c r="X645">
        <v>655</v>
      </c>
      <c r="Y645">
        <v>89</v>
      </c>
      <c r="Z645">
        <v>5</v>
      </c>
      <c r="AA645">
        <v>9</v>
      </c>
    </row>
    <row r="646" spans="24:27">
      <c r="X646">
        <v>656</v>
      </c>
      <c r="Y646">
        <v>89</v>
      </c>
      <c r="Z646">
        <v>6</v>
      </c>
      <c r="AA646">
        <v>10</v>
      </c>
    </row>
    <row r="647" spans="24:27">
      <c r="X647">
        <v>657</v>
      </c>
      <c r="Y647">
        <v>89</v>
      </c>
      <c r="Z647">
        <v>7</v>
      </c>
      <c r="AA647">
        <v>0</v>
      </c>
    </row>
    <row r="648" spans="24:27">
      <c r="X648">
        <v>658</v>
      </c>
      <c r="Y648">
        <v>89</v>
      </c>
      <c r="Z648">
        <v>8</v>
      </c>
      <c r="AA648">
        <v>1</v>
      </c>
    </row>
    <row r="649" spans="24:27">
      <c r="X649">
        <v>659</v>
      </c>
      <c r="Y649">
        <v>90</v>
      </c>
      <c r="Z649">
        <v>5</v>
      </c>
      <c r="AA649">
        <v>9</v>
      </c>
    </row>
    <row r="650" spans="24:27">
      <c r="X650">
        <v>660</v>
      </c>
      <c r="Y650">
        <v>90</v>
      </c>
      <c r="Z650">
        <v>6</v>
      </c>
      <c r="AA650">
        <v>10</v>
      </c>
    </row>
    <row r="651" spans="24:27">
      <c r="X651">
        <v>661</v>
      </c>
      <c r="Y651">
        <v>90</v>
      </c>
      <c r="Z651">
        <v>7</v>
      </c>
      <c r="AA651">
        <v>0</v>
      </c>
    </row>
    <row r="652" spans="24:27">
      <c r="X652">
        <v>662</v>
      </c>
      <c r="Y652">
        <v>90</v>
      </c>
      <c r="Z652">
        <v>8</v>
      </c>
      <c r="AA652">
        <v>1</v>
      </c>
    </row>
    <row r="653" spans="24:27">
      <c r="X653">
        <v>663</v>
      </c>
      <c r="Y653">
        <v>92</v>
      </c>
      <c r="Z653">
        <v>5</v>
      </c>
      <c r="AA653">
        <v>9</v>
      </c>
    </row>
    <row r="654" spans="24:27">
      <c r="X654">
        <v>664</v>
      </c>
      <c r="Y654">
        <v>92</v>
      </c>
      <c r="Z654">
        <v>6</v>
      </c>
      <c r="AA654">
        <v>10</v>
      </c>
    </row>
    <row r="655" spans="24:27">
      <c r="X655">
        <v>665</v>
      </c>
      <c r="Y655">
        <v>92</v>
      </c>
      <c r="Z655">
        <v>7</v>
      </c>
      <c r="AA655">
        <v>0</v>
      </c>
    </row>
    <row r="656" spans="24:27">
      <c r="X656">
        <v>666</v>
      </c>
      <c r="Y656">
        <v>92</v>
      </c>
      <c r="Z656">
        <v>8</v>
      </c>
      <c r="AA656">
        <v>1</v>
      </c>
    </row>
    <row r="657" spans="24:27">
      <c r="X657">
        <v>667</v>
      </c>
      <c r="Y657">
        <v>363</v>
      </c>
      <c r="Z657">
        <v>5</v>
      </c>
      <c r="AA657">
        <v>9</v>
      </c>
    </row>
    <row r="658" spans="24:27">
      <c r="X658">
        <v>668</v>
      </c>
      <c r="Y658">
        <v>363</v>
      </c>
      <c r="Z658">
        <v>6</v>
      </c>
      <c r="AA658">
        <v>10</v>
      </c>
    </row>
    <row r="659" spans="24:27">
      <c r="X659">
        <v>669</v>
      </c>
      <c r="Y659">
        <v>363</v>
      </c>
      <c r="Z659">
        <v>7</v>
      </c>
      <c r="AA659">
        <v>0</v>
      </c>
    </row>
    <row r="660" spans="24:27">
      <c r="X660">
        <v>670</v>
      </c>
      <c r="Y660">
        <v>363</v>
      </c>
      <c r="Z660">
        <v>8</v>
      </c>
      <c r="AA660">
        <v>1</v>
      </c>
    </row>
    <row r="661" spans="24:27">
      <c r="X661">
        <v>671</v>
      </c>
      <c r="Y661">
        <v>91</v>
      </c>
      <c r="Z661">
        <v>5</v>
      </c>
      <c r="AA661">
        <v>9</v>
      </c>
    </row>
    <row r="662" spans="24:27">
      <c r="X662">
        <v>672</v>
      </c>
      <c r="Y662">
        <v>91</v>
      </c>
      <c r="Z662">
        <v>6</v>
      </c>
      <c r="AA662">
        <v>10</v>
      </c>
    </row>
    <row r="663" spans="24:27">
      <c r="X663">
        <v>673</v>
      </c>
      <c r="Y663">
        <v>91</v>
      </c>
      <c r="Z663">
        <v>7</v>
      </c>
      <c r="AA663">
        <v>0</v>
      </c>
    </row>
    <row r="664" spans="24:27">
      <c r="X664">
        <v>674</v>
      </c>
      <c r="Y664">
        <v>91</v>
      </c>
      <c r="Z664">
        <v>8</v>
      </c>
      <c r="AA664">
        <v>1</v>
      </c>
    </row>
    <row r="665" spans="24:27">
      <c r="X665">
        <v>675</v>
      </c>
      <c r="Y665">
        <v>93</v>
      </c>
      <c r="Z665">
        <v>5</v>
      </c>
      <c r="AA665">
        <v>9</v>
      </c>
    </row>
    <row r="666" spans="24:27">
      <c r="X666">
        <v>676</v>
      </c>
      <c r="Y666">
        <v>93</v>
      </c>
      <c r="Z666">
        <v>6</v>
      </c>
      <c r="AA666">
        <v>10</v>
      </c>
    </row>
    <row r="667" spans="24:27">
      <c r="X667">
        <v>677</v>
      </c>
      <c r="Y667">
        <v>93</v>
      </c>
      <c r="Z667">
        <v>7</v>
      </c>
      <c r="AA667">
        <v>0</v>
      </c>
    </row>
    <row r="668" spans="24:27">
      <c r="X668">
        <v>678</v>
      </c>
      <c r="Y668">
        <v>93</v>
      </c>
      <c r="Z668">
        <v>8</v>
      </c>
      <c r="AA668">
        <v>1</v>
      </c>
    </row>
    <row r="669" spans="24:27">
      <c r="X669">
        <v>679</v>
      </c>
      <c r="Y669">
        <v>94</v>
      </c>
      <c r="Z669">
        <v>5</v>
      </c>
      <c r="AA669">
        <v>9</v>
      </c>
    </row>
    <row r="670" spans="24:27">
      <c r="X670">
        <v>680</v>
      </c>
      <c r="Y670">
        <v>94</v>
      </c>
      <c r="Z670">
        <v>6</v>
      </c>
      <c r="AA670">
        <v>10</v>
      </c>
    </row>
    <row r="671" spans="24:27">
      <c r="X671">
        <v>681</v>
      </c>
      <c r="Y671">
        <v>94</v>
      </c>
      <c r="Z671">
        <v>7</v>
      </c>
      <c r="AA671">
        <v>0</v>
      </c>
    </row>
    <row r="672" spans="24:27">
      <c r="X672">
        <v>682</v>
      </c>
      <c r="Y672">
        <v>94</v>
      </c>
      <c r="Z672">
        <v>8</v>
      </c>
      <c r="AA672">
        <v>1</v>
      </c>
    </row>
    <row r="673" spans="24:27">
      <c r="X673">
        <v>683</v>
      </c>
      <c r="Y673">
        <v>95</v>
      </c>
      <c r="Z673">
        <v>5</v>
      </c>
      <c r="AA673">
        <v>9</v>
      </c>
    </row>
    <row r="674" spans="24:27">
      <c r="X674">
        <v>684</v>
      </c>
      <c r="Y674">
        <v>95</v>
      </c>
      <c r="Z674">
        <v>6</v>
      </c>
      <c r="AA674">
        <v>10</v>
      </c>
    </row>
    <row r="675" spans="24:27">
      <c r="X675">
        <v>685</v>
      </c>
      <c r="Y675">
        <v>95</v>
      </c>
      <c r="Z675">
        <v>7</v>
      </c>
      <c r="AA675">
        <v>0</v>
      </c>
    </row>
    <row r="676" spans="24:27">
      <c r="X676">
        <v>686</v>
      </c>
      <c r="Y676">
        <v>95</v>
      </c>
      <c r="Z676">
        <v>8</v>
      </c>
      <c r="AA676">
        <v>1</v>
      </c>
    </row>
    <row r="677" spans="24:27">
      <c r="X677">
        <v>687</v>
      </c>
      <c r="Y677">
        <v>96</v>
      </c>
      <c r="Z677">
        <v>5</v>
      </c>
      <c r="AA677">
        <v>9</v>
      </c>
    </row>
    <row r="678" spans="24:27">
      <c r="X678">
        <v>688</v>
      </c>
      <c r="Y678">
        <v>96</v>
      </c>
      <c r="Z678">
        <v>6</v>
      </c>
      <c r="AA678">
        <v>10</v>
      </c>
    </row>
    <row r="679" spans="24:27">
      <c r="X679">
        <v>689</v>
      </c>
      <c r="Y679">
        <v>96</v>
      </c>
      <c r="Z679">
        <v>7</v>
      </c>
      <c r="AA679">
        <v>0</v>
      </c>
    </row>
    <row r="680" spans="24:27">
      <c r="X680">
        <v>690</v>
      </c>
      <c r="Y680">
        <v>96</v>
      </c>
      <c r="Z680">
        <v>8</v>
      </c>
      <c r="AA680">
        <v>1</v>
      </c>
    </row>
    <row r="681" spans="24:27">
      <c r="X681">
        <v>691</v>
      </c>
      <c r="Y681">
        <v>97</v>
      </c>
      <c r="Z681">
        <v>5</v>
      </c>
      <c r="AA681">
        <v>9</v>
      </c>
    </row>
    <row r="682" spans="24:27">
      <c r="X682">
        <v>692</v>
      </c>
      <c r="Y682">
        <v>97</v>
      </c>
      <c r="Z682">
        <v>6</v>
      </c>
      <c r="AA682">
        <v>10</v>
      </c>
    </row>
    <row r="683" spans="24:27">
      <c r="X683">
        <v>693</v>
      </c>
      <c r="Y683">
        <v>97</v>
      </c>
      <c r="Z683">
        <v>7</v>
      </c>
      <c r="AA683">
        <v>0</v>
      </c>
    </row>
    <row r="684" spans="24:27">
      <c r="X684">
        <v>694</v>
      </c>
      <c r="Y684">
        <v>97</v>
      </c>
      <c r="Z684">
        <v>8</v>
      </c>
      <c r="AA684">
        <v>1</v>
      </c>
    </row>
    <row r="685" spans="24:27">
      <c r="X685">
        <v>695</v>
      </c>
      <c r="Y685">
        <v>98</v>
      </c>
      <c r="Z685">
        <v>5</v>
      </c>
      <c r="AA685">
        <v>9</v>
      </c>
    </row>
    <row r="686" spans="24:27">
      <c r="X686">
        <v>696</v>
      </c>
      <c r="Y686">
        <v>98</v>
      </c>
      <c r="Z686">
        <v>6</v>
      </c>
      <c r="AA686">
        <v>10</v>
      </c>
    </row>
    <row r="687" spans="24:27">
      <c r="X687">
        <v>697</v>
      </c>
      <c r="Y687">
        <v>98</v>
      </c>
      <c r="Z687">
        <v>7</v>
      </c>
      <c r="AA687">
        <v>0</v>
      </c>
    </row>
    <row r="688" spans="24:27">
      <c r="X688">
        <v>698</v>
      </c>
      <c r="Y688">
        <v>98</v>
      </c>
      <c r="Z688">
        <v>8</v>
      </c>
      <c r="AA688">
        <v>1</v>
      </c>
    </row>
    <row r="689" spans="24:27">
      <c r="X689">
        <v>699</v>
      </c>
      <c r="Y689">
        <v>99</v>
      </c>
      <c r="Z689">
        <v>5</v>
      </c>
      <c r="AA689">
        <v>9</v>
      </c>
    </row>
    <row r="690" spans="24:27">
      <c r="X690">
        <v>700</v>
      </c>
      <c r="Y690">
        <v>99</v>
      </c>
      <c r="Z690">
        <v>6</v>
      </c>
      <c r="AA690">
        <v>10</v>
      </c>
    </row>
    <row r="691" spans="24:27">
      <c r="X691">
        <v>701</v>
      </c>
      <c r="Y691">
        <v>99</v>
      </c>
      <c r="Z691">
        <v>7</v>
      </c>
      <c r="AA691">
        <v>0</v>
      </c>
    </row>
    <row r="692" spans="24:27">
      <c r="X692">
        <v>702</v>
      </c>
      <c r="Y692">
        <v>99</v>
      </c>
      <c r="Z692">
        <v>8</v>
      </c>
      <c r="AA692">
        <v>1</v>
      </c>
    </row>
    <row r="693" spans="24:27">
      <c r="X693">
        <v>703</v>
      </c>
      <c r="Y693">
        <v>100</v>
      </c>
      <c r="Z693">
        <v>5</v>
      </c>
      <c r="AA693">
        <v>9</v>
      </c>
    </row>
    <row r="694" spans="24:27">
      <c r="X694">
        <v>704</v>
      </c>
      <c r="Y694">
        <v>100</v>
      </c>
      <c r="Z694">
        <v>6</v>
      </c>
      <c r="AA694">
        <v>10</v>
      </c>
    </row>
    <row r="695" spans="24:27">
      <c r="X695">
        <v>705</v>
      </c>
      <c r="Y695">
        <v>100</v>
      </c>
      <c r="Z695">
        <v>7</v>
      </c>
      <c r="AA695">
        <v>0</v>
      </c>
    </row>
    <row r="696" spans="24:27">
      <c r="X696">
        <v>706</v>
      </c>
      <c r="Y696">
        <v>100</v>
      </c>
      <c r="Z696">
        <v>8</v>
      </c>
      <c r="AA696">
        <v>1</v>
      </c>
    </row>
    <row r="697" spans="24:27">
      <c r="X697">
        <v>707</v>
      </c>
      <c r="Y697">
        <v>101</v>
      </c>
      <c r="Z697">
        <v>5</v>
      </c>
      <c r="AA697">
        <v>9</v>
      </c>
    </row>
    <row r="698" spans="24:27">
      <c r="X698">
        <v>708</v>
      </c>
      <c r="Y698">
        <v>101</v>
      </c>
      <c r="Z698">
        <v>6</v>
      </c>
      <c r="AA698">
        <v>10</v>
      </c>
    </row>
    <row r="699" spans="24:27">
      <c r="X699">
        <v>709</v>
      </c>
      <c r="Y699">
        <v>101</v>
      </c>
      <c r="Z699">
        <v>7</v>
      </c>
      <c r="AA699">
        <v>0</v>
      </c>
    </row>
    <row r="700" spans="24:27">
      <c r="X700">
        <v>710</v>
      </c>
      <c r="Y700">
        <v>101</v>
      </c>
      <c r="Z700">
        <v>8</v>
      </c>
      <c r="AA700">
        <v>1</v>
      </c>
    </row>
    <row r="701" spans="24:27">
      <c r="X701">
        <v>711</v>
      </c>
      <c r="Y701">
        <v>102</v>
      </c>
      <c r="Z701">
        <v>5</v>
      </c>
      <c r="AA701">
        <v>9</v>
      </c>
    </row>
    <row r="702" spans="24:27">
      <c r="X702">
        <v>712</v>
      </c>
      <c r="Y702">
        <v>102</v>
      </c>
      <c r="Z702">
        <v>6</v>
      </c>
      <c r="AA702">
        <v>10</v>
      </c>
    </row>
    <row r="703" spans="24:27">
      <c r="X703">
        <v>713</v>
      </c>
      <c r="Y703">
        <v>102</v>
      </c>
      <c r="Z703">
        <v>7</v>
      </c>
      <c r="AA703">
        <v>0</v>
      </c>
    </row>
    <row r="704" spans="24:27">
      <c r="X704">
        <v>714</v>
      </c>
      <c r="Y704">
        <v>102</v>
      </c>
      <c r="Z704">
        <v>8</v>
      </c>
      <c r="AA704">
        <v>1</v>
      </c>
    </row>
    <row r="705" spans="24:27">
      <c r="X705">
        <v>715</v>
      </c>
      <c r="Y705">
        <v>364</v>
      </c>
      <c r="Z705">
        <v>5</v>
      </c>
      <c r="AA705">
        <v>9</v>
      </c>
    </row>
    <row r="706" spans="24:27">
      <c r="X706">
        <v>716</v>
      </c>
      <c r="Y706">
        <v>364</v>
      </c>
      <c r="Z706">
        <v>6</v>
      </c>
      <c r="AA706">
        <v>10</v>
      </c>
    </row>
    <row r="707" spans="24:27">
      <c r="X707">
        <v>717</v>
      </c>
      <c r="Y707">
        <v>364</v>
      </c>
      <c r="Z707">
        <v>7</v>
      </c>
      <c r="AA707">
        <v>0</v>
      </c>
    </row>
    <row r="708" spans="24:27">
      <c r="X708">
        <v>718</v>
      </c>
      <c r="Y708">
        <v>364</v>
      </c>
      <c r="Z708">
        <v>8</v>
      </c>
      <c r="AA708">
        <v>1</v>
      </c>
    </row>
    <row r="709" spans="24:27">
      <c r="X709">
        <v>719</v>
      </c>
      <c r="Y709">
        <v>103</v>
      </c>
      <c r="Z709">
        <v>5</v>
      </c>
      <c r="AA709">
        <v>9</v>
      </c>
    </row>
    <row r="710" spans="24:27">
      <c r="X710">
        <v>720</v>
      </c>
      <c r="Y710">
        <v>103</v>
      </c>
      <c r="Z710">
        <v>6</v>
      </c>
      <c r="AA710">
        <v>10</v>
      </c>
    </row>
    <row r="711" spans="24:27">
      <c r="X711">
        <v>721</v>
      </c>
      <c r="Y711">
        <v>103</v>
      </c>
      <c r="Z711">
        <v>7</v>
      </c>
      <c r="AA711">
        <v>0</v>
      </c>
    </row>
    <row r="712" spans="24:27">
      <c r="X712">
        <v>722</v>
      </c>
      <c r="Y712">
        <v>103</v>
      </c>
      <c r="Z712">
        <v>8</v>
      </c>
      <c r="AA712">
        <v>1</v>
      </c>
    </row>
    <row r="713" spans="24:27">
      <c r="X713">
        <v>723</v>
      </c>
      <c r="Y713">
        <v>104</v>
      </c>
      <c r="Z713">
        <v>5</v>
      </c>
      <c r="AA713">
        <v>9</v>
      </c>
    </row>
    <row r="714" spans="24:27">
      <c r="X714">
        <v>724</v>
      </c>
      <c r="Y714">
        <v>104</v>
      </c>
      <c r="Z714">
        <v>6</v>
      </c>
      <c r="AA714">
        <v>10</v>
      </c>
    </row>
    <row r="715" spans="24:27">
      <c r="X715">
        <v>725</v>
      </c>
      <c r="Y715">
        <v>104</v>
      </c>
      <c r="Z715">
        <v>7</v>
      </c>
      <c r="AA715">
        <v>0</v>
      </c>
    </row>
    <row r="716" spans="24:27">
      <c r="X716">
        <v>726</v>
      </c>
      <c r="Y716">
        <v>104</v>
      </c>
      <c r="Z716">
        <v>8</v>
      </c>
      <c r="AA716">
        <v>1</v>
      </c>
    </row>
    <row r="717" spans="24:27">
      <c r="X717">
        <v>727</v>
      </c>
      <c r="Y717">
        <v>105</v>
      </c>
      <c r="Z717">
        <v>5</v>
      </c>
      <c r="AA717">
        <v>9</v>
      </c>
    </row>
    <row r="718" spans="24:27">
      <c r="X718">
        <v>728</v>
      </c>
      <c r="Y718">
        <v>105</v>
      </c>
      <c r="Z718">
        <v>6</v>
      </c>
      <c r="AA718">
        <v>10</v>
      </c>
    </row>
    <row r="719" spans="24:27">
      <c r="X719">
        <v>729</v>
      </c>
      <c r="Y719">
        <v>105</v>
      </c>
      <c r="Z719">
        <v>7</v>
      </c>
      <c r="AA719">
        <v>0</v>
      </c>
    </row>
    <row r="720" spans="24:27">
      <c r="X720">
        <v>730</v>
      </c>
      <c r="Y720">
        <v>105</v>
      </c>
      <c r="Z720">
        <v>8</v>
      </c>
      <c r="AA720">
        <v>1</v>
      </c>
    </row>
    <row r="721" spans="24:27">
      <c r="X721">
        <v>731</v>
      </c>
      <c r="Y721">
        <v>106</v>
      </c>
      <c r="Z721">
        <v>5</v>
      </c>
      <c r="AA721">
        <v>9</v>
      </c>
    </row>
    <row r="722" spans="24:27">
      <c r="X722">
        <v>732</v>
      </c>
      <c r="Y722">
        <v>106</v>
      </c>
      <c r="Z722">
        <v>6</v>
      </c>
      <c r="AA722">
        <v>10</v>
      </c>
    </row>
    <row r="723" spans="24:27">
      <c r="X723">
        <v>733</v>
      </c>
      <c r="Y723">
        <v>106</v>
      </c>
      <c r="Z723">
        <v>7</v>
      </c>
      <c r="AA723">
        <v>0</v>
      </c>
    </row>
    <row r="724" spans="24:27">
      <c r="X724">
        <v>734</v>
      </c>
      <c r="Y724">
        <v>106</v>
      </c>
      <c r="Z724">
        <v>8</v>
      </c>
      <c r="AA724">
        <v>1</v>
      </c>
    </row>
    <row r="725" spans="24:27">
      <c r="X725">
        <v>735</v>
      </c>
      <c r="Y725">
        <v>107</v>
      </c>
      <c r="Z725">
        <v>5</v>
      </c>
      <c r="AA725">
        <v>9</v>
      </c>
    </row>
    <row r="726" spans="24:27">
      <c r="X726">
        <v>736</v>
      </c>
      <c r="Y726">
        <v>107</v>
      </c>
      <c r="Z726">
        <v>6</v>
      </c>
      <c r="AA726">
        <v>10</v>
      </c>
    </row>
    <row r="727" spans="24:27">
      <c r="X727">
        <v>737</v>
      </c>
      <c r="Y727">
        <v>107</v>
      </c>
      <c r="Z727">
        <v>7</v>
      </c>
      <c r="AA727">
        <v>0</v>
      </c>
    </row>
    <row r="728" spans="24:27">
      <c r="X728">
        <v>738</v>
      </c>
      <c r="Y728">
        <v>107</v>
      </c>
      <c r="Z728">
        <v>8</v>
      </c>
      <c r="AA728">
        <v>1</v>
      </c>
    </row>
    <row r="729" spans="24:27">
      <c r="X729">
        <v>739</v>
      </c>
      <c r="Y729">
        <v>108</v>
      </c>
      <c r="Z729">
        <v>5</v>
      </c>
      <c r="AA729">
        <v>9</v>
      </c>
    </row>
    <row r="730" spans="24:27">
      <c r="X730">
        <v>740</v>
      </c>
      <c r="Y730">
        <v>108</v>
      </c>
      <c r="Z730">
        <v>6</v>
      </c>
      <c r="AA730">
        <v>10</v>
      </c>
    </row>
    <row r="731" spans="24:27">
      <c r="X731">
        <v>741</v>
      </c>
      <c r="Y731">
        <v>108</v>
      </c>
      <c r="Z731">
        <v>7</v>
      </c>
      <c r="AA731">
        <v>0</v>
      </c>
    </row>
    <row r="732" spans="24:27">
      <c r="X732">
        <v>742</v>
      </c>
      <c r="Y732">
        <v>108</v>
      </c>
      <c r="Z732">
        <v>8</v>
      </c>
      <c r="AA732">
        <v>1</v>
      </c>
    </row>
    <row r="733" spans="24:27">
      <c r="X733">
        <v>743</v>
      </c>
      <c r="Y733">
        <v>109</v>
      </c>
      <c r="Z733">
        <v>5</v>
      </c>
      <c r="AA733">
        <v>9</v>
      </c>
    </row>
    <row r="734" spans="24:27">
      <c r="X734">
        <v>744</v>
      </c>
      <c r="Y734">
        <v>109</v>
      </c>
      <c r="Z734">
        <v>6</v>
      </c>
      <c r="AA734">
        <v>10</v>
      </c>
    </row>
    <row r="735" spans="24:27">
      <c r="X735">
        <v>745</v>
      </c>
      <c r="Y735">
        <v>109</v>
      </c>
      <c r="Z735">
        <v>7</v>
      </c>
      <c r="AA735">
        <v>0</v>
      </c>
    </row>
    <row r="736" spans="24:27">
      <c r="X736">
        <v>746</v>
      </c>
      <c r="Y736">
        <v>109</v>
      </c>
      <c r="Z736">
        <v>8</v>
      </c>
      <c r="AA736">
        <v>1</v>
      </c>
    </row>
    <row r="737" spans="24:27">
      <c r="X737">
        <v>747</v>
      </c>
      <c r="Y737">
        <v>110</v>
      </c>
      <c r="Z737">
        <v>5</v>
      </c>
      <c r="AA737">
        <v>9</v>
      </c>
    </row>
    <row r="738" spans="24:27">
      <c r="X738">
        <v>748</v>
      </c>
      <c r="Y738">
        <v>110</v>
      </c>
      <c r="Z738">
        <v>6</v>
      </c>
      <c r="AA738">
        <v>10</v>
      </c>
    </row>
    <row r="739" spans="24:27">
      <c r="X739">
        <v>749</v>
      </c>
      <c r="Y739">
        <v>110</v>
      </c>
      <c r="Z739">
        <v>7</v>
      </c>
      <c r="AA739">
        <v>0</v>
      </c>
    </row>
    <row r="740" spans="24:27">
      <c r="X740">
        <v>750</v>
      </c>
      <c r="Y740">
        <v>110</v>
      </c>
      <c r="Z740">
        <v>8</v>
      </c>
      <c r="AA740">
        <v>1</v>
      </c>
    </row>
    <row r="741" spans="24:27">
      <c r="X741">
        <v>751</v>
      </c>
      <c r="Y741">
        <v>111</v>
      </c>
      <c r="Z741">
        <v>5</v>
      </c>
      <c r="AA741">
        <v>9</v>
      </c>
    </row>
    <row r="742" spans="24:27">
      <c r="X742">
        <v>752</v>
      </c>
      <c r="Y742">
        <v>111</v>
      </c>
      <c r="Z742">
        <v>6</v>
      </c>
      <c r="AA742">
        <v>10</v>
      </c>
    </row>
    <row r="743" spans="24:27">
      <c r="X743">
        <v>753</v>
      </c>
      <c r="Y743">
        <v>111</v>
      </c>
      <c r="Z743">
        <v>7</v>
      </c>
      <c r="AA743">
        <v>0</v>
      </c>
    </row>
    <row r="744" spans="24:27">
      <c r="X744">
        <v>754</v>
      </c>
      <c r="Y744">
        <v>111</v>
      </c>
      <c r="Z744">
        <v>8</v>
      </c>
      <c r="AA744">
        <v>1</v>
      </c>
    </row>
    <row r="745" spans="24:27">
      <c r="X745">
        <v>755</v>
      </c>
      <c r="Y745">
        <v>112</v>
      </c>
      <c r="Z745">
        <v>5</v>
      </c>
      <c r="AA745">
        <v>9</v>
      </c>
    </row>
    <row r="746" spans="24:27">
      <c r="X746">
        <v>756</v>
      </c>
      <c r="Y746">
        <v>112</v>
      </c>
      <c r="Z746">
        <v>6</v>
      </c>
      <c r="AA746">
        <v>10</v>
      </c>
    </row>
    <row r="747" spans="24:27">
      <c r="X747">
        <v>757</v>
      </c>
      <c r="Y747">
        <v>112</v>
      </c>
      <c r="Z747">
        <v>7</v>
      </c>
      <c r="AA747">
        <v>0</v>
      </c>
    </row>
    <row r="748" spans="24:27">
      <c r="X748">
        <v>758</v>
      </c>
      <c r="Y748">
        <v>112</v>
      </c>
      <c r="Z748">
        <v>8</v>
      </c>
      <c r="AA748">
        <v>1</v>
      </c>
    </row>
    <row r="749" spans="24:27">
      <c r="X749">
        <v>759</v>
      </c>
      <c r="Y749">
        <v>113</v>
      </c>
      <c r="Z749">
        <v>5</v>
      </c>
      <c r="AA749">
        <v>9</v>
      </c>
    </row>
    <row r="750" spans="24:27">
      <c r="X750">
        <v>760</v>
      </c>
      <c r="Y750">
        <v>113</v>
      </c>
      <c r="Z750">
        <v>6</v>
      </c>
      <c r="AA750">
        <v>10</v>
      </c>
    </row>
    <row r="751" spans="24:27">
      <c r="X751">
        <v>761</v>
      </c>
      <c r="Y751">
        <v>113</v>
      </c>
      <c r="Z751">
        <v>7</v>
      </c>
      <c r="AA751">
        <v>0</v>
      </c>
    </row>
    <row r="752" spans="24:27">
      <c r="X752">
        <v>762</v>
      </c>
      <c r="Y752">
        <v>113</v>
      </c>
      <c r="Z752">
        <v>8</v>
      </c>
      <c r="AA752">
        <v>1</v>
      </c>
    </row>
    <row r="753" spans="24:27">
      <c r="X753">
        <v>763</v>
      </c>
      <c r="Y753">
        <v>114</v>
      </c>
      <c r="Z753">
        <v>5</v>
      </c>
      <c r="AA753">
        <v>9</v>
      </c>
    </row>
    <row r="754" spans="24:27">
      <c r="X754">
        <v>764</v>
      </c>
      <c r="Y754">
        <v>114</v>
      </c>
      <c r="Z754">
        <v>6</v>
      </c>
      <c r="AA754">
        <v>11</v>
      </c>
    </row>
    <row r="755" spans="24:27">
      <c r="X755">
        <v>765</v>
      </c>
      <c r="Y755">
        <v>114</v>
      </c>
      <c r="Z755">
        <v>7</v>
      </c>
      <c r="AA755">
        <v>0</v>
      </c>
    </row>
    <row r="756" spans="24:27">
      <c r="X756">
        <v>766</v>
      </c>
      <c r="Y756">
        <v>114</v>
      </c>
      <c r="Z756">
        <v>8</v>
      </c>
      <c r="AA756">
        <v>1</v>
      </c>
    </row>
    <row r="757" spans="24:27">
      <c r="X757">
        <v>767</v>
      </c>
      <c r="Y757">
        <v>115</v>
      </c>
      <c r="Z757">
        <v>5</v>
      </c>
      <c r="AA757">
        <v>9</v>
      </c>
    </row>
    <row r="758" spans="24:27">
      <c r="X758">
        <v>768</v>
      </c>
      <c r="Y758">
        <v>115</v>
      </c>
      <c r="Z758">
        <v>6</v>
      </c>
      <c r="AA758">
        <v>10</v>
      </c>
    </row>
    <row r="759" spans="24:27">
      <c r="X759">
        <v>769</v>
      </c>
      <c r="Y759">
        <v>115</v>
      </c>
      <c r="Z759">
        <v>7</v>
      </c>
      <c r="AA759">
        <v>0</v>
      </c>
    </row>
    <row r="760" spans="24:27">
      <c r="X760">
        <v>770</v>
      </c>
      <c r="Y760">
        <v>115</v>
      </c>
      <c r="Z760">
        <v>8</v>
      </c>
      <c r="AA760">
        <v>1</v>
      </c>
    </row>
    <row r="761" spans="24:27">
      <c r="X761">
        <v>771</v>
      </c>
      <c r="Y761">
        <v>116</v>
      </c>
      <c r="Z761">
        <v>5</v>
      </c>
      <c r="AA761">
        <v>9</v>
      </c>
    </row>
    <row r="762" spans="24:27">
      <c r="X762">
        <v>772</v>
      </c>
      <c r="Y762">
        <v>116</v>
      </c>
      <c r="Z762">
        <v>6</v>
      </c>
      <c r="AA762">
        <v>10</v>
      </c>
    </row>
    <row r="763" spans="24:27">
      <c r="X763">
        <v>773</v>
      </c>
      <c r="Y763">
        <v>116</v>
      </c>
      <c r="Z763">
        <v>7</v>
      </c>
      <c r="AA763">
        <v>0</v>
      </c>
    </row>
    <row r="764" spans="24:27">
      <c r="X764">
        <v>774</v>
      </c>
      <c r="Y764">
        <v>116</v>
      </c>
      <c r="Z764">
        <v>8</v>
      </c>
      <c r="AA764">
        <v>1</v>
      </c>
    </row>
    <row r="765" spans="24:27">
      <c r="X765">
        <v>775</v>
      </c>
      <c r="Y765">
        <v>117</v>
      </c>
      <c r="Z765">
        <v>5</v>
      </c>
      <c r="AA765">
        <v>9</v>
      </c>
    </row>
    <row r="766" spans="24:27">
      <c r="X766">
        <v>776</v>
      </c>
      <c r="Y766">
        <v>117</v>
      </c>
      <c r="Z766">
        <v>6</v>
      </c>
      <c r="AA766">
        <v>10</v>
      </c>
    </row>
    <row r="767" spans="24:27">
      <c r="X767">
        <v>777</v>
      </c>
      <c r="Y767">
        <v>117</v>
      </c>
      <c r="Z767">
        <v>7</v>
      </c>
      <c r="AA767">
        <v>0</v>
      </c>
    </row>
    <row r="768" spans="24:27">
      <c r="X768">
        <v>778</v>
      </c>
      <c r="Y768">
        <v>117</v>
      </c>
      <c r="Z768">
        <v>8</v>
      </c>
      <c r="AA768">
        <v>1</v>
      </c>
    </row>
    <row r="769" spans="24:27">
      <c r="X769">
        <v>779</v>
      </c>
      <c r="Y769">
        <v>118</v>
      </c>
      <c r="Z769">
        <v>5</v>
      </c>
      <c r="AA769">
        <v>9</v>
      </c>
    </row>
    <row r="770" spans="24:27">
      <c r="X770">
        <v>780</v>
      </c>
      <c r="Y770">
        <v>118</v>
      </c>
      <c r="Z770">
        <v>6</v>
      </c>
      <c r="AA770">
        <v>10</v>
      </c>
    </row>
    <row r="771" spans="24:27">
      <c r="X771">
        <v>781</v>
      </c>
      <c r="Y771">
        <v>118</v>
      </c>
      <c r="Z771">
        <v>7</v>
      </c>
      <c r="AA771">
        <v>0</v>
      </c>
    </row>
    <row r="772" spans="24:27">
      <c r="X772">
        <v>782</v>
      </c>
      <c r="Y772">
        <v>118</v>
      </c>
      <c r="Z772">
        <v>8</v>
      </c>
      <c r="AA772">
        <v>1</v>
      </c>
    </row>
    <row r="773" spans="24:27">
      <c r="X773">
        <v>783</v>
      </c>
      <c r="Y773">
        <v>119</v>
      </c>
      <c r="Z773">
        <v>5</v>
      </c>
      <c r="AA773">
        <v>9</v>
      </c>
    </row>
    <row r="774" spans="24:27">
      <c r="X774">
        <v>784</v>
      </c>
      <c r="Y774">
        <v>119</v>
      </c>
      <c r="Z774">
        <v>6</v>
      </c>
      <c r="AA774">
        <v>10</v>
      </c>
    </row>
    <row r="775" spans="24:27">
      <c r="X775">
        <v>785</v>
      </c>
      <c r="Y775">
        <v>119</v>
      </c>
      <c r="Z775">
        <v>7</v>
      </c>
      <c r="AA775">
        <v>0</v>
      </c>
    </row>
    <row r="776" spans="24:27">
      <c r="X776">
        <v>786</v>
      </c>
      <c r="Y776">
        <v>119</v>
      </c>
      <c r="Z776">
        <v>8</v>
      </c>
      <c r="AA776">
        <v>1</v>
      </c>
    </row>
    <row r="777" spans="24:27">
      <c r="X777">
        <v>787</v>
      </c>
      <c r="Y777">
        <v>120</v>
      </c>
      <c r="Z777">
        <v>5</v>
      </c>
      <c r="AA777">
        <v>9</v>
      </c>
    </row>
    <row r="778" spans="24:27">
      <c r="X778">
        <v>788</v>
      </c>
      <c r="Y778">
        <v>120</v>
      </c>
      <c r="Z778">
        <v>6</v>
      </c>
      <c r="AA778">
        <v>10</v>
      </c>
    </row>
    <row r="779" spans="24:27">
      <c r="X779">
        <v>789</v>
      </c>
      <c r="Y779">
        <v>120</v>
      </c>
      <c r="Z779">
        <v>7</v>
      </c>
      <c r="AA779">
        <v>0</v>
      </c>
    </row>
    <row r="780" spans="24:27">
      <c r="X780">
        <v>790</v>
      </c>
      <c r="Y780">
        <v>120</v>
      </c>
      <c r="Z780">
        <v>8</v>
      </c>
      <c r="AA780">
        <v>1</v>
      </c>
    </row>
    <row r="781" spans="24:27">
      <c r="X781">
        <v>791</v>
      </c>
      <c r="Y781">
        <v>121</v>
      </c>
      <c r="Z781">
        <v>5</v>
      </c>
      <c r="AA781">
        <v>9</v>
      </c>
    </row>
    <row r="782" spans="24:27">
      <c r="X782">
        <v>792</v>
      </c>
      <c r="Y782">
        <v>121</v>
      </c>
      <c r="Z782">
        <v>6</v>
      </c>
      <c r="AA782">
        <v>10</v>
      </c>
    </row>
    <row r="783" spans="24:27">
      <c r="X783">
        <v>793</v>
      </c>
      <c r="Y783">
        <v>121</v>
      </c>
      <c r="Z783">
        <v>7</v>
      </c>
      <c r="AA783">
        <v>0</v>
      </c>
    </row>
    <row r="784" spans="24:27">
      <c r="X784">
        <v>794</v>
      </c>
      <c r="Y784">
        <v>121</v>
      </c>
      <c r="Z784">
        <v>8</v>
      </c>
      <c r="AA784">
        <v>1</v>
      </c>
    </row>
    <row r="785" spans="24:27">
      <c r="X785">
        <v>795</v>
      </c>
      <c r="Y785">
        <v>122</v>
      </c>
      <c r="Z785">
        <v>5</v>
      </c>
      <c r="AA785">
        <v>9</v>
      </c>
    </row>
    <row r="786" spans="24:27">
      <c r="X786">
        <v>796</v>
      </c>
      <c r="Y786">
        <v>122</v>
      </c>
      <c r="Z786">
        <v>6</v>
      </c>
      <c r="AA786">
        <v>10</v>
      </c>
    </row>
    <row r="787" spans="24:27">
      <c r="X787">
        <v>797</v>
      </c>
      <c r="Y787">
        <v>122</v>
      </c>
      <c r="Z787">
        <v>7</v>
      </c>
      <c r="AA787">
        <v>0</v>
      </c>
    </row>
    <row r="788" spans="24:27">
      <c r="X788">
        <v>798</v>
      </c>
      <c r="Y788">
        <v>122</v>
      </c>
      <c r="Z788">
        <v>8</v>
      </c>
      <c r="AA788">
        <v>1</v>
      </c>
    </row>
    <row r="789" spans="24:27">
      <c r="X789">
        <v>799</v>
      </c>
      <c r="Y789">
        <v>123</v>
      </c>
      <c r="Z789">
        <v>5</v>
      </c>
      <c r="AA789">
        <v>9</v>
      </c>
    </row>
    <row r="790" spans="24:27">
      <c r="X790">
        <v>800</v>
      </c>
      <c r="Y790">
        <v>123</v>
      </c>
      <c r="Z790">
        <v>6</v>
      </c>
      <c r="AA790">
        <v>10</v>
      </c>
    </row>
    <row r="791" spans="24:27">
      <c r="X791">
        <v>801</v>
      </c>
      <c r="Y791">
        <v>123</v>
      </c>
      <c r="Z791">
        <v>7</v>
      </c>
      <c r="AA791">
        <v>0</v>
      </c>
    </row>
    <row r="792" spans="24:27">
      <c r="X792">
        <v>802</v>
      </c>
      <c r="Y792">
        <v>123</v>
      </c>
      <c r="Z792">
        <v>8</v>
      </c>
      <c r="AA792">
        <v>1</v>
      </c>
    </row>
    <row r="793" spans="24:27">
      <c r="X793">
        <v>803</v>
      </c>
      <c r="Y793">
        <v>124</v>
      </c>
      <c r="Z793">
        <v>5</v>
      </c>
      <c r="AA793">
        <v>9</v>
      </c>
    </row>
    <row r="794" spans="24:27">
      <c r="X794">
        <v>804</v>
      </c>
      <c r="Y794">
        <v>124</v>
      </c>
      <c r="Z794">
        <v>6</v>
      </c>
      <c r="AA794">
        <v>10</v>
      </c>
    </row>
    <row r="795" spans="24:27">
      <c r="X795">
        <v>805</v>
      </c>
      <c r="Y795">
        <v>124</v>
      </c>
      <c r="Z795">
        <v>7</v>
      </c>
      <c r="AA795">
        <v>0</v>
      </c>
    </row>
    <row r="796" spans="24:27">
      <c r="X796">
        <v>806</v>
      </c>
      <c r="Y796">
        <v>124</v>
      </c>
      <c r="Z796">
        <v>8</v>
      </c>
      <c r="AA796">
        <v>1</v>
      </c>
    </row>
    <row r="797" spans="24:27">
      <c r="X797">
        <v>807</v>
      </c>
      <c r="Y797">
        <v>125</v>
      </c>
      <c r="Z797">
        <v>5</v>
      </c>
      <c r="AA797">
        <v>9</v>
      </c>
    </row>
    <row r="798" spans="24:27">
      <c r="X798">
        <v>808</v>
      </c>
      <c r="Y798">
        <v>125</v>
      </c>
      <c r="Z798">
        <v>6</v>
      </c>
      <c r="AA798">
        <v>10</v>
      </c>
    </row>
    <row r="799" spans="24:27">
      <c r="X799">
        <v>809</v>
      </c>
      <c r="Y799">
        <v>125</v>
      </c>
      <c r="Z799">
        <v>7</v>
      </c>
      <c r="AA799">
        <v>0</v>
      </c>
    </row>
    <row r="800" spans="24:27">
      <c r="X800">
        <v>810</v>
      </c>
      <c r="Y800">
        <v>125</v>
      </c>
      <c r="Z800">
        <v>8</v>
      </c>
      <c r="AA800">
        <v>1</v>
      </c>
    </row>
    <row r="801" spans="24:27">
      <c r="X801">
        <v>811</v>
      </c>
      <c r="Y801">
        <v>365</v>
      </c>
      <c r="Z801">
        <v>5</v>
      </c>
      <c r="AA801">
        <v>9</v>
      </c>
    </row>
    <row r="802" spans="24:27">
      <c r="X802">
        <v>812</v>
      </c>
      <c r="Y802">
        <v>365</v>
      </c>
      <c r="Z802">
        <v>6</v>
      </c>
      <c r="AA802">
        <v>10</v>
      </c>
    </row>
    <row r="803" spans="24:27">
      <c r="X803">
        <v>813</v>
      </c>
      <c r="Y803">
        <v>365</v>
      </c>
      <c r="Z803">
        <v>7</v>
      </c>
      <c r="AA803">
        <v>0</v>
      </c>
    </row>
    <row r="804" spans="24:27">
      <c r="X804">
        <v>814</v>
      </c>
      <c r="Y804">
        <v>365</v>
      </c>
      <c r="Z804">
        <v>8</v>
      </c>
      <c r="AA804">
        <v>1</v>
      </c>
    </row>
    <row r="805" spans="24:27">
      <c r="X805">
        <v>815</v>
      </c>
      <c r="Y805">
        <v>126</v>
      </c>
      <c r="Z805">
        <v>5</v>
      </c>
      <c r="AA805">
        <v>9</v>
      </c>
    </row>
    <row r="806" spans="24:27">
      <c r="X806">
        <v>816</v>
      </c>
      <c r="Y806">
        <v>126</v>
      </c>
      <c r="Z806">
        <v>6</v>
      </c>
      <c r="AA806">
        <v>10</v>
      </c>
    </row>
    <row r="807" spans="24:27">
      <c r="X807">
        <v>817</v>
      </c>
      <c r="Y807">
        <v>126</v>
      </c>
      <c r="Z807">
        <v>7</v>
      </c>
      <c r="AA807">
        <v>0</v>
      </c>
    </row>
    <row r="808" spans="24:27">
      <c r="X808">
        <v>818</v>
      </c>
      <c r="Y808">
        <v>126</v>
      </c>
      <c r="Z808">
        <v>8</v>
      </c>
      <c r="AA808">
        <v>1</v>
      </c>
    </row>
    <row r="809" spans="24:27">
      <c r="X809">
        <v>819</v>
      </c>
      <c r="Y809">
        <v>366</v>
      </c>
      <c r="Z809">
        <v>5</v>
      </c>
      <c r="AA809">
        <v>9</v>
      </c>
    </row>
    <row r="810" spans="24:27">
      <c r="X810">
        <v>820</v>
      </c>
      <c r="Y810">
        <v>366</v>
      </c>
      <c r="Z810">
        <v>6</v>
      </c>
      <c r="AA810">
        <v>10</v>
      </c>
    </row>
    <row r="811" spans="24:27">
      <c r="X811">
        <v>821</v>
      </c>
      <c r="Y811">
        <v>366</v>
      </c>
      <c r="Z811">
        <v>7</v>
      </c>
      <c r="AA811">
        <v>0</v>
      </c>
    </row>
    <row r="812" spans="24:27">
      <c r="X812">
        <v>822</v>
      </c>
      <c r="Y812">
        <v>366</v>
      </c>
      <c r="Z812">
        <v>8</v>
      </c>
      <c r="AA812">
        <v>1</v>
      </c>
    </row>
    <row r="813" spans="24:27">
      <c r="X813">
        <v>823</v>
      </c>
      <c r="Y813">
        <v>127</v>
      </c>
      <c r="Z813">
        <v>5</v>
      </c>
      <c r="AA813">
        <v>9</v>
      </c>
    </row>
    <row r="814" spans="24:27">
      <c r="X814">
        <v>824</v>
      </c>
      <c r="Y814">
        <v>127</v>
      </c>
      <c r="Z814">
        <v>6</v>
      </c>
      <c r="AA814">
        <v>10</v>
      </c>
    </row>
    <row r="815" spans="24:27">
      <c r="X815">
        <v>825</v>
      </c>
      <c r="Y815">
        <v>127</v>
      </c>
      <c r="Z815">
        <v>7</v>
      </c>
      <c r="AA815">
        <v>0</v>
      </c>
    </row>
    <row r="816" spans="24:27">
      <c r="X816">
        <v>826</v>
      </c>
      <c r="Y816">
        <v>127</v>
      </c>
      <c r="Z816">
        <v>8</v>
      </c>
      <c r="AA816">
        <v>1</v>
      </c>
    </row>
    <row r="817" spans="24:27">
      <c r="X817">
        <v>827</v>
      </c>
      <c r="Y817">
        <v>128</v>
      </c>
      <c r="Z817">
        <v>5</v>
      </c>
      <c r="AA817">
        <v>9</v>
      </c>
    </row>
    <row r="818" spans="24:27">
      <c r="X818">
        <v>828</v>
      </c>
      <c r="Y818">
        <v>128</v>
      </c>
      <c r="Z818">
        <v>6</v>
      </c>
      <c r="AA818">
        <v>10</v>
      </c>
    </row>
    <row r="819" spans="24:27">
      <c r="X819">
        <v>829</v>
      </c>
      <c r="Y819">
        <v>128</v>
      </c>
      <c r="Z819">
        <v>7</v>
      </c>
      <c r="AA819">
        <v>0</v>
      </c>
    </row>
    <row r="820" spans="24:27">
      <c r="X820">
        <v>830</v>
      </c>
      <c r="Y820">
        <v>128</v>
      </c>
      <c r="Z820">
        <v>8</v>
      </c>
      <c r="AA820">
        <v>1</v>
      </c>
    </row>
    <row r="821" spans="24:27">
      <c r="X821">
        <v>831</v>
      </c>
      <c r="Y821">
        <v>220</v>
      </c>
      <c r="Z821">
        <v>5</v>
      </c>
      <c r="AA821">
        <v>9</v>
      </c>
    </row>
    <row r="822" spans="24:27">
      <c r="X822">
        <v>832</v>
      </c>
      <c r="Y822">
        <v>220</v>
      </c>
      <c r="Z822">
        <v>6</v>
      </c>
      <c r="AA822">
        <v>10</v>
      </c>
    </row>
    <row r="823" spans="24:27">
      <c r="X823">
        <v>833</v>
      </c>
      <c r="Y823">
        <v>220</v>
      </c>
      <c r="Z823">
        <v>7</v>
      </c>
      <c r="AA823">
        <v>0</v>
      </c>
    </row>
    <row r="824" spans="24:27">
      <c r="X824">
        <v>834</v>
      </c>
      <c r="Y824">
        <v>220</v>
      </c>
      <c r="Z824">
        <v>8</v>
      </c>
      <c r="AA824">
        <v>1</v>
      </c>
    </row>
    <row r="825" spans="24:27">
      <c r="X825">
        <v>835</v>
      </c>
      <c r="Y825">
        <v>224</v>
      </c>
      <c r="Z825">
        <v>5</v>
      </c>
      <c r="AA825">
        <v>9</v>
      </c>
    </row>
    <row r="826" spans="24:27">
      <c r="X826">
        <v>836</v>
      </c>
      <c r="Y826">
        <v>224</v>
      </c>
      <c r="Z826">
        <v>6</v>
      </c>
      <c r="AA826">
        <v>10</v>
      </c>
    </row>
    <row r="827" spans="24:27">
      <c r="X827">
        <v>837</v>
      </c>
      <c r="Y827">
        <v>224</v>
      </c>
      <c r="Z827">
        <v>7</v>
      </c>
      <c r="AA827">
        <v>0</v>
      </c>
    </row>
    <row r="828" spans="24:27">
      <c r="X828">
        <v>838</v>
      </c>
      <c r="Y828">
        <v>224</v>
      </c>
      <c r="Z828">
        <v>8</v>
      </c>
      <c r="AA828">
        <v>1</v>
      </c>
    </row>
    <row r="829" spans="24:27">
      <c r="X829">
        <v>839</v>
      </c>
      <c r="Y829">
        <v>256</v>
      </c>
      <c r="Z829">
        <v>5</v>
      </c>
      <c r="AA829">
        <v>9</v>
      </c>
    </row>
    <row r="830" spans="24:27">
      <c r="X830">
        <v>840</v>
      </c>
      <c r="Y830">
        <v>256</v>
      </c>
      <c r="Z830">
        <v>6</v>
      </c>
      <c r="AA830">
        <v>10</v>
      </c>
    </row>
    <row r="831" spans="24:27">
      <c r="X831">
        <v>841</v>
      </c>
      <c r="Y831">
        <v>256</v>
      </c>
      <c r="Z831">
        <v>7</v>
      </c>
      <c r="AA831">
        <v>0</v>
      </c>
    </row>
    <row r="832" spans="24:27">
      <c r="X832">
        <v>842</v>
      </c>
      <c r="Y832">
        <v>256</v>
      </c>
      <c r="Z832">
        <v>8</v>
      </c>
      <c r="AA832">
        <v>1</v>
      </c>
    </row>
    <row r="833" spans="24:27">
      <c r="X833">
        <v>843</v>
      </c>
      <c r="Y833">
        <v>248</v>
      </c>
      <c r="Z833">
        <v>5</v>
      </c>
      <c r="AA833">
        <v>9</v>
      </c>
    </row>
    <row r="834" spans="24:27">
      <c r="X834">
        <v>844</v>
      </c>
      <c r="Y834">
        <v>248</v>
      </c>
      <c r="Z834">
        <v>6</v>
      </c>
      <c r="AA834">
        <v>10</v>
      </c>
    </row>
    <row r="835" spans="24:27">
      <c r="X835">
        <v>845</v>
      </c>
      <c r="Y835">
        <v>248</v>
      </c>
      <c r="Z835">
        <v>7</v>
      </c>
      <c r="AA835">
        <v>0</v>
      </c>
    </row>
    <row r="836" spans="24:27">
      <c r="X836">
        <v>846</v>
      </c>
      <c r="Y836">
        <v>248</v>
      </c>
      <c r="Z836">
        <v>8</v>
      </c>
      <c r="AA836">
        <v>1</v>
      </c>
    </row>
    <row r="837" spans="24:27">
      <c r="X837">
        <v>847</v>
      </c>
      <c r="Y837">
        <v>252</v>
      </c>
      <c r="Z837">
        <v>5</v>
      </c>
      <c r="AA837">
        <v>9</v>
      </c>
    </row>
    <row r="838" spans="24:27">
      <c r="X838">
        <v>848</v>
      </c>
      <c r="Y838">
        <v>252</v>
      </c>
      <c r="Z838">
        <v>6</v>
      </c>
      <c r="AA838">
        <v>10</v>
      </c>
    </row>
    <row r="839" spans="24:27">
      <c r="X839">
        <v>849</v>
      </c>
      <c r="Y839">
        <v>252</v>
      </c>
      <c r="Z839">
        <v>7</v>
      </c>
      <c r="AA839">
        <v>0</v>
      </c>
    </row>
    <row r="840" spans="24:27">
      <c r="X840">
        <v>850</v>
      </c>
      <c r="Y840">
        <v>252</v>
      </c>
      <c r="Z840">
        <v>8</v>
      </c>
      <c r="AA840">
        <v>1</v>
      </c>
    </row>
    <row r="841" spans="24:27">
      <c r="X841">
        <v>851</v>
      </c>
      <c r="Y841">
        <v>244</v>
      </c>
      <c r="Z841">
        <v>5</v>
      </c>
      <c r="AA841">
        <v>9</v>
      </c>
    </row>
    <row r="842" spans="24:27">
      <c r="X842">
        <v>852</v>
      </c>
      <c r="Y842">
        <v>244</v>
      </c>
      <c r="Z842">
        <v>6</v>
      </c>
      <c r="AA842">
        <v>10</v>
      </c>
    </row>
    <row r="843" spans="24:27">
      <c r="X843">
        <v>853</v>
      </c>
      <c r="Y843">
        <v>244</v>
      </c>
      <c r="Z843">
        <v>7</v>
      </c>
      <c r="AA843">
        <v>0</v>
      </c>
    </row>
    <row r="844" spans="24:27">
      <c r="X844">
        <v>854</v>
      </c>
      <c r="Y844">
        <v>244</v>
      </c>
      <c r="Z844">
        <v>8</v>
      </c>
      <c r="AA844">
        <v>1</v>
      </c>
    </row>
    <row r="845" spans="24:27">
      <c r="X845">
        <v>855</v>
      </c>
      <c r="Y845">
        <v>240</v>
      </c>
      <c r="Z845">
        <v>5</v>
      </c>
      <c r="AA845">
        <v>9</v>
      </c>
    </row>
    <row r="846" spans="24:27">
      <c r="X846">
        <v>856</v>
      </c>
      <c r="Y846">
        <v>240</v>
      </c>
      <c r="Z846">
        <v>6</v>
      </c>
      <c r="AA846">
        <v>10</v>
      </c>
    </row>
    <row r="847" spans="24:27">
      <c r="X847">
        <v>857</v>
      </c>
      <c r="Y847">
        <v>240</v>
      </c>
      <c r="Z847">
        <v>7</v>
      </c>
      <c r="AA847">
        <v>0</v>
      </c>
    </row>
    <row r="848" spans="24:27">
      <c r="X848">
        <v>858</v>
      </c>
      <c r="Y848">
        <v>240</v>
      </c>
      <c r="Z848">
        <v>8</v>
      </c>
      <c r="AA848">
        <v>1</v>
      </c>
    </row>
    <row r="849" spans="24:27">
      <c r="X849">
        <v>859</v>
      </c>
      <c r="Y849">
        <v>236</v>
      </c>
      <c r="Z849">
        <v>5</v>
      </c>
      <c r="AA849">
        <v>9</v>
      </c>
    </row>
    <row r="850" spans="24:27">
      <c r="X850">
        <v>860</v>
      </c>
      <c r="Y850">
        <v>236</v>
      </c>
      <c r="Z850">
        <v>6</v>
      </c>
      <c r="AA850">
        <v>10</v>
      </c>
    </row>
    <row r="851" spans="24:27">
      <c r="X851">
        <v>861</v>
      </c>
      <c r="Y851">
        <v>236</v>
      </c>
      <c r="Z851">
        <v>7</v>
      </c>
      <c r="AA851">
        <v>0</v>
      </c>
    </row>
    <row r="852" spans="24:27">
      <c r="X852">
        <v>862</v>
      </c>
      <c r="Y852">
        <v>236</v>
      </c>
      <c r="Z852">
        <v>8</v>
      </c>
      <c r="AA852">
        <v>1</v>
      </c>
    </row>
    <row r="853" spans="24:27">
      <c r="X853">
        <v>863</v>
      </c>
      <c r="Y853">
        <v>229</v>
      </c>
      <c r="Z853">
        <v>5</v>
      </c>
      <c r="AA853">
        <v>9</v>
      </c>
    </row>
    <row r="854" spans="24:27">
      <c r="X854">
        <v>864</v>
      </c>
      <c r="Y854">
        <v>229</v>
      </c>
      <c r="Z854">
        <v>6</v>
      </c>
      <c r="AA854">
        <v>10</v>
      </c>
    </row>
    <row r="855" spans="24:27">
      <c r="X855">
        <v>865</v>
      </c>
      <c r="Y855">
        <v>229</v>
      </c>
      <c r="Z855">
        <v>7</v>
      </c>
      <c r="AA855">
        <v>0</v>
      </c>
    </row>
    <row r="856" spans="24:27">
      <c r="X856">
        <v>866</v>
      </c>
      <c r="Y856">
        <v>229</v>
      </c>
      <c r="Z856">
        <v>8</v>
      </c>
      <c r="AA856">
        <v>1</v>
      </c>
    </row>
    <row r="857" spans="24:27">
      <c r="X857">
        <v>867</v>
      </c>
      <c r="Y857">
        <v>230</v>
      </c>
      <c r="Z857">
        <v>5</v>
      </c>
      <c r="AA857">
        <v>9</v>
      </c>
    </row>
    <row r="858" spans="24:27">
      <c r="X858">
        <v>868</v>
      </c>
      <c r="Y858">
        <v>230</v>
      </c>
      <c r="Z858">
        <v>6</v>
      </c>
      <c r="AA858">
        <v>10</v>
      </c>
    </row>
    <row r="859" spans="24:27">
      <c r="X859">
        <v>869</v>
      </c>
      <c r="Y859">
        <v>230</v>
      </c>
      <c r="Z859">
        <v>7</v>
      </c>
      <c r="AA859">
        <v>0</v>
      </c>
    </row>
    <row r="860" spans="24:27">
      <c r="X860">
        <v>870</v>
      </c>
      <c r="Y860">
        <v>230</v>
      </c>
      <c r="Z860">
        <v>8</v>
      </c>
      <c r="AA860">
        <v>1</v>
      </c>
    </row>
    <row r="861" spans="24:27">
      <c r="X861">
        <v>871</v>
      </c>
      <c r="Y861">
        <v>367</v>
      </c>
      <c r="Z861">
        <v>5</v>
      </c>
      <c r="AA861">
        <v>9</v>
      </c>
    </row>
    <row r="862" spans="24:27">
      <c r="X862">
        <v>872</v>
      </c>
      <c r="Y862">
        <v>367</v>
      </c>
      <c r="Z862">
        <v>6</v>
      </c>
      <c r="AA862">
        <v>10</v>
      </c>
    </row>
    <row r="863" spans="24:27">
      <c r="X863">
        <v>873</v>
      </c>
      <c r="Y863">
        <v>367</v>
      </c>
      <c r="Z863">
        <v>7</v>
      </c>
      <c r="AA863">
        <v>0</v>
      </c>
    </row>
    <row r="864" spans="24:27">
      <c r="X864">
        <v>874</v>
      </c>
      <c r="Y864">
        <v>367</v>
      </c>
      <c r="Z864">
        <v>8</v>
      </c>
      <c r="AA864">
        <v>1</v>
      </c>
    </row>
    <row r="865" spans="24:27">
      <c r="X865">
        <v>875</v>
      </c>
      <c r="Y865">
        <v>368</v>
      </c>
      <c r="Z865">
        <v>5</v>
      </c>
      <c r="AA865">
        <v>9</v>
      </c>
    </row>
    <row r="866" spans="24:27">
      <c r="X866">
        <v>876</v>
      </c>
      <c r="Y866">
        <v>368</v>
      </c>
      <c r="Z866">
        <v>6</v>
      </c>
      <c r="AA866">
        <v>10</v>
      </c>
    </row>
    <row r="867" spans="24:27">
      <c r="X867">
        <v>877</v>
      </c>
      <c r="Y867">
        <v>368</v>
      </c>
      <c r="Z867">
        <v>7</v>
      </c>
      <c r="AA867">
        <v>0</v>
      </c>
    </row>
    <row r="868" spans="24:27">
      <c r="X868">
        <v>878</v>
      </c>
      <c r="Y868">
        <v>368</v>
      </c>
      <c r="Z868">
        <v>8</v>
      </c>
      <c r="AA868">
        <v>1</v>
      </c>
    </row>
    <row r="869" spans="24:27">
      <c r="X869">
        <v>879</v>
      </c>
      <c r="Y869">
        <v>369</v>
      </c>
      <c r="Z869">
        <v>5</v>
      </c>
      <c r="AA869">
        <v>9</v>
      </c>
    </row>
    <row r="870" spans="24:27">
      <c r="X870">
        <v>880</v>
      </c>
      <c r="Y870">
        <v>369</v>
      </c>
      <c r="Z870">
        <v>6</v>
      </c>
      <c r="AA870">
        <v>10</v>
      </c>
    </row>
    <row r="871" spans="24:27">
      <c r="X871">
        <v>881</v>
      </c>
      <c r="Y871">
        <v>369</v>
      </c>
      <c r="Z871">
        <v>7</v>
      </c>
      <c r="AA871">
        <v>0</v>
      </c>
    </row>
    <row r="872" spans="24:27">
      <c r="X872">
        <v>882</v>
      </c>
      <c r="Y872">
        <v>369</v>
      </c>
      <c r="Z872">
        <v>8</v>
      </c>
      <c r="AA872">
        <v>1</v>
      </c>
    </row>
    <row r="873" spans="24:27">
      <c r="X873">
        <v>883</v>
      </c>
      <c r="Y873">
        <v>370</v>
      </c>
      <c r="Z873">
        <v>5</v>
      </c>
      <c r="AA873">
        <v>9</v>
      </c>
    </row>
    <row r="874" spans="24:27">
      <c r="X874">
        <v>884</v>
      </c>
      <c r="Y874">
        <v>370</v>
      </c>
      <c r="Z874">
        <v>6</v>
      </c>
      <c r="AA874">
        <v>10</v>
      </c>
    </row>
    <row r="875" spans="24:27">
      <c r="X875">
        <v>885</v>
      </c>
      <c r="Y875">
        <v>370</v>
      </c>
      <c r="Z875">
        <v>7</v>
      </c>
      <c r="AA875">
        <v>0</v>
      </c>
    </row>
    <row r="876" spans="24:27">
      <c r="X876">
        <v>886</v>
      </c>
      <c r="Y876">
        <v>370</v>
      </c>
      <c r="Z876">
        <v>8</v>
      </c>
      <c r="AA876">
        <v>1</v>
      </c>
    </row>
    <row r="877" spans="24:27">
      <c r="X877">
        <v>887</v>
      </c>
      <c r="Y877">
        <v>371</v>
      </c>
      <c r="Z877">
        <v>5</v>
      </c>
      <c r="AA877">
        <v>9</v>
      </c>
    </row>
    <row r="878" spans="24:27">
      <c r="X878">
        <v>888</v>
      </c>
      <c r="Y878">
        <v>371</v>
      </c>
      <c r="Z878">
        <v>6</v>
      </c>
      <c r="AA878">
        <v>10</v>
      </c>
    </row>
    <row r="879" spans="24:27">
      <c r="X879">
        <v>889</v>
      </c>
      <c r="Y879">
        <v>371</v>
      </c>
      <c r="Z879">
        <v>7</v>
      </c>
      <c r="AA879">
        <v>0</v>
      </c>
    </row>
    <row r="880" spans="24:27">
      <c r="X880">
        <v>890</v>
      </c>
      <c r="Y880">
        <v>371</v>
      </c>
      <c r="Z880">
        <v>8</v>
      </c>
      <c r="AA880">
        <v>1</v>
      </c>
    </row>
    <row r="881" spans="24:27">
      <c r="X881">
        <v>891</v>
      </c>
      <c r="Y881">
        <v>372</v>
      </c>
      <c r="Z881">
        <v>5</v>
      </c>
      <c r="AA881">
        <v>9</v>
      </c>
    </row>
    <row r="882" spans="24:27">
      <c r="X882">
        <v>892</v>
      </c>
      <c r="Y882">
        <v>372</v>
      </c>
      <c r="Z882">
        <v>6</v>
      </c>
      <c r="AA882">
        <v>10</v>
      </c>
    </row>
    <row r="883" spans="24:27">
      <c r="X883">
        <v>893</v>
      </c>
      <c r="Y883">
        <v>372</v>
      </c>
      <c r="Z883">
        <v>7</v>
      </c>
      <c r="AA883">
        <v>0</v>
      </c>
    </row>
    <row r="884" spans="24:27">
      <c r="X884">
        <v>894</v>
      </c>
      <c r="Y884">
        <v>372</v>
      </c>
      <c r="Z884">
        <v>8</v>
      </c>
      <c r="AA884">
        <v>1</v>
      </c>
    </row>
    <row r="885" spans="24:27">
      <c r="X885">
        <v>895</v>
      </c>
      <c r="Y885">
        <v>373</v>
      </c>
      <c r="Z885">
        <v>5</v>
      </c>
      <c r="AA885">
        <v>9</v>
      </c>
    </row>
    <row r="886" spans="24:27">
      <c r="X886">
        <v>896</v>
      </c>
      <c r="Y886">
        <v>373</v>
      </c>
      <c r="Z886">
        <v>6</v>
      </c>
      <c r="AA886">
        <v>10</v>
      </c>
    </row>
    <row r="887" spans="24:27">
      <c r="X887">
        <v>897</v>
      </c>
      <c r="Y887">
        <v>373</v>
      </c>
      <c r="Z887">
        <v>7</v>
      </c>
      <c r="AA887">
        <v>0</v>
      </c>
    </row>
    <row r="888" spans="24:27">
      <c r="X888">
        <v>898</v>
      </c>
      <c r="Y888">
        <v>373</v>
      </c>
      <c r="Z888">
        <v>8</v>
      </c>
      <c r="AA888">
        <v>1</v>
      </c>
    </row>
    <row r="889" spans="24:27">
      <c r="X889">
        <v>899</v>
      </c>
      <c r="Y889">
        <v>374</v>
      </c>
      <c r="Z889">
        <v>5</v>
      </c>
      <c r="AA889">
        <v>9</v>
      </c>
    </row>
    <row r="890" spans="24:27">
      <c r="X890">
        <v>900</v>
      </c>
      <c r="Y890">
        <v>374</v>
      </c>
      <c r="Z890">
        <v>6</v>
      </c>
      <c r="AA890">
        <v>10</v>
      </c>
    </row>
    <row r="891" spans="24:27">
      <c r="X891">
        <v>901</v>
      </c>
      <c r="Y891">
        <v>374</v>
      </c>
      <c r="Z891">
        <v>7</v>
      </c>
      <c r="AA891">
        <v>0</v>
      </c>
    </row>
    <row r="892" spans="24:27">
      <c r="X892">
        <v>902</v>
      </c>
      <c r="Y892">
        <v>374</v>
      </c>
      <c r="Z892">
        <v>8</v>
      </c>
      <c r="AA892">
        <v>1</v>
      </c>
    </row>
    <row r="893" spans="24:27">
      <c r="X893">
        <v>903</v>
      </c>
      <c r="Y893">
        <v>375</v>
      </c>
      <c r="Z893">
        <v>5</v>
      </c>
      <c r="AA893">
        <v>9</v>
      </c>
    </row>
    <row r="894" spans="24:27">
      <c r="X894">
        <v>904</v>
      </c>
      <c r="Y894">
        <v>375</v>
      </c>
      <c r="Z894">
        <v>6</v>
      </c>
      <c r="AA894">
        <v>10</v>
      </c>
    </row>
    <row r="895" spans="24:27">
      <c r="X895">
        <v>905</v>
      </c>
      <c r="Y895">
        <v>375</v>
      </c>
      <c r="Z895">
        <v>7</v>
      </c>
      <c r="AA895">
        <v>0</v>
      </c>
    </row>
    <row r="896" spans="24:27">
      <c r="X896">
        <v>906</v>
      </c>
      <c r="Y896">
        <v>375</v>
      </c>
      <c r="Z896">
        <v>8</v>
      </c>
      <c r="AA896">
        <v>1</v>
      </c>
    </row>
    <row r="897" spans="24:27">
      <c r="X897">
        <v>907</v>
      </c>
      <c r="Y897">
        <v>376</v>
      </c>
      <c r="Z897">
        <v>5</v>
      </c>
      <c r="AA897">
        <v>9</v>
      </c>
    </row>
    <row r="898" spans="24:27">
      <c r="X898">
        <v>908</v>
      </c>
      <c r="Y898">
        <v>376</v>
      </c>
      <c r="Z898">
        <v>6</v>
      </c>
      <c r="AA898">
        <v>10</v>
      </c>
    </row>
    <row r="899" spans="24:27">
      <c r="X899">
        <v>909</v>
      </c>
      <c r="Y899">
        <v>376</v>
      </c>
      <c r="Z899">
        <v>7</v>
      </c>
      <c r="AA899">
        <v>0</v>
      </c>
    </row>
    <row r="900" spans="24:27">
      <c r="X900">
        <v>910</v>
      </c>
      <c r="Y900">
        <v>376</v>
      </c>
      <c r="Z900">
        <v>8</v>
      </c>
      <c r="AA900">
        <v>1</v>
      </c>
    </row>
    <row r="901" spans="24:27">
      <c r="X901">
        <v>911</v>
      </c>
      <c r="Y901">
        <v>377</v>
      </c>
      <c r="Z901">
        <v>5</v>
      </c>
      <c r="AA901">
        <v>9</v>
      </c>
    </row>
    <row r="902" spans="24:27">
      <c r="X902">
        <v>912</v>
      </c>
      <c r="Y902">
        <v>377</v>
      </c>
      <c r="Z902">
        <v>6</v>
      </c>
      <c r="AA902">
        <v>10</v>
      </c>
    </row>
    <row r="903" spans="24:27">
      <c r="X903">
        <v>913</v>
      </c>
      <c r="Y903">
        <v>377</v>
      </c>
      <c r="Z903">
        <v>7</v>
      </c>
      <c r="AA903">
        <v>0</v>
      </c>
    </row>
    <row r="904" spans="24:27">
      <c r="X904">
        <v>914</v>
      </c>
      <c r="Y904">
        <v>377</v>
      </c>
      <c r="Z904">
        <v>8</v>
      </c>
      <c r="AA904">
        <v>1</v>
      </c>
    </row>
    <row r="905" spans="24:27">
      <c r="X905">
        <v>915</v>
      </c>
      <c r="Y905">
        <v>378</v>
      </c>
      <c r="Z905">
        <v>5</v>
      </c>
      <c r="AA905">
        <v>9</v>
      </c>
    </row>
    <row r="906" spans="24:27">
      <c r="X906">
        <v>916</v>
      </c>
      <c r="Y906">
        <v>378</v>
      </c>
      <c r="Z906">
        <v>6</v>
      </c>
      <c r="AA906">
        <v>10</v>
      </c>
    </row>
    <row r="907" spans="24:27">
      <c r="X907">
        <v>917</v>
      </c>
      <c r="Y907">
        <v>378</v>
      </c>
      <c r="Z907">
        <v>7</v>
      </c>
      <c r="AA907">
        <v>0</v>
      </c>
    </row>
    <row r="908" spans="24:27">
      <c r="X908">
        <v>918</v>
      </c>
      <c r="Y908">
        <v>378</v>
      </c>
      <c r="Z908">
        <v>8</v>
      </c>
      <c r="AA908">
        <v>1</v>
      </c>
    </row>
    <row r="909" spans="24:27">
      <c r="X909">
        <v>919</v>
      </c>
      <c r="Y909">
        <v>379</v>
      </c>
      <c r="Z909">
        <v>5</v>
      </c>
      <c r="AA909">
        <v>9</v>
      </c>
    </row>
    <row r="910" spans="24:27">
      <c r="X910">
        <v>920</v>
      </c>
      <c r="Y910">
        <v>379</v>
      </c>
      <c r="Z910">
        <v>6</v>
      </c>
      <c r="AA910">
        <v>10</v>
      </c>
    </row>
    <row r="911" spans="24:27">
      <c r="X911">
        <v>921</v>
      </c>
      <c r="Y911">
        <v>379</v>
      </c>
      <c r="Z911">
        <v>7</v>
      </c>
      <c r="AA911">
        <v>0</v>
      </c>
    </row>
    <row r="912" spans="24:27">
      <c r="X912">
        <v>922</v>
      </c>
      <c r="Y912">
        <v>379</v>
      </c>
      <c r="Z912">
        <v>8</v>
      </c>
      <c r="AA912">
        <v>1</v>
      </c>
    </row>
    <row r="913" spans="24:27">
      <c r="X913">
        <v>923</v>
      </c>
      <c r="Y913">
        <v>380</v>
      </c>
      <c r="Z913">
        <v>5</v>
      </c>
      <c r="AA913">
        <v>9</v>
      </c>
    </row>
    <row r="914" spans="24:27">
      <c r="X914">
        <v>924</v>
      </c>
      <c r="Y914">
        <v>380</v>
      </c>
      <c r="Z914">
        <v>6</v>
      </c>
      <c r="AA914">
        <v>10</v>
      </c>
    </row>
    <row r="915" spans="24:27">
      <c r="X915">
        <v>925</v>
      </c>
      <c r="Y915">
        <v>380</v>
      </c>
      <c r="Z915">
        <v>7</v>
      </c>
      <c r="AA915">
        <v>0</v>
      </c>
    </row>
    <row r="916" spans="24:27">
      <c r="X916">
        <v>926</v>
      </c>
      <c r="Y916">
        <v>380</v>
      </c>
      <c r="Z916">
        <v>8</v>
      </c>
      <c r="AA916">
        <v>1</v>
      </c>
    </row>
    <row r="917" spans="24:27">
      <c r="X917">
        <v>927</v>
      </c>
      <c r="Y917">
        <v>381</v>
      </c>
      <c r="Z917">
        <v>5</v>
      </c>
      <c r="AA917">
        <v>9</v>
      </c>
    </row>
    <row r="918" spans="24:27">
      <c r="X918">
        <v>928</v>
      </c>
      <c r="Y918">
        <v>381</v>
      </c>
      <c r="Z918">
        <v>6</v>
      </c>
      <c r="AA918">
        <v>10</v>
      </c>
    </row>
    <row r="919" spans="24:27">
      <c r="X919">
        <v>929</v>
      </c>
      <c r="Y919">
        <v>381</v>
      </c>
      <c r="Z919">
        <v>7</v>
      </c>
      <c r="AA919">
        <v>0</v>
      </c>
    </row>
    <row r="920" spans="24:27">
      <c r="X920">
        <v>930</v>
      </c>
      <c r="Y920">
        <v>381</v>
      </c>
      <c r="Z920">
        <v>8</v>
      </c>
      <c r="AA920">
        <v>1</v>
      </c>
    </row>
    <row r="921" spans="24:27">
      <c r="X921">
        <v>931</v>
      </c>
      <c r="Y921">
        <v>382</v>
      </c>
      <c r="Z921">
        <v>5</v>
      </c>
      <c r="AA921">
        <v>9</v>
      </c>
    </row>
    <row r="922" spans="24:27">
      <c r="X922">
        <v>932</v>
      </c>
      <c r="Y922">
        <v>382</v>
      </c>
      <c r="Z922">
        <v>6</v>
      </c>
      <c r="AA922">
        <v>10</v>
      </c>
    </row>
    <row r="923" spans="24:27">
      <c r="X923">
        <v>933</v>
      </c>
      <c r="Y923">
        <v>382</v>
      </c>
      <c r="Z923">
        <v>7</v>
      </c>
      <c r="AA923">
        <v>0</v>
      </c>
    </row>
    <row r="924" spans="24:27">
      <c r="X924">
        <v>934</v>
      </c>
      <c r="Y924">
        <v>382</v>
      </c>
      <c r="Z924">
        <v>8</v>
      </c>
      <c r="AA924">
        <v>1</v>
      </c>
    </row>
    <row r="925" spans="24:27">
      <c r="X925">
        <v>935</v>
      </c>
      <c r="Y925">
        <v>383</v>
      </c>
      <c r="Z925">
        <v>5</v>
      </c>
      <c r="AA925">
        <v>9</v>
      </c>
    </row>
    <row r="926" spans="24:27">
      <c r="X926">
        <v>936</v>
      </c>
      <c r="Y926">
        <v>383</v>
      </c>
      <c r="Z926">
        <v>6</v>
      </c>
      <c r="AA926">
        <v>10</v>
      </c>
    </row>
    <row r="927" spans="24:27">
      <c r="X927">
        <v>937</v>
      </c>
      <c r="Y927">
        <v>383</v>
      </c>
      <c r="Z927">
        <v>7</v>
      </c>
      <c r="AA927">
        <v>0</v>
      </c>
    </row>
    <row r="928" spans="24:27">
      <c r="X928">
        <v>938</v>
      </c>
      <c r="Y928">
        <v>383</v>
      </c>
      <c r="Z928">
        <v>8</v>
      </c>
      <c r="AA928">
        <v>1</v>
      </c>
    </row>
    <row r="929" spans="24:27">
      <c r="X929">
        <v>939</v>
      </c>
      <c r="Y929">
        <v>384</v>
      </c>
      <c r="Z929">
        <v>5</v>
      </c>
      <c r="AA929">
        <v>9</v>
      </c>
    </row>
    <row r="930" spans="24:27">
      <c r="X930">
        <v>940</v>
      </c>
      <c r="Y930">
        <v>384</v>
      </c>
      <c r="Z930">
        <v>6</v>
      </c>
      <c r="AA930">
        <v>10</v>
      </c>
    </row>
    <row r="931" spans="24:27">
      <c r="X931">
        <v>941</v>
      </c>
      <c r="Y931">
        <v>384</v>
      </c>
      <c r="Z931">
        <v>7</v>
      </c>
      <c r="AA931">
        <v>0</v>
      </c>
    </row>
    <row r="932" spans="24:27">
      <c r="X932">
        <v>942</v>
      </c>
      <c r="Y932">
        <v>384</v>
      </c>
      <c r="Z932">
        <v>8</v>
      </c>
      <c r="AA932">
        <v>1</v>
      </c>
    </row>
    <row r="933" spans="24:27">
      <c r="X933">
        <v>943</v>
      </c>
      <c r="Y933">
        <v>385</v>
      </c>
      <c r="Z933">
        <v>5</v>
      </c>
      <c r="AA933">
        <v>9</v>
      </c>
    </row>
    <row r="934" spans="24:27">
      <c r="X934">
        <v>944</v>
      </c>
      <c r="Y934">
        <v>385</v>
      </c>
      <c r="Z934">
        <v>6</v>
      </c>
      <c r="AA934">
        <v>10</v>
      </c>
    </row>
    <row r="935" spans="24:27">
      <c r="X935">
        <v>945</v>
      </c>
      <c r="Y935">
        <v>385</v>
      </c>
      <c r="Z935">
        <v>7</v>
      </c>
      <c r="AA935">
        <v>0</v>
      </c>
    </row>
    <row r="936" spans="24:27">
      <c r="X936">
        <v>946</v>
      </c>
      <c r="Y936">
        <v>385</v>
      </c>
      <c r="Z936">
        <v>8</v>
      </c>
      <c r="AA936">
        <v>1</v>
      </c>
    </row>
    <row r="937" spans="24:27">
      <c r="X937">
        <v>947</v>
      </c>
      <c r="Y937">
        <v>386</v>
      </c>
      <c r="Z937">
        <v>5</v>
      </c>
      <c r="AA937">
        <v>9</v>
      </c>
    </row>
    <row r="938" spans="24:27">
      <c r="X938">
        <v>948</v>
      </c>
      <c r="Y938">
        <v>386</v>
      </c>
      <c r="Z938">
        <v>6</v>
      </c>
      <c r="AA938">
        <v>10</v>
      </c>
    </row>
    <row r="939" spans="24:27">
      <c r="X939">
        <v>949</v>
      </c>
      <c r="Y939">
        <v>386</v>
      </c>
      <c r="Z939">
        <v>7</v>
      </c>
      <c r="AA939">
        <v>0</v>
      </c>
    </row>
    <row r="940" spans="24:27">
      <c r="X940">
        <v>950</v>
      </c>
      <c r="Y940">
        <v>386</v>
      </c>
      <c r="Z940">
        <v>8</v>
      </c>
      <c r="AA940">
        <v>1</v>
      </c>
    </row>
    <row r="941" spans="24:27">
      <c r="X941">
        <v>951</v>
      </c>
      <c r="Y941">
        <v>387</v>
      </c>
      <c r="Z941">
        <v>5</v>
      </c>
      <c r="AA941">
        <v>9</v>
      </c>
    </row>
    <row r="942" spans="24:27">
      <c r="X942">
        <v>952</v>
      </c>
      <c r="Y942">
        <v>387</v>
      </c>
      <c r="Z942">
        <v>6</v>
      </c>
      <c r="AA942">
        <v>10</v>
      </c>
    </row>
    <row r="943" spans="24:27">
      <c r="X943">
        <v>953</v>
      </c>
      <c r="Y943">
        <v>387</v>
      </c>
      <c r="Z943">
        <v>7</v>
      </c>
      <c r="AA943">
        <v>0</v>
      </c>
    </row>
    <row r="944" spans="24:27">
      <c r="X944">
        <v>954</v>
      </c>
      <c r="Y944">
        <v>387</v>
      </c>
      <c r="Z944">
        <v>8</v>
      </c>
      <c r="AA944">
        <v>1</v>
      </c>
    </row>
    <row r="945" spans="24:27">
      <c r="X945">
        <v>955</v>
      </c>
      <c r="Y945">
        <v>388</v>
      </c>
      <c r="Z945">
        <v>5</v>
      </c>
      <c r="AA945">
        <v>9</v>
      </c>
    </row>
    <row r="946" spans="24:27">
      <c r="X946">
        <v>956</v>
      </c>
      <c r="Y946">
        <v>388</v>
      </c>
      <c r="Z946">
        <v>6</v>
      </c>
      <c r="AA946">
        <v>10</v>
      </c>
    </row>
    <row r="947" spans="24:27">
      <c r="X947">
        <v>957</v>
      </c>
      <c r="Y947">
        <v>388</v>
      </c>
      <c r="Z947">
        <v>7</v>
      </c>
      <c r="AA947">
        <v>0</v>
      </c>
    </row>
    <row r="948" spans="24:27">
      <c r="X948">
        <v>958</v>
      </c>
      <c r="Y948">
        <v>388</v>
      </c>
      <c r="Z948">
        <v>8</v>
      </c>
      <c r="AA948">
        <v>1</v>
      </c>
    </row>
    <row r="949" spans="24:27">
      <c r="X949">
        <v>959</v>
      </c>
      <c r="Y949">
        <v>389</v>
      </c>
      <c r="Z949">
        <v>5</v>
      </c>
      <c r="AA949">
        <v>9</v>
      </c>
    </row>
    <row r="950" spans="24:27">
      <c r="X950">
        <v>960</v>
      </c>
      <c r="Y950">
        <v>389</v>
      </c>
      <c r="Z950">
        <v>6</v>
      </c>
      <c r="AA950">
        <v>10</v>
      </c>
    </row>
    <row r="951" spans="24:27">
      <c r="X951">
        <v>961</v>
      </c>
      <c r="Y951">
        <v>389</v>
      </c>
      <c r="Z951">
        <v>7</v>
      </c>
      <c r="AA951">
        <v>0</v>
      </c>
    </row>
    <row r="952" spans="24:27">
      <c r="X952">
        <v>962</v>
      </c>
      <c r="Y952">
        <v>389</v>
      </c>
      <c r="Z952">
        <v>8</v>
      </c>
      <c r="AA952">
        <v>1</v>
      </c>
    </row>
    <row r="953" spans="24:27">
      <c r="X953">
        <v>963</v>
      </c>
      <c r="Y953">
        <v>390</v>
      </c>
      <c r="Z953">
        <v>5</v>
      </c>
      <c r="AA953">
        <v>9</v>
      </c>
    </row>
    <row r="954" spans="24:27">
      <c r="X954">
        <v>964</v>
      </c>
      <c r="Y954">
        <v>390</v>
      </c>
      <c r="Z954">
        <v>6</v>
      </c>
      <c r="AA954">
        <v>10</v>
      </c>
    </row>
    <row r="955" spans="24:27">
      <c r="X955">
        <v>965</v>
      </c>
      <c r="Y955">
        <v>390</v>
      </c>
      <c r="Z955">
        <v>7</v>
      </c>
      <c r="AA955">
        <v>0</v>
      </c>
    </row>
    <row r="956" spans="24:27">
      <c r="X956">
        <v>966</v>
      </c>
      <c r="Y956">
        <v>390</v>
      </c>
      <c r="Z956">
        <v>8</v>
      </c>
      <c r="AA956">
        <v>1</v>
      </c>
    </row>
    <row r="957" spans="24:27">
      <c r="X957">
        <v>967</v>
      </c>
      <c r="Y957">
        <v>391</v>
      </c>
      <c r="Z957">
        <v>5</v>
      </c>
      <c r="AA957">
        <v>9</v>
      </c>
    </row>
    <row r="958" spans="24:27">
      <c r="X958">
        <v>968</v>
      </c>
      <c r="Y958">
        <v>391</v>
      </c>
      <c r="Z958">
        <v>6</v>
      </c>
      <c r="AA958">
        <v>11</v>
      </c>
    </row>
    <row r="959" spans="24:27">
      <c r="X959">
        <v>969</v>
      </c>
      <c r="Y959">
        <v>391</v>
      </c>
      <c r="Z959">
        <v>7</v>
      </c>
      <c r="AA959">
        <v>0</v>
      </c>
    </row>
    <row r="960" spans="24:27">
      <c r="X960">
        <v>970</v>
      </c>
      <c r="Y960">
        <v>391</v>
      </c>
      <c r="Z960">
        <v>8</v>
      </c>
      <c r="AA960">
        <v>1</v>
      </c>
    </row>
    <row r="961" spans="24:27">
      <c r="X961">
        <v>971</v>
      </c>
      <c r="Y961">
        <v>392</v>
      </c>
      <c r="Z961">
        <v>5</v>
      </c>
      <c r="AA961">
        <v>9</v>
      </c>
    </row>
    <row r="962" spans="24:27">
      <c r="X962">
        <v>972</v>
      </c>
      <c r="Y962">
        <v>392</v>
      </c>
      <c r="Z962">
        <v>6</v>
      </c>
      <c r="AA962">
        <v>10</v>
      </c>
    </row>
    <row r="963" spans="24:27">
      <c r="X963">
        <v>973</v>
      </c>
      <c r="Y963">
        <v>392</v>
      </c>
      <c r="Z963">
        <v>7</v>
      </c>
      <c r="AA963">
        <v>0</v>
      </c>
    </row>
    <row r="964" spans="24:27">
      <c r="X964">
        <v>974</v>
      </c>
      <c r="Y964">
        <v>392</v>
      </c>
      <c r="Z964">
        <v>8</v>
      </c>
      <c r="AA964">
        <v>1</v>
      </c>
    </row>
    <row r="965" spans="24:27">
      <c r="X965">
        <v>975</v>
      </c>
      <c r="Y965">
        <v>393</v>
      </c>
      <c r="Z965">
        <v>5</v>
      </c>
      <c r="AA965">
        <v>9</v>
      </c>
    </row>
    <row r="966" spans="24:27">
      <c r="X966">
        <v>976</v>
      </c>
      <c r="Y966">
        <v>393</v>
      </c>
      <c r="Z966">
        <v>6</v>
      </c>
      <c r="AA966">
        <v>10</v>
      </c>
    </row>
    <row r="967" spans="24:27">
      <c r="X967">
        <v>977</v>
      </c>
      <c r="Y967">
        <v>393</v>
      </c>
      <c r="Z967">
        <v>7</v>
      </c>
      <c r="AA967">
        <v>0</v>
      </c>
    </row>
    <row r="968" spans="24:27">
      <c r="X968">
        <v>978</v>
      </c>
      <c r="Y968">
        <v>393</v>
      </c>
      <c r="Z968">
        <v>8</v>
      </c>
      <c r="AA968">
        <v>1</v>
      </c>
    </row>
    <row r="969" spans="24:27">
      <c r="X969">
        <v>979</v>
      </c>
      <c r="Y969">
        <v>394</v>
      </c>
      <c r="Z969">
        <v>5</v>
      </c>
      <c r="AA969">
        <v>9</v>
      </c>
    </row>
    <row r="970" spans="24:27">
      <c r="X970">
        <v>980</v>
      </c>
      <c r="Y970">
        <v>394</v>
      </c>
      <c r="Z970">
        <v>6</v>
      </c>
      <c r="AA970">
        <v>10</v>
      </c>
    </row>
    <row r="971" spans="24:27">
      <c r="X971">
        <v>981</v>
      </c>
      <c r="Y971">
        <v>394</v>
      </c>
      <c r="Z971">
        <v>7</v>
      </c>
      <c r="AA971">
        <v>0</v>
      </c>
    </row>
    <row r="972" spans="24:27">
      <c r="X972">
        <v>982</v>
      </c>
      <c r="Y972">
        <v>394</v>
      </c>
      <c r="Z972">
        <v>8</v>
      </c>
      <c r="AA972">
        <v>1</v>
      </c>
    </row>
    <row r="973" spans="24:27">
      <c r="X973">
        <v>983</v>
      </c>
      <c r="Y973">
        <v>395</v>
      </c>
      <c r="Z973">
        <v>5</v>
      </c>
      <c r="AA973">
        <v>9</v>
      </c>
    </row>
    <row r="974" spans="24:27">
      <c r="X974">
        <v>984</v>
      </c>
      <c r="Y974">
        <v>395</v>
      </c>
      <c r="Z974">
        <v>6</v>
      </c>
      <c r="AA974">
        <v>10</v>
      </c>
    </row>
    <row r="975" spans="24:27">
      <c r="X975">
        <v>985</v>
      </c>
      <c r="Y975">
        <v>395</v>
      </c>
      <c r="Z975">
        <v>7</v>
      </c>
      <c r="AA975">
        <v>0</v>
      </c>
    </row>
    <row r="976" spans="24:27">
      <c r="X976">
        <v>986</v>
      </c>
      <c r="Y976">
        <v>395</v>
      </c>
      <c r="Z976">
        <v>8</v>
      </c>
      <c r="AA976">
        <v>1</v>
      </c>
    </row>
    <row r="977" spans="24:27">
      <c r="X977">
        <v>987</v>
      </c>
      <c r="Y977">
        <v>396</v>
      </c>
      <c r="Z977">
        <v>5</v>
      </c>
      <c r="AA977">
        <v>9</v>
      </c>
    </row>
    <row r="978" spans="24:27">
      <c r="X978">
        <v>988</v>
      </c>
      <c r="Y978">
        <v>396</v>
      </c>
      <c r="Z978">
        <v>6</v>
      </c>
      <c r="AA978">
        <v>10</v>
      </c>
    </row>
    <row r="979" spans="24:27">
      <c r="X979">
        <v>989</v>
      </c>
      <c r="Y979">
        <v>396</v>
      </c>
      <c r="Z979">
        <v>7</v>
      </c>
      <c r="AA979">
        <v>0</v>
      </c>
    </row>
    <row r="980" spans="24:27">
      <c r="X980">
        <v>990</v>
      </c>
      <c r="Y980">
        <v>396</v>
      </c>
      <c r="Z980">
        <v>8</v>
      </c>
      <c r="AA980">
        <v>1</v>
      </c>
    </row>
    <row r="981" spans="24:27">
      <c r="X981">
        <v>991</v>
      </c>
      <c r="Y981">
        <v>397</v>
      </c>
      <c r="Z981">
        <v>1</v>
      </c>
      <c r="AA981">
        <v>2</v>
      </c>
    </row>
    <row r="982" spans="24:27">
      <c r="X982">
        <v>992</v>
      </c>
      <c r="Y982">
        <v>397</v>
      </c>
      <c r="Z982">
        <v>2</v>
      </c>
      <c r="AA982">
        <v>4</v>
      </c>
    </row>
    <row r="983" spans="24:27">
      <c r="X983">
        <v>993</v>
      </c>
      <c r="Y983">
        <v>397</v>
      </c>
      <c r="Z983">
        <v>3</v>
      </c>
      <c r="AA983">
        <v>0</v>
      </c>
    </row>
    <row r="984" spans="24:27">
      <c r="X984">
        <v>994</v>
      </c>
      <c r="Y984">
        <v>397</v>
      </c>
      <c r="Z984">
        <v>4</v>
      </c>
      <c r="AA984">
        <v>1</v>
      </c>
    </row>
    <row r="985" spans="24:27">
      <c r="X985">
        <v>995</v>
      </c>
      <c r="Y985">
        <v>398</v>
      </c>
      <c r="Z985">
        <v>1</v>
      </c>
      <c r="AA985">
        <v>3</v>
      </c>
    </row>
    <row r="986" spans="24:27">
      <c r="X986">
        <v>996</v>
      </c>
      <c r="Y986">
        <v>398</v>
      </c>
      <c r="Z986">
        <v>2</v>
      </c>
      <c r="AA986">
        <v>4</v>
      </c>
    </row>
    <row r="987" spans="24:27">
      <c r="X987">
        <v>997</v>
      </c>
      <c r="Y987">
        <v>398</v>
      </c>
      <c r="Z987">
        <v>3</v>
      </c>
      <c r="AA987">
        <v>0</v>
      </c>
    </row>
    <row r="988" spans="24:27">
      <c r="X988">
        <v>998</v>
      </c>
      <c r="Y988">
        <v>398</v>
      </c>
      <c r="Z988">
        <v>4</v>
      </c>
      <c r="AA988">
        <v>1</v>
      </c>
    </row>
    <row r="989" spans="24:27">
      <c r="X989">
        <v>999</v>
      </c>
      <c r="Y989">
        <v>399</v>
      </c>
      <c r="Z989">
        <v>5</v>
      </c>
      <c r="AA989">
        <v>9</v>
      </c>
    </row>
    <row r="990" spans="24:27">
      <c r="X990">
        <v>1000</v>
      </c>
      <c r="Y990">
        <v>399</v>
      </c>
      <c r="Z990">
        <v>6</v>
      </c>
      <c r="AA990">
        <v>10</v>
      </c>
    </row>
    <row r="991" spans="24:27">
      <c r="X991">
        <v>1001</v>
      </c>
      <c r="Y991">
        <v>399</v>
      </c>
      <c r="Z991">
        <v>7</v>
      </c>
      <c r="AA991">
        <v>0</v>
      </c>
    </row>
    <row r="992" spans="24:27">
      <c r="X992">
        <v>1002</v>
      </c>
      <c r="Y992">
        <v>399</v>
      </c>
      <c r="Z992">
        <v>8</v>
      </c>
      <c r="AA992">
        <v>1</v>
      </c>
    </row>
    <row r="993" spans="24:27">
      <c r="X993">
        <v>1003</v>
      </c>
      <c r="Y993">
        <v>400</v>
      </c>
      <c r="Z993">
        <v>5</v>
      </c>
      <c r="AA993">
        <v>9</v>
      </c>
    </row>
    <row r="994" spans="24:27">
      <c r="X994">
        <v>1004</v>
      </c>
      <c r="Y994">
        <v>400</v>
      </c>
      <c r="Z994">
        <v>6</v>
      </c>
      <c r="AA994">
        <v>11</v>
      </c>
    </row>
    <row r="995" spans="24:27">
      <c r="X995">
        <v>1005</v>
      </c>
      <c r="Y995">
        <v>400</v>
      </c>
      <c r="Z995">
        <v>7</v>
      </c>
      <c r="AA995">
        <v>0</v>
      </c>
    </row>
    <row r="996" spans="24:27">
      <c r="X996">
        <v>1006</v>
      </c>
      <c r="Y996">
        <v>400</v>
      </c>
      <c r="Z996">
        <v>8</v>
      </c>
      <c r="AA996">
        <v>1</v>
      </c>
    </row>
    <row r="997" spans="24:27">
      <c r="X997">
        <v>1007</v>
      </c>
      <c r="Y997">
        <v>401</v>
      </c>
      <c r="Z997">
        <v>5</v>
      </c>
      <c r="AA997">
        <v>9</v>
      </c>
    </row>
    <row r="998" spans="24:27">
      <c r="X998">
        <v>1008</v>
      </c>
      <c r="Y998">
        <v>401</v>
      </c>
      <c r="Z998">
        <v>6</v>
      </c>
      <c r="AA998">
        <v>10</v>
      </c>
    </row>
    <row r="999" spans="24:27">
      <c r="X999">
        <v>1009</v>
      </c>
      <c r="Y999">
        <v>401</v>
      </c>
      <c r="Z999">
        <v>7</v>
      </c>
      <c r="AA999">
        <v>0</v>
      </c>
    </row>
    <row r="1000" spans="24:27">
      <c r="X1000">
        <v>1010</v>
      </c>
      <c r="Y1000">
        <v>401</v>
      </c>
      <c r="Z1000">
        <v>8</v>
      </c>
      <c r="AA1000">
        <v>1</v>
      </c>
    </row>
    <row r="1001" spans="24:27">
      <c r="X1001">
        <v>1011</v>
      </c>
      <c r="Y1001">
        <v>402</v>
      </c>
      <c r="Z1001">
        <v>5</v>
      </c>
      <c r="AA1001">
        <v>9</v>
      </c>
    </row>
    <row r="1002" spans="24:27">
      <c r="X1002">
        <v>1012</v>
      </c>
      <c r="Y1002">
        <v>420</v>
      </c>
      <c r="Z1002">
        <v>1</v>
      </c>
      <c r="AA1002">
        <v>2</v>
      </c>
    </row>
    <row r="1003" spans="24:27">
      <c r="X1003">
        <v>1013</v>
      </c>
      <c r="Y1003">
        <v>420</v>
      </c>
      <c r="Z1003">
        <v>2</v>
      </c>
      <c r="AA1003">
        <v>4</v>
      </c>
    </row>
    <row r="1004" spans="24:27">
      <c r="X1004">
        <v>1014</v>
      </c>
      <c r="Y1004">
        <v>420</v>
      </c>
      <c r="Z1004">
        <v>3</v>
      </c>
      <c r="AA1004">
        <v>0</v>
      </c>
    </row>
    <row r="1005" spans="24:27">
      <c r="X1005">
        <v>1015</v>
      </c>
      <c r="Y1005">
        <v>420</v>
      </c>
      <c r="Z1005">
        <v>4</v>
      </c>
      <c r="AA1005">
        <v>0</v>
      </c>
    </row>
    <row r="1006" spans="24:27">
      <c r="X1006">
        <v>1016</v>
      </c>
      <c r="Y1006">
        <v>421</v>
      </c>
      <c r="Z1006">
        <v>5</v>
      </c>
      <c r="AA1006">
        <v>9</v>
      </c>
    </row>
    <row r="1007" spans="24:27">
      <c r="X1007">
        <v>1017</v>
      </c>
      <c r="Y1007">
        <v>421</v>
      </c>
      <c r="Z1007">
        <v>6</v>
      </c>
      <c r="AA1007">
        <v>10</v>
      </c>
    </row>
    <row r="1008" spans="24:27">
      <c r="X1008">
        <v>1018</v>
      </c>
      <c r="Y1008">
        <v>421</v>
      </c>
      <c r="Z1008">
        <v>7</v>
      </c>
      <c r="AA1008">
        <v>0</v>
      </c>
    </row>
    <row r="1009" spans="24:27">
      <c r="X1009">
        <v>1019</v>
      </c>
      <c r="Y1009">
        <v>421</v>
      </c>
      <c r="Z1009">
        <v>8</v>
      </c>
      <c r="AA1009">
        <v>1</v>
      </c>
    </row>
    <row r="1010" spans="24:27">
      <c r="X1010">
        <v>1020</v>
      </c>
      <c r="Y1010">
        <v>422</v>
      </c>
      <c r="Z1010">
        <v>5</v>
      </c>
      <c r="AA1010">
        <v>9</v>
      </c>
    </row>
    <row r="1011" spans="24:27">
      <c r="X1011">
        <v>1021</v>
      </c>
      <c r="Y1011">
        <v>422</v>
      </c>
      <c r="Z1011">
        <v>6</v>
      </c>
      <c r="AA1011">
        <v>10</v>
      </c>
    </row>
    <row r="1012" spans="24:27">
      <c r="X1012">
        <v>1022</v>
      </c>
      <c r="Y1012">
        <v>422</v>
      </c>
      <c r="Z1012">
        <v>7</v>
      </c>
      <c r="AA1012">
        <v>0</v>
      </c>
    </row>
    <row r="1013" spans="24:27">
      <c r="X1013">
        <v>1023</v>
      </c>
      <c r="Y1013">
        <v>422</v>
      </c>
      <c r="Z1013">
        <v>8</v>
      </c>
      <c r="AA1013">
        <v>1</v>
      </c>
    </row>
    <row r="1014" spans="24:27">
      <c r="X1014">
        <v>1024</v>
      </c>
      <c r="Y1014">
        <v>423</v>
      </c>
      <c r="Z1014">
        <v>1</v>
      </c>
      <c r="AA1014">
        <v>1</v>
      </c>
    </row>
    <row r="1015" spans="24:27">
      <c r="X1015">
        <v>1025</v>
      </c>
      <c r="Y1015">
        <v>423</v>
      </c>
      <c r="Z1015">
        <v>2</v>
      </c>
      <c r="AA1015">
        <v>4</v>
      </c>
    </row>
    <row r="1016" spans="24:27">
      <c r="X1016">
        <v>1026</v>
      </c>
      <c r="Y1016">
        <v>423</v>
      </c>
      <c r="Z1016">
        <v>3</v>
      </c>
      <c r="AA1016">
        <v>0</v>
      </c>
    </row>
    <row r="1017" spans="24:27">
      <c r="X1017">
        <v>1027</v>
      </c>
      <c r="Y1017">
        <v>423</v>
      </c>
      <c r="Z1017">
        <v>4</v>
      </c>
      <c r="AA1017">
        <v>0</v>
      </c>
    </row>
    <row r="1018" spans="24:27">
      <c r="X1018">
        <v>1028</v>
      </c>
      <c r="Y1018">
        <v>424</v>
      </c>
      <c r="Z1018">
        <v>5</v>
      </c>
      <c r="AA1018">
        <v>9</v>
      </c>
    </row>
    <row r="1019" spans="24:27">
      <c r="X1019">
        <v>1029</v>
      </c>
      <c r="Y1019">
        <v>424</v>
      </c>
      <c r="Z1019">
        <v>6</v>
      </c>
      <c r="AA1019">
        <v>10</v>
      </c>
    </row>
    <row r="1020" spans="24:27">
      <c r="X1020">
        <v>1030</v>
      </c>
      <c r="Y1020">
        <v>424</v>
      </c>
      <c r="Z1020">
        <v>7</v>
      </c>
      <c r="AA1020">
        <v>0</v>
      </c>
    </row>
    <row r="1021" spans="24:27">
      <c r="X1021">
        <v>1031</v>
      </c>
      <c r="Y1021">
        <v>424</v>
      </c>
      <c r="Z1021">
        <v>8</v>
      </c>
      <c r="AA1021">
        <v>1</v>
      </c>
    </row>
    <row r="1022" spans="24:27">
      <c r="X1022">
        <v>1032</v>
      </c>
      <c r="Y1022">
        <v>425</v>
      </c>
      <c r="Z1022">
        <v>5</v>
      </c>
      <c r="AA1022">
        <v>9</v>
      </c>
    </row>
    <row r="1023" spans="24:27">
      <c r="X1023">
        <v>1033</v>
      </c>
      <c r="Y1023">
        <v>425</v>
      </c>
      <c r="Z1023">
        <v>6</v>
      </c>
      <c r="AA1023">
        <v>10</v>
      </c>
    </row>
    <row r="1024" spans="24:27">
      <c r="X1024">
        <v>1034</v>
      </c>
      <c r="Y1024">
        <v>425</v>
      </c>
      <c r="Z1024">
        <v>7</v>
      </c>
      <c r="AA1024">
        <v>0</v>
      </c>
    </row>
    <row r="1025" spans="24:27">
      <c r="X1025">
        <v>1035</v>
      </c>
      <c r="Y1025">
        <v>425</v>
      </c>
      <c r="Z1025">
        <v>8</v>
      </c>
      <c r="AA1025">
        <v>1</v>
      </c>
    </row>
    <row r="1026" spans="24:27">
      <c r="X1026">
        <v>1036</v>
      </c>
      <c r="Y1026">
        <v>426</v>
      </c>
      <c r="Z1026">
        <v>5</v>
      </c>
      <c r="AA1026">
        <v>9</v>
      </c>
    </row>
    <row r="1027" spans="24:27">
      <c r="X1027">
        <v>1037</v>
      </c>
      <c r="Y1027">
        <v>426</v>
      </c>
      <c r="Z1027">
        <v>6</v>
      </c>
      <c r="AA1027">
        <v>10</v>
      </c>
    </row>
    <row r="1028" spans="24:27">
      <c r="X1028">
        <v>1038</v>
      </c>
      <c r="Y1028">
        <v>426</v>
      </c>
      <c r="Z1028">
        <v>7</v>
      </c>
      <c r="AA1028">
        <v>0</v>
      </c>
    </row>
    <row r="1029" spans="24:27">
      <c r="X1029">
        <v>1039</v>
      </c>
      <c r="Y1029">
        <v>426</v>
      </c>
      <c r="Z1029">
        <v>8</v>
      </c>
      <c r="AA1029">
        <v>1</v>
      </c>
    </row>
    <row r="1030" spans="24:27">
      <c r="X1030">
        <v>1040</v>
      </c>
      <c r="Y1030">
        <v>402</v>
      </c>
      <c r="Z1030">
        <v>6</v>
      </c>
      <c r="AA1030">
        <v>10</v>
      </c>
    </row>
    <row r="1031" spans="24:27">
      <c r="X1031">
        <v>1041</v>
      </c>
      <c r="Y1031">
        <v>402</v>
      </c>
      <c r="Z1031">
        <v>7</v>
      </c>
      <c r="AA1031">
        <v>0</v>
      </c>
    </row>
    <row r="1032" spans="24:27">
      <c r="X1032">
        <v>1042</v>
      </c>
      <c r="Y1032">
        <v>402</v>
      </c>
      <c r="Z1032">
        <v>8</v>
      </c>
      <c r="AA1032">
        <v>1</v>
      </c>
    </row>
    <row r="1033" spans="24:27">
      <c r="X1033">
        <v>1043</v>
      </c>
      <c r="Y1033">
        <v>404</v>
      </c>
      <c r="Z1033">
        <v>5</v>
      </c>
      <c r="AA1033">
        <v>9</v>
      </c>
    </row>
    <row r="1034" spans="24:27">
      <c r="X1034">
        <v>1044</v>
      </c>
      <c r="Y1034">
        <v>404</v>
      </c>
      <c r="Z1034">
        <v>6</v>
      </c>
      <c r="AA1034">
        <v>10</v>
      </c>
    </row>
    <row r="1035" spans="24:27">
      <c r="X1035">
        <v>1045</v>
      </c>
      <c r="Y1035">
        <v>404</v>
      </c>
      <c r="Z1035">
        <v>7</v>
      </c>
      <c r="AA1035">
        <v>0</v>
      </c>
    </row>
    <row r="1036" spans="24:27">
      <c r="X1036">
        <v>1046</v>
      </c>
      <c r="Y1036">
        <v>404</v>
      </c>
      <c r="Z1036">
        <v>8</v>
      </c>
      <c r="AA1036">
        <v>1</v>
      </c>
    </row>
    <row r="1037" spans="24:27">
      <c r="X1037">
        <v>1047</v>
      </c>
      <c r="Y1037">
        <v>403</v>
      </c>
      <c r="Z1037">
        <v>5</v>
      </c>
      <c r="AA1037">
        <v>9</v>
      </c>
    </row>
    <row r="1038" spans="24:27">
      <c r="X1038">
        <v>1048</v>
      </c>
      <c r="Y1038">
        <v>403</v>
      </c>
      <c r="Z1038">
        <v>6</v>
      </c>
      <c r="AA1038">
        <v>10</v>
      </c>
    </row>
    <row r="1039" spans="24:27">
      <c r="X1039">
        <v>1049</v>
      </c>
      <c r="Y1039">
        <v>403</v>
      </c>
      <c r="Z1039">
        <v>7</v>
      </c>
      <c r="AA1039">
        <v>0</v>
      </c>
    </row>
    <row r="1040" spans="24:27">
      <c r="X1040">
        <v>1050</v>
      </c>
      <c r="Y1040">
        <v>403</v>
      </c>
      <c r="Z1040">
        <v>8</v>
      </c>
      <c r="AA1040">
        <v>1</v>
      </c>
    </row>
    <row r="1041" spans="24:27">
      <c r="X1041">
        <v>1051</v>
      </c>
      <c r="Y1041">
        <v>406</v>
      </c>
      <c r="Z1041">
        <v>5</v>
      </c>
      <c r="AA1041">
        <v>9</v>
      </c>
    </row>
    <row r="1042" spans="24:27">
      <c r="X1042">
        <v>1052</v>
      </c>
      <c r="Y1042">
        <v>406</v>
      </c>
      <c r="Z1042">
        <v>6</v>
      </c>
      <c r="AA1042">
        <v>10</v>
      </c>
    </row>
    <row r="1043" spans="24:27">
      <c r="X1043">
        <v>1053</v>
      </c>
      <c r="Y1043">
        <v>406</v>
      </c>
      <c r="Z1043">
        <v>7</v>
      </c>
      <c r="AA1043">
        <v>0</v>
      </c>
    </row>
    <row r="1044" spans="24:27">
      <c r="X1044">
        <v>1054</v>
      </c>
      <c r="Y1044">
        <v>406</v>
      </c>
      <c r="Z1044">
        <v>8</v>
      </c>
      <c r="AA1044">
        <v>1</v>
      </c>
    </row>
    <row r="1045" spans="24:27">
      <c r="X1045">
        <v>1055</v>
      </c>
      <c r="Y1045">
        <v>407</v>
      </c>
      <c r="Z1045">
        <v>5</v>
      </c>
      <c r="AA1045">
        <v>9</v>
      </c>
    </row>
    <row r="1046" spans="24:27">
      <c r="X1046">
        <v>1056</v>
      </c>
      <c r="Y1046">
        <v>407</v>
      </c>
      <c r="Z1046">
        <v>6</v>
      </c>
      <c r="AA1046">
        <v>10</v>
      </c>
    </row>
    <row r="1047" spans="24:27">
      <c r="X1047">
        <v>1057</v>
      </c>
      <c r="Y1047">
        <v>407</v>
      </c>
      <c r="Z1047">
        <v>7</v>
      </c>
      <c r="AA1047">
        <v>0</v>
      </c>
    </row>
    <row r="1048" spans="24:27">
      <c r="X1048">
        <v>1058</v>
      </c>
      <c r="Y1048">
        <v>407</v>
      </c>
      <c r="Z1048">
        <v>8</v>
      </c>
      <c r="AA1048">
        <v>1</v>
      </c>
    </row>
    <row r="1049" spans="24:27">
      <c r="X1049">
        <v>1059</v>
      </c>
      <c r="Y1049">
        <v>409</v>
      </c>
      <c r="Z1049">
        <v>5</v>
      </c>
      <c r="AA1049">
        <v>9</v>
      </c>
    </row>
    <row r="1050" spans="24:27">
      <c r="X1050">
        <v>1060</v>
      </c>
      <c r="Y1050">
        <v>409</v>
      </c>
      <c r="Z1050">
        <v>6</v>
      </c>
      <c r="AA1050">
        <v>10</v>
      </c>
    </row>
    <row r="1051" spans="24:27">
      <c r="X1051">
        <v>1061</v>
      </c>
      <c r="Y1051">
        <v>409</v>
      </c>
      <c r="Z1051">
        <v>7</v>
      </c>
      <c r="AA1051">
        <v>0</v>
      </c>
    </row>
    <row r="1052" spans="24:27">
      <c r="X1052">
        <v>1062</v>
      </c>
      <c r="Y1052">
        <v>409</v>
      </c>
      <c r="Z1052">
        <v>8</v>
      </c>
      <c r="AA1052">
        <v>1</v>
      </c>
    </row>
    <row r="1053" spans="24:27">
      <c r="X1053">
        <v>1063</v>
      </c>
      <c r="Y1053">
        <v>411</v>
      </c>
      <c r="Z1053">
        <v>5</v>
      </c>
      <c r="AA1053">
        <v>9</v>
      </c>
    </row>
    <row r="1054" spans="24:27">
      <c r="X1054">
        <v>1064</v>
      </c>
      <c r="Y1054">
        <v>411</v>
      </c>
      <c r="Z1054">
        <v>6</v>
      </c>
      <c r="AA1054">
        <v>10</v>
      </c>
    </row>
    <row r="1055" spans="24:27">
      <c r="X1055">
        <v>1065</v>
      </c>
      <c r="Y1055">
        <v>411</v>
      </c>
      <c r="Z1055">
        <v>7</v>
      </c>
      <c r="AA1055">
        <v>0</v>
      </c>
    </row>
    <row r="1056" spans="24:27">
      <c r="X1056">
        <v>1066</v>
      </c>
      <c r="Y1056">
        <v>411</v>
      </c>
      <c r="Z1056">
        <v>8</v>
      </c>
      <c r="AA1056">
        <v>1</v>
      </c>
    </row>
    <row r="1057" spans="24:27">
      <c r="X1057">
        <v>1067</v>
      </c>
      <c r="Y1057">
        <v>413</v>
      </c>
      <c r="Z1057">
        <v>5</v>
      </c>
      <c r="AA1057">
        <v>9</v>
      </c>
    </row>
    <row r="1058" spans="24:27">
      <c r="X1058">
        <v>1068</v>
      </c>
      <c r="Y1058">
        <v>413</v>
      </c>
      <c r="Z1058">
        <v>6</v>
      </c>
      <c r="AA1058">
        <v>10</v>
      </c>
    </row>
    <row r="1059" spans="24:27">
      <c r="X1059">
        <v>1069</v>
      </c>
      <c r="Y1059">
        <v>413</v>
      </c>
      <c r="Z1059">
        <v>7</v>
      </c>
      <c r="AA1059">
        <v>0</v>
      </c>
    </row>
    <row r="1060" spans="24:27">
      <c r="X1060">
        <v>1070</v>
      </c>
      <c r="Y1060">
        <v>413</v>
      </c>
      <c r="Z1060">
        <v>8</v>
      </c>
      <c r="AA1060">
        <v>1</v>
      </c>
    </row>
    <row r="1061" spans="24:27">
      <c r="X1061">
        <v>1071</v>
      </c>
      <c r="Y1061">
        <v>415</v>
      </c>
      <c r="Z1061">
        <v>5</v>
      </c>
      <c r="AA1061">
        <v>9</v>
      </c>
    </row>
    <row r="1062" spans="24:27">
      <c r="X1062">
        <v>1072</v>
      </c>
      <c r="Y1062">
        <v>415</v>
      </c>
      <c r="Z1062">
        <v>6</v>
      </c>
      <c r="AA1062">
        <v>10</v>
      </c>
    </row>
    <row r="1063" spans="24:27">
      <c r="X1063">
        <v>1073</v>
      </c>
      <c r="Y1063">
        <v>415</v>
      </c>
      <c r="Z1063">
        <v>7</v>
      </c>
      <c r="AA1063">
        <v>0</v>
      </c>
    </row>
    <row r="1064" spans="24:27">
      <c r="X1064">
        <v>1074</v>
      </c>
      <c r="Y1064">
        <v>415</v>
      </c>
      <c r="Z1064">
        <v>8</v>
      </c>
      <c r="AA1064">
        <v>1</v>
      </c>
    </row>
    <row r="1065" spans="24:27">
      <c r="X1065">
        <v>1075</v>
      </c>
      <c r="Y1065">
        <v>417</v>
      </c>
      <c r="Z1065">
        <v>5</v>
      </c>
      <c r="AA1065">
        <v>9</v>
      </c>
    </row>
    <row r="1066" spans="24:27">
      <c r="X1066">
        <v>1076</v>
      </c>
      <c r="Y1066">
        <v>417</v>
      </c>
      <c r="Z1066">
        <v>6</v>
      </c>
      <c r="AA1066">
        <v>10</v>
      </c>
    </row>
    <row r="1067" spans="24:27">
      <c r="X1067">
        <v>1077</v>
      </c>
      <c r="Y1067">
        <v>417</v>
      </c>
      <c r="Z1067">
        <v>7</v>
      </c>
      <c r="AA1067">
        <v>0</v>
      </c>
    </row>
    <row r="1068" spans="24:27">
      <c r="X1068">
        <v>1078</v>
      </c>
      <c r="Y1068">
        <v>417</v>
      </c>
      <c r="Z1068">
        <v>8</v>
      </c>
      <c r="AA1068">
        <v>1</v>
      </c>
    </row>
    <row r="1069" spans="24:27">
      <c r="X1069">
        <v>1079</v>
      </c>
      <c r="Y1069">
        <v>419</v>
      </c>
      <c r="Z1069">
        <v>5</v>
      </c>
      <c r="AA1069">
        <v>9</v>
      </c>
    </row>
    <row r="1070" spans="24:27">
      <c r="X1070">
        <v>1080</v>
      </c>
      <c r="Y1070">
        <v>419</v>
      </c>
      <c r="Z1070">
        <v>6</v>
      </c>
      <c r="AA1070">
        <v>10</v>
      </c>
    </row>
    <row r="1071" spans="24:27">
      <c r="X1071">
        <v>1081</v>
      </c>
      <c r="Y1071">
        <v>419</v>
      </c>
      <c r="Z1071">
        <v>7</v>
      </c>
      <c r="AA1071">
        <v>0</v>
      </c>
    </row>
    <row r="1072" spans="24:27">
      <c r="X1072">
        <v>1082</v>
      </c>
      <c r="Y1072">
        <v>419</v>
      </c>
      <c r="Z1072">
        <v>8</v>
      </c>
      <c r="AA1072">
        <v>1</v>
      </c>
    </row>
    <row r="1073" spans="24:27">
      <c r="X1073">
        <v>1083</v>
      </c>
      <c r="Y1073">
        <v>427</v>
      </c>
      <c r="Z1073">
        <v>1</v>
      </c>
      <c r="AA1073">
        <v>3</v>
      </c>
    </row>
    <row r="1074" spans="24:27">
      <c r="X1074">
        <v>1084</v>
      </c>
      <c r="Y1074">
        <v>427</v>
      </c>
      <c r="Z1074">
        <v>2</v>
      </c>
      <c r="AA1074">
        <v>4</v>
      </c>
    </row>
    <row r="1075" spans="24:27">
      <c r="X1075">
        <v>1085</v>
      </c>
      <c r="Y1075">
        <v>427</v>
      </c>
      <c r="Z1075">
        <v>3</v>
      </c>
      <c r="AA1075">
        <v>0</v>
      </c>
    </row>
    <row r="1076" spans="24:27">
      <c r="X1076">
        <v>1086</v>
      </c>
      <c r="Y1076">
        <v>427</v>
      </c>
      <c r="Z1076">
        <v>4</v>
      </c>
      <c r="AA1076">
        <v>0</v>
      </c>
    </row>
    <row r="1077" spans="24:27">
      <c r="X1077">
        <v>1087</v>
      </c>
      <c r="Y1077">
        <v>428</v>
      </c>
      <c r="Z1077">
        <v>5</v>
      </c>
      <c r="AA1077">
        <v>9</v>
      </c>
    </row>
    <row r="1078" spans="24:27">
      <c r="X1078">
        <v>1088</v>
      </c>
      <c r="Y1078">
        <v>428</v>
      </c>
      <c r="Z1078">
        <v>6</v>
      </c>
      <c r="AA1078">
        <v>10</v>
      </c>
    </row>
    <row r="1079" spans="24:27">
      <c r="X1079">
        <v>1089</v>
      </c>
      <c r="Y1079">
        <v>428</v>
      </c>
      <c r="Z1079">
        <v>7</v>
      </c>
      <c r="AA1079">
        <v>0</v>
      </c>
    </row>
    <row r="1080" spans="24:27">
      <c r="X1080">
        <v>1090</v>
      </c>
      <c r="Y1080">
        <v>428</v>
      </c>
      <c r="Z1080">
        <v>8</v>
      </c>
      <c r="AA1080">
        <v>0</v>
      </c>
    </row>
    <row r="1081" spans="24:27">
      <c r="X1081">
        <v>1091</v>
      </c>
      <c r="Y1081">
        <v>429</v>
      </c>
      <c r="Z1081">
        <v>1</v>
      </c>
      <c r="AA1081">
        <v>3</v>
      </c>
    </row>
    <row r="1082" spans="24:27">
      <c r="X1082">
        <v>1092</v>
      </c>
      <c r="Y1082">
        <v>429</v>
      </c>
      <c r="Z1082">
        <v>2</v>
      </c>
      <c r="AA1082">
        <v>5</v>
      </c>
    </row>
    <row r="1083" spans="24:27">
      <c r="X1083">
        <v>1093</v>
      </c>
      <c r="Y1083">
        <v>429</v>
      </c>
      <c r="Z1083">
        <v>3</v>
      </c>
      <c r="AA1083">
        <v>0</v>
      </c>
    </row>
    <row r="1084" spans="24:27">
      <c r="X1084">
        <v>1094</v>
      </c>
      <c r="Y1084">
        <v>429</v>
      </c>
      <c r="Z1084">
        <v>4</v>
      </c>
      <c r="AA1084">
        <v>0</v>
      </c>
    </row>
    <row r="1085" spans="24:27">
      <c r="X1085">
        <v>1095</v>
      </c>
      <c r="Y1085">
        <v>430</v>
      </c>
      <c r="Z1085">
        <v>5</v>
      </c>
      <c r="AA1085">
        <v>9</v>
      </c>
    </row>
    <row r="1086" spans="24:27">
      <c r="X1086">
        <v>1096</v>
      </c>
      <c r="Y1086">
        <v>430</v>
      </c>
      <c r="Z1086">
        <v>6</v>
      </c>
      <c r="AA1086">
        <v>11</v>
      </c>
    </row>
    <row r="1087" spans="24:27">
      <c r="X1087">
        <v>1097</v>
      </c>
      <c r="Y1087">
        <v>430</v>
      </c>
      <c r="Z1087">
        <v>7</v>
      </c>
      <c r="AA1087">
        <v>0</v>
      </c>
    </row>
    <row r="1088" spans="24:27">
      <c r="X1088">
        <v>1098</v>
      </c>
      <c r="Y1088">
        <v>430</v>
      </c>
      <c r="Z1088">
        <v>8</v>
      </c>
      <c r="AA1088">
        <v>0</v>
      </c>
    </row>
    <row r="1089" spans="24:27">
      <c r="X1089">
        <v>1099</v>
      </c>
      <c r="Y1089">
        <v>431</v>
      </c>
      <c r="Z1089">
        <v>1</v>
      </c>
      <c r="AA1089">
        <v>1</v>
      </c>
    </row>
    <row r="1090" spans="24:27">
      <c r="X1090">
        <v>1100</v>
      </c>
      <c r="Y1090">
        <v>431</v>
      </c>
      <c r="Z1090">
        <v>2</v>
      </c>
      <c r="AA1090">
        <v>4</v>
      </c>
    </row>
    <row r="1091" spans="24:27">
      <c r="X1091">
        <v>1101</v>
      </c>
      <c r="Y1091">
        <v>431</v>
      </c>
      <c r="Z1091">
        <v>3</v>
      </c>
      <c r="AA1091">
        <v>0</v>
      </c>
    </row>
    <row r="1092" spans="24:27">
      <c r="X1092">
        <v>1102</v>
      </c>
      <c r="Y1092">
        <v>431</v>
      </c>
      <c r="Z1092">
        <v>4</v>
      </c>
      <c r="AA1092">
        <v>0</v>
      </c>
    </row>
    <row r="1093" spans="24:27">
      <c r="X1093">
        <v>1103</v>
      </c>
      <c r="Y1093">
        <v>432</v>
      </c>
      <c r="Z1093">
        <v>5</v>
      </c>
      <c r="AA1093">
        <v>9</v>
      </c>
    </row>
    <row r="1094" spans="24:27">
      <c r="X1094">
        <v>1104</v>
      </c>
      <c r="Y1094">
        <v>432</v>
      </c>
      <c r="Z1094">
        <v>6</v>
      </c>
      <c r="AA1094">
        <v>10</v>
      </c>
    </row>
    <row r="1095" spans="24:27">
      <c r="X1095">
        <v>1105</v>
      </c>
      <c r="Y1095">
        <v>432</v>
      </c>
      <c r="Z1095">
        <v>7</v>
      </c>
      <c r="AA1095">
        <v>0</v>
      </c>
    </row>
    <row r="1096" spans="24:27">
      <c r="X1096">
        <v>1106</v>
      </c>
      <c r="Y1096">
        <v>432</v>
      </c>
      <c r="Z1096">
        <v>8</v>
      </c>
      <c r="AA1096">
        <v>0</v>
      </c>
    </row>
    <row r="1097" spans="24:27">
      <c r="X1097">
        <v>1107</v>
      </c>
      <c r="Y1097">
        <v>433</v>
      </c>
      <c r="Z1097">
        <v>1</v>
      </c>
      <c r="AA1097">
        <v>3</v>
      </c>
    </row>
    <row r="1098" spans="24:27">
      <c r="X1098">
        <v>1108</v>
      </c>
      <c r="Y1098">
        <v>433</v>
      </c>
      <c r="Z1098">
        <v>2</v>
      </c>
      <c r="AA1098">
        <v>5</v>
      </c>
    </row>
    <row r="1099" spans="24:27">
      <c r="X1099">
        <v>1109</v>
      </c>
      <c r="Y1099">
        <v>433</v>
      </c>
      <c r="Z1099">
        <v>3</v>
      </c>
      <c r="AA1099">
        <v>0</v>
      </c>
    </row>
    <row r="1100" spans="24:27">
      <c r="X1100">
        <v>1110</v>
      </c>
      <c r="Y1100">
        <v>433</v>
      </c>
      <c r="Z1100">
        <v>4</v>
      </c>
      <c r="AA1100">
        <v>0</v>
      </c>
    </row>
    <row r="1101" spans="24:27">
      <c r="X1101">
        <v>1111</v>
      </c>
      <c r="Y1101">
        <v>434</v>
      </c>
      <c r="Z1101">
        <v>1</v>
      </c>
      <c r="AA1101">
        <v>1</v>
      </c>
    </row>
    <row r="1102" spans="24:27">
      <c r="X1102">
        <v>1112</v>
      </c>
      <c r="Y1102">
        <v>434</v>
      </c>
      <c r="Z1102">
        <v>2</v>
      </c>
      <c r="AA1102">
        <v>5</v>
      </c>
    </row>
    <row r="1103" spans="24:27">
      <c r="X1103">
        <v>1113</v>
      </c>
      <c r="Y1103">
        <v>434</v>
      </c>
      <c r="Z1103">
        <v>3</v>
      </c>
      <c r="AA1103">
        <v>0</v>
      </c>
    </row>
    <row r="1104" spans="24:27">
      <c r="X1104">
        <v>1114</v>
      </c>
      <c r="Y1104">
        <v>434</v>
      </c>
      <c r="Z1104">
        <v>4</v>
      </c>
      <c r="AA1104">
        <v>0</v>
      </c>
    </row>
    <row r="1105" spans="24:27">
      <c r="X1105">
        <v>1115</v>
      </c>
      <c r="Y1105">
        <v>435</v>
      </c>
      <c r="Z1105">
        <v>5</v>
      </c>
      <c r="AA1105">
        <v>9</v>
      </c>
    </row>
    <row r="1106" spans="24:27">
      <c r="X1106">
        <v>1116</v>
      </c>
      <c r="Y1106">
        <v>435</v>
      </c>
      <c r="Z1106">
        <v>6</v>
      </c>
      <c r="AA1106">
        <v>11</v>
      </c>
    </row>
    <row r="1107" spans="24:27">
      <c r="X1107">
        <v>1117</v>
      </c>
      <c r="Y1107">
        <v>435</v>
      </c>
      <c r="Z1107">
        <v>7</v>
      </c>
      <c r="AA1107">
        <v>0</v>
      </c>
    </row>
    <row r="1108" spans="24:27">
      <c r="X1108">
        <v>1118</v>
      </c>
      <c r="Y1108">
        <v>435</v>
      </c>
      <c r="Z1108">
        <v>8</v>
      </c>
      <c r="AA1108">
        <v>0</v>
      </c>
    </row>
    <row r="1109" spans="24:27">
      <c r="X1109">
        <v>1119</v>
      </c>
      <c r="Y1109">
        <v>436</v>
      </c>
      <c r="Z1109">
        <v>5</v>
      </c>
      <c r="AA1109">
        <v>9</v>
      </c>
    </row>
    <row r="1110" spans="24:27">
      <c r="X1110">
        <v>1120</v>
      </c>
      <c r="Y1110">
        <v>436</v>
      </c>
      <c r="Z1110">
        <v>6</v>
      </c>
      <c r="AA1110">
        <v>11</v>
      </c>
    </row>
    <row r="1111" spans="24:27">
      <c r="X1111">
        <v>1121</v>
      </c>
      <c r="Y1111">
        <v>436</v>
      </c>
      <c r="Z1111">
        <v>7</v>
      </c>
      <c r="AA1111">
        <v>0</v>
      </c>
    </row>
    <row r="1112" spans="24:27">
      <c r="X1112">
        <v>1122</v>
      </c>
      <c r="Y1112">
        <v>436</v>
      </c>
      <c r="Z1112">
        <v>8</v>
      </c>
      <c r="AA1112">
        <v>0</v>
      </c>
    </row>
    <row r="1113" spans="24:27">
      <c r="X1113">
        <v>1123</v>
      </c>
      <c r="Y1113">
        <v>437</v>
      </c>
      <c r="Z1113">
        <v>5</v>
      </c>
      <c r="AA1113">
        <v>9</v>
      </c>
    </row>
    <row r="1114" spans="24:27">
      <c r="X1114">
        <v>1124</v>
      </c>
      <c r="Y1114">
        <v>437</v>
      </c>
      <c r="Z1114">
        <v>6</v>
      </c>
      <c r="AA1114">
        <v>10</v>
      </c>
    </row>
    <row r="1115" spans="24:27">
      <c r="X1115">
        <v>1125</v>
      </c>
      <c r="Y1115">
        <v>437</v>
      </c>
      <c r="Z1115">
        <v>7</v>
      </c>
      <c r="AA1115">
        <v>0</v>
      </c>
    </row>
    <row r="1116" spans="24:27">
      <c r="X1116">
        <v>1126</v>
      </c>
      <c r="Y1116">
        <v>437</v>
      </c>
      <c r="Z1116">
        <v>8</v>
      </c>
      <c r="AA1116">
        <v>0</v>
      </c>
    </row>
    <row r="1117" spans="24:27">
      <c r="X1117">
        <v>1127</v>
      </c>
      <c r="Y1117">
        <v>438</v>
      </c>
      <c r="Z1117">
        <v>5</v>
      </c>
      <c r="AA1117">
        <v>9</v>
      </c>
    </row>
    <row r="1118" spans="24:27">
      <c r="X1118">
        <v>1128</v>
      </c>
      <c r="Y1118">
        <v>438</v>
      </c>
      <c r="Z1118">
        <v>6</v>
      </c>
      <c r="AA1118">
        <v>10</v>
      </c>
    </row>
    <row r="1119" spans="24:27">
      <c r="X1119">
        <v>1129</v>
      </c>
      <c r="Y1119">
        <v>438</v>
      </c>
      <c r="Z1119">
        <v>7</v>
      </c>
      <c r="AA1119">
        <v>0</v>
      </c>
    </row>
    <row r="1120" spans="24:27">
      <c r="X1120">
        <v>1130</v>
      </c>
      <c r="Y1120">
        <v>438</v>
      </c>
      <c r="Z1120">
        <v>8</v>
      </c>
      <c r="AA1120">
        <v>0</v>
      </c>
    </row>
    <row r="1121" spans="24:27">
      <c r="X1121">
        <v>1131</v>
      </c>
      <c r="Y1121">
        <v>439</v>
      </c>
      <c r="Z1121">
        <v>5</v>
      </c>
      <c r="AA1121">
        <v>9</v>
      </c>
    </row>
    <row r="1122" spans="24:27">
      <c r="X1122">
        <v>1132</v>
      </c>
      <c r="Y1122">
        <v>439</v>
      </c>
      <c r="Z1122">
        <v>6</v>
      </c>
      <c r="AA1122">
        <v>10</v>
      </c>
    </row>
    <row r="1123" spans="24:27">
      <c r="X1123">
        <v>1133</v>
      </c>
      <c r="Y1123">
        <v>439</v>
      </c>
      <c r="Z1123">
        <v>7</v>
      </c>
      <c r="AA1123">
        <v>0</v>
      </c>
    </row>
    <row r="1124" spans="24:27">
      <c r="X1124">
        <v>1134</v>
      </c>
      <c r="Y1124">
        <v>439</v>
      </c>
      <c r="Z1124">
        <v>8</v>
      </c>
      <c r="AA1124">
        <v>0</v>
      </c>
    </row>
    <row r="1125" spans="24:27">
      <c r="X1125">
        <v>1135</v>
      </c>
      <c r="Y1125">
        <v>440</v>
      </c>
      <c r="Z1125">
        <v>5</v>
      </c>
      <c r="AA1125">
        <v>9</v>
      </c>
    </row>
    <row r="1126" spans="24:27">
      <c r="X1126">
        <v>1136</v>
      </c>
      <c r="Y1126">
        <v>440</v>
      </c>
      <c r="Z1126">
        <v>6</v>
      </c>
      <c r="AA1126">
        <v>10</v>
      </c>
    </row>
    <row r="1127" spans="24:27">
      <c r="X1127">
        <v>1137</v>
      </c>
      <c r="Y1127">
        <v>440</v>
      </c>
      <c r="Z1127">
        <v>7</v>
      </c>
      <c r="AA1127">
        <v>0</v>
      </c>
    </row>
    <row r="1128" spans="24:27">
      <c r="X1128">
        <v>1138</v>
      </c>
      <c r="Y1128">
        <v>440</v>
      </c>
      <c r="Z1128">
        <v>8</v>
      </c>
      <c r="AA1128">
        <v>0</v>
      </c>
    </row>
    <row r="1129" spans="24:27">
      <c r="X1129">
        <v>1139</v>
      </c>
      <c r="Y1129">
        <v>441</v>
      </c>
      <c r="Z1129">
        <v>1</v>
      </c>
      <c r="AA1129">
        <v>1</v>
      </c>
    </row>
    <row r="1130" spans="24:27">
      <c r="X1130">
        <v>1140</v>
      </c>
      <c r="Y1130">
        <v>441</v>
      </c>
      <c r="Z1130">
        <v>2</v>
      </c>
      <c r="AA1130">
        <v>4</v>
      </c>
    </row>
    <row r="1131" spans="24:27">
      <c r="X1131">
        <v>1141</v>
      </c>
      <c r="Y1131">
        <v>441</v>
      </c>
      <c r="Z1131">
        <v>3</v>
      </c>
      <c r="AA1131">
        <v>0</v>
      </c>
    </row>
    <row r="1132" spans="24:27">
      <c r="X1132">
        <v>1142</v>
      </c>
      <c r="Y1132">
        <v>441</v>
      </c>
      <c r="Z1132">
        <v>4</v>
      </c>
      <c r="AA1132">
        <v>0</v>
      </c>
    </row>
    <row r="1133" spans="24:27">
      <c r="X1133">
        <v>1143</v>
      </c>
      <c r="Y1133">
        <v>442</v>
      </c>
      <c r="Z1133">
        <v>5</v>
      </c>
      <c r="AA1133">
        <v>9</v>
      </c>
    </row>
    <row r="1134" spans="24:27">
      <c r="X1134">
        <v>1144</v>
      </c>
      <c r="Y1134">
        <v>442</v>
      </c>
      <c r="Z1134">
        <v>6</v>
      </c>
      <c r="AA1134">
        <v>10</v>
      </c>
    </row>
    <row r="1135" spans="24:27">
      <c r="X1135">
        <v>1145</v>
      </c>
      <c r="Y1135">
        <v>442</v>
      </c>
      <c r="Z1135">
        <v>7</v>
      </c>
      <c r="AA1135">
        <v>0</v>
      </c>
    </row>
    <row r="1136" spans="24:27">
      <c r="X1136">
        <v>1146</v>
      </c>
      <c r="Y1136">
        <v>442</v>
      </c>
      <c r="Z1136">
        <v>8</v>
      </c>
      <c r="AA1136">
        <v>0</v>
      </c>
    </row>
    <row r="1137" spans="24:27">
      <c r="X1137">
        <v>1147</v>
      </c>
      <c r="Y1137">
        <v>443</v>
      </c>
      <c r="Z1137">
        <v>1</v>
      </c>
      <c r="AA1137">
        <v>2</v>
      </c>
    </row>
    <row r="1138" spans="24:27">
      <c r="X1138">
        <v>1148</v>
      </c>
      <c r="Y1138">
        <v>443</v>
      </c>
      <c r="Z1138">
        <v>2</v>
      </c>
      <c r="AA1138">
        <v>4</v>
      </c>
    </row>
    <row r="1139" spans="24:27">
      <c r="X1139">
        <v>1149</v>
      </c>
      <c r="Y1139">
        <v>443</v>
      </c>
      <c r="Z1139">
        <v>3</v>
      </c>
      <c r="AA1139">
        <v>0</v>
      </c>
    </row>
    <row r="1140" spans="24:27">
      <c r="X1140">
        <v>1150</v>
      </c>
      <c r="Y1140">
        <v>443</v>
      </c>
      <c r="Z1140">
        <v>4</v>
      </c>
      <c r="AA1140">
        <v>0</v>
      </c>
    </row>
    <row r="1141" spans="24:27">
      <c r="X1141">
        <v>1151</v>
      </c>
      <c r="Y1141">
        <v>444</v>
      </c>
      <c r="Z1141">
        <v>1</v>
      </c>
      <c r="AA1141">
        <v>2</v>
      </c>
    </row>
    <row r="1142" spans="24:27">
      <c r="X1142">
        <v>1152</v>
      </c>
      <c r="Y1142">
        <v>444</v>
      </c>
      <c r="Z1142">
        <v>2</v>
      </c>
      <c r="AA1142">
        <v>4</v>
      </c>
    </row>
    <row r="1143" spans="24:27">
      <c r="X1143">
        <v>1153</v>
      </c>
      <c r="Y1143">
        <v>444</v>
      </c>
      <c r="Z1143">
        <v>3</v>
      </c>
      <c r="AA1143">
        <v>0</v>
      </c>
    </row>
    <row r="1144" spans="24:27">
      <c r="X1144">
        <v>1154</v>
      </c>
      <c r="Y1144">
        <v>444</v>
      </c>
      <c r="Z1144">
        <v>4</v>
      </c>
      <c r="AA1144">
        <v>0</v>
      </c>
    </row>
    <row r="1145" spans="24:27">
      <c r="X1145">
        <v>1155</v>
      </c>
      <c r="Y1145">
        <v>445</v>
      </c>
      <c r="Z1145">
        <v>5</v>
      </c>
      <c r="AA1145">
        <v>9</v>
      </c>
    </row>
    <row r="1146" spans="24:27">
      <c r="X1146">
        <v>1156</v>
      </c>
      <c r="Y1146">
        <v>445</v>
      </c>
      <c r="Z1146">
        <v>6</v>
      </c>
      <c r="AA1146">
        <v>10</v>
      </c>
    </row>
    <row r="1147" spans="24:27">
      <c r="X1147">
        <v>1157</v>
      </c>
      <c r="Y1147">
        <v>445</v>
      </c>
      <c r="Z1147">
        <v>7</v>
      </c>
      <c r="AA1147">
        <v>0</v>
      </c>
    </row>
    <row r="1148" spans="24:27">
      <c r="X1148">
        <v>1158</v>
      </c>
      <c r="Y1148">
        <v>445</v>
      </c>
      <c r="Z1148">
        <v>8</v>
      </c>
      <c r="AA1148">
        <v>0</v>
      </c>
    </row>
    <row r="1149" spans="24:27">
      <c r="X1149">
        <v>1159</v>
      </c>
      <c r="Y1149">
        <v>446</v>
      </c>
      <c r="Z1149">
        <v>1</v>
      </c>
      <c r="AA1149">
        <v>3</v>
      </c>
    </row>
    <row r="1150" spans="24:27">
      <c r="X1150">
        <v>1160</v>
      </c>
      <c r="Y1150">
        <v>446</v>
      </c>
      <c r="Z1150">
        <v>2</v>
      </c>
      <c r="AA1150">
        <v>4</v>
      </c>
    </row>
    <row r="1151" spans="24:27">
      <c r="X1151">
        <v>1161</v>
      </c>
      <c r="Y1151">
        <v>446</v>
      </c>
      <c r="Z1151">
        <v>3</v>
      </c>
      <c r="AA1151">
        <v>0</v>
      </c>
    </row>
    <row r="1152" spans="24:27">
      <c r="X1152">
        <v>1162</v>
      </c>
      <c r="Y1152">
        <v>446</v>
      </c>
      <c r="Z1152">
        <v>4</v>
      </c>
      <c r="AA1152">
        <v>0</v>
      </c>
    </row>
    <row r="1153" spans="24:27">
      <c r="X1153">
        <v>1163</v>
      </c>
      <c r="Y1153">
        <v>447</v>
      </c>
      <c r="Z1153">
        <v>5</v>
      </c>
      <c r="AA1153">
        <v>9</v>
      </c>
    </row>
    <row r="1154" spans="24:27">
      <c r="X1154">
        <v>1164</v>
      </c>
      <c r="Y1154">
        <v>447</v>
      </c>
      <c r="Z1154">
        <v>6</v>
      </c>
      <c r="AA1154">
        <v>10</v>
      </c>
    </row>
    <row r="1155" spans="24:27">
      <c r="X1155">
        <v>1165</v>
      </c>
      <c r="Y1155">
        <v>447</v>
      </c>
      <c r="Z1155">
        <v>7</v>
      </c>
      <c r="AA1155">
        <v>0</v>
      </c>
    </row>
    <row r="1156" spans="24:27">
      <c r="X1156">
        <v>1166</v>
      </c>
      <c r="Y1156">
        <v>447</v>
      </c>
      <c r="Z1156">
        <v>8</v>
      </c>
      <c r="AA1156">
        <v>0</v>
      </c>
    </row>
    <row r="1157" spans="24:27">
      <c r="X1157">
        <v>1167</v>
      </c>
      <c r="Y1157">
        <v>448</v>
      </c>
      <c r="Z1157">
        <v>1</v>
      </c>
      <c r="AA1157">
        <v>2</v>
      </c>
    </row>
    <row r="1158" spans="24:27">
      <c r="X1158">
        <v>1168</v>
      </c>
      <c r="Y1158">
        <v>448</v>
      </c>
      <c r="Z1158">
        <v>2</v>
      </c>
      <c r="AA1158">
        <v>4</v>
      </c>
    </row>
    <row r="1159" spans="24:27">
      <c r="X1159">
        <v>1169</v>
      </c>
      <c r="Y1159">
        <v>448</v>
      </c>
      <c r="Z1159">
        <v>3</v>
      </c>
      <c r="AA1159">
        <v>0</v>
      </c>
    </row>
    <row r="1160" spans="24:27">
      <c r="X1160">
        <v>1170</v>
      </c>
      <c r="Y1160">
        <v>448</v>
      </c>
      <c r="Z1160">
        <v>4</v>
      </c>
      <c r="AA1160">
        <v>0</v>
      </c>
    </row>
    <row r="1161" spans="24:27">
      <c r="X1161">
        <v>1171</v>
      </c>
      <c r="Y1161">
        <v>449</v>
      </c>
      <c r="Z1161">
        <v>5</v>
      </c>
      <c r="AA1161">
        <v>9</v>
      </c>
    </row>
    <row r="1162" spans="24:27">
      <c r="X1162">
        <v>1172</v>
      </c>
      <c r="Y1162">
        <v>449</v>
      </c>
      <c r="Z1162">
        <v>6</v>
      </c>
      <c r="AA1162">
        <v>10</v>
      </c>
    </row>
    <row r="1163" spans="24:27">
      <c r="X1163">
        <v>1173</v>
      </c>
      <c r="Y1163">
        <v>449</v>
      </c>
      <c r="Z1163">
        <v>7</v>
      </c>
      <c r="AA1163">
        <v>0</v>
      </c>
    </row>
    <row r="1164" spans="24:27">
      <c r="X1164">
        <v>1174</v>
      </c>
      <c r="Y1164">
        <v>449</v>
      </c>
      <c r="Z1164">
        <v>8</v>
      </c>
      <c r="AA1164">
        <v>0</v>
      </c>
    </row>
    <row r="1165" spans="24:27">
      <c r="X1165">
        <v>1175</v>
      </c>
      <c r="Y1165">
        <v>450</v>
      </c>
      <c r="Z1165">
        <v>1</v>
      </c>
      <c r="AA1165">
        <v>3</v>
      </c>
    </row>
    <row r="1166" spans="24:27">
      <c r="X1166">
        <v>1176</v>
      </c>
      <c r="Y1166">
        <v>450</v>
      </c>
      <c r="Z1166">
        <v>2</v>
      </c>
      <c r="AA1166">
        <v>4</v>
      </c>
    </row>
    <row r="1167" spans="24:27">
      <c r="X1167">
        <v>1177</v>
      </c>
      <c r="Y1167">
        <v>450</v>
      </c>
      <c r="Z1167">
        <v>3</v>
      </c>
      <c r="AA1167">
        <v>0</v>
      </c>
    </row>
    <row r="1168" spans="24:27">
      <c r="X1168">
        <v>1178</v>
      </c>
      <c r="Y1168">
        <v>450</v>
      </c>
      <c r="Z1168">
        <v>4</v>
      </c>
      <c r="AA1168">
        <v>0</v>
      </c>
    </row>
    <row r="1169" spans="24:27">
      <c r="X1169">
        <v>1179</v>
      </c>
      <c r="Y1169">
        <v>451</v>
      </c>
      <c r="Z1169">
        <v>5</v>
      </c>
      <c r="AA1169">
        <v>9</v>
      </c>
    </row>
    <row r="1170" spans="24:27">
      <c r="X1170">
        <v>1180</v>
      </c>
      <c r="Y1170">
        <v>451</v>
      </c>
      <c r="Z1170">
        <v>6</v>
      </c>
      <c r="AA1170">
        <v>10</v>
      </c>
    </row>
    <row r="1171" spans="24:27">
      <c r="X1171">
        <v>1181</v>
      </c>
      <c r="Y1171">
        <v>451</v>
      </c>
      <c r="Z1171">
        <v>7</v>
      </c>
      <c r="AA1171">
        <v>0</v>
      </c>
    </row>
    <row r="1172" spans="24:27">
      <c r="X1172">
        <v>1182</v>
      </c>
      <c r="Y1172">
        <v>451</v>
      </c>
      <c r="Z1172">
        <v>8</v>
      </c>
      <c r="AA1172">
        <v>0</v>
      </c>
    </row>
    <row r="1173" spans="24:27">
      <c r="X1173">
        <v>1183</v>
      </c>
      <c r="Y1173">
        <v>452</v>
      </c>
      <c r="Z1173">
        <v>1</v>
      </c>
      <c r="AA1173">
        <v>1</v>
      </c>
    </row>
    <row r="1174" spans="24:27">
      <c r="X1174">
        <v>1184</v>
      </c>
      <c r="Y1174">
        <v>452</v>
      </c>
      <c r="Z1174">
        <v>2</v>
      </c>
      <c r="AA1174">
        <v>4</v>
      </c>
    </row>
    <row r="1175" spans="24:27">
      <c r="X1175">
        <v>1185</v>
      </c>
      <c r="Y1175">
        <v>452</v>
      </c>
      <c r="Z1175">
        <v>3</v>
      </c>
      <c r="AA1175">
        <v>0</v>
      </c>
    </row>
    <row r="1176" spans="24:27">
      <c r="X1176">
        <v>1186</v>
      </c>
      <c r="Y1176">
        <v>452</v>
      </c>
      <c r="Z1176">
        <v>4</v>
      </c>
      <c r="AA1176">
        <v>0</v>
      </c>
    </row>
    <row r="1177" spans="24:27">
      <c r="X1177">
        <v>1187</v>
      </c>
      <c r="Y1177">
        <v>453</v>
      </c>
      <c r="Z1177">
        <v>5</v>
      </c>
      <c r="AA1177">
        <v>9</v>
      </c>
    </row>
    <row r="1178" spans="24:27">
      <c r="X1178">
        <v>1188</v>
      </c>
      <c r="Y1178">
        <v>453</v>
      </c>
      <c r="Z1178">
        <v>6</v>
      </c>
      <c r="AA1178">
        <v>10</v>
      </c>
    </row>
    <row r="1179" spans="24:27">
      <c r="X1179">
        <v>1189</v>
      </c>
      <c r="Y1179">
        <v>453</v>
      </c>
      <c r="Z1179">
        <v>7</v>
      </c>
      <c r="AA1179">
        <v>0</v>
      </c>
    </row>
    <row r="1180" spans="24:27">
      <c r="X1180">
        <v>1190</v>
      </c>
      <c r="Y1180">
        <v>453</v>
      </c>
      <c r="Z1180">
        <v>8</v>
      </c>
      <c r="AA1180">
        <v>0</v>
      </c>
    </row>
    <row r="1181" spans="24:27">
      <c r="X1181">
        <v>1191</v>
      </c>
      <c r="Y1181">
        <v>454</v>
      </c>
      <c r="Z1181">
        <v>1</v>
      </c>
      <c r="AA1181">
        <v>2</v>
      </c>
    </row>
    <row r="1182" spans="24:27">
      <c r="X1182">
        <v>1192</v>
      </c>
      <c r="Y1182">
        <v>454</v>
      </c>
      <c r="Z1182">
        <v>2</v>
      </c>
      <c r="AA1182">
        <v>4</v>
      </c>
    </row>
    <row r="1183" spans="24:27">
      <c r="X1183">
        <v>1193</v>
      </c>
      <c r="Y1183">
        <v>454</v>
      </c>
      <c r="Z1183">
        <v>3</v>
      </c>
      <c r="AA1183">
        <v>0</v>
      </c>
    </row>
    <row r="1184" spans="24:27">
      <c r="X1184">
        <v>1194</v>
      </c>
      <c r="Y1184">
        <v>454</v>
      </c>
      <c r="Z1184">
        <v>4</v>
      </c>
      <c r="AA118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N168"/>
  <sheetViews>
    <sheetView workbookViewId="0">
      <pane ySplit="2" topLeftCell="A3" activePane="bottomLeft" state="frozen"/>
      <selection pane="bottomLeft" activeCell="V13" sqref="V13"/>
    </sheetView>
  </sheetViews>
  <sheetFormatPr defaultRowHeight="15"/>
  <cols>
    <col min="1" max="3" width="9.140625" customWidth="1"/>
    <col min="4" max="4" width="30.42578125" bestFit="1" customWidth="1"/>
    <col min="5" max="11" width="0" hidden="1" customWidth="1"/>
    <col min="13" max="20" width="0" hidden="1" customWidth="1"/>
    <col min="22" max="24" width="9.140625" style="6"/>
  </cols>
  <sheetData>
    <row r="1" spans="1:40" s="6" customFormat="1">
      <c r="Y1" s="6">
        <v>8</v>
      </c>
      <c r="Z1" s="6">
        <f>Y1+1</f>
        <v>9</v>
      </c>
      <c r="AA1" s="6">
        <f t="shared" ref="AA1:AL1" si="0">Z1+1</f>
        <v>10</v>
      </c>
      <c r="AB1" s="6">
        <f t="shared" si="0"/>
        <v>11</v>
      </c>
      <c r="AC1" s="6">
        <f t="shared" si="0"/>
        <v>12</v>
      </c>
      <c r="AD1" s="6">
        <f t="shared" si="0"/>
        <v>13</v>
      </c>
      <c r="AE1" s="6">
        <f t="shared" si="0"/>
        <v>14</v>
      </c>
      <c r="AF1" s="6">
        <f t="shared" si="0"/>
        <v>15</v>
      </c>
      <c r="AG1" s="6">
        <f t="shared" si="0"/>
        <v>16</v>
      </c>
      <c r="AH1" s="6">
        <f t="shared" si="0"/>
        <v>17</v>
      </c>
      <c r="AI1" s="6">
        <f t="shared" si="0"/>
        <v>18</v>
      </c>
      <c r="AJ1" s="6">
        <f t="shared" si="0"/>
        <v>19</v>
      </c>
      <c r="AK1" s="6">
        <f t="shared" si="0"/>
        <v>20</v>
      </c>
      <c r="AL1" s="6">
        <f t="shared" si="0"/>
        <v>21</v>
      </c>
      <c r="AM1" s="6">
        <v>24</v>
      </c>
      <c r="AN1" s="6">
        <v>25</v>
      </c>
    </row>
    <row r="2" spans="1:40">
      <c r="A2" s="6" t="s">
        <v>0</v>
      </c>
      <c r="B2" s="6" t="s">
        <v>572</v>
      </c>
      <c r="C2" s="6" t="s">
        <v>1</v>
      </c>
      <c r="D2" s="6" t="s">
        <v>3</v>
      </c>
      <c r="E2" s="6" t="s">
        <v>208</v>
      </c>
      <c r="F2" s="6" t="s">
        <v>573</v>
      </c>
      <c r="H2" s="6" t="s">
        <v>972</v>
      </c>
      <c r="K2" s="6" t="s">
        <v>976</v>
      </c>
      <c r="L2" s="6" t="s">
        <v>977</v>
      </c>
      <c r="M2" s="6" t="s">
        <v>978</v>
      </c>
      <c r="N2" s="6" t="s">
        <v>979</v>
      </c>
      <c r="P2">
        <v>1</v>
      </c>
      <c r="Q2">
        <v>2</v>
      </c>
      <c r="R2">
        <v>3</v>
      </c>
      <c r="S2">
        <v>7</v>
      </c>
      <c r="V2" s="6" t="s">
        <v>2641</v>
      </c>
      <c r="Y2" s="6" t="s">
        <v>2600</v>
      </c>
      <c r="Z2" s="6" t="s">
        <v>2601</v>
      </c>
      <c r="AA2" s="6" t="s">
        <v>2602</v>
      </c>
      <c r="AB2" s="6" t="s">
        <v>2603</v>
      </c>
      <c r="AC2" s="6" t="s">
        <v>2604</v>
      </c>
      <c r="AD2" s="6" t="s">
        <v>2605</v>
      </c>
      <c r="AE2" s="6" t="s">
        <v>17</v>
      </c>
      <c r="AF2" s="6" t="s">
        <v>2600</v>
      </c>
      <c r="AG2" s="6" t="s">
        <v>2601</v>
      </c>
      <c r="AH2" s="6" t="s">
        <v>2602</v>
      </c>
      <c r="AI2" s="6" t="s">
        <v>2603</v>
      </c>
      <c r="AJ2" s="6" t="s">
        <v>2604</v>
      </c>
      <c r="AK2" s="6" t="s">
        <v>2605</v>
      </c>
      <c r="AL2" s="6" t="s">
        <v>17</v>
      </c>
      <c r="AM2" s="6" t="s">
        <v>2606</v>
      </c>
      <c r="AN2" s="6" t="s">
        <v>2607</v>
      </c>
    </row>
    <row r="3" spans="1:40">
      <c r="A3" s="6">
        <v>1</v>
      </c>
      <c r="B3" s="6">
        <v>1</v>
      </c>
      <c r="C3" s="6">
        <v>1</v>
      </c>
      <c r="D3" s="6" t="s">
        <v>215</v>
      </c>
      <c r="E3" s="6">
        <v>10</v>
      </c>
      <c r="F3" s="6">
        <v>1</v>
      </c>
      <c r="H3" s="6" t="str">
        <f>"SELECT "&amp;A3&amp;", "&amp;B3&amp;", "&amp;C3&amp;", '"&amp;D3&amp;"', "&amp;E3&amp;", "&amp;F3&amp;" UNION ALL"</f>
        <v>SELECT 1, 1, 1, 'Polska', 10, 1 UNION ALL</v>
      </c>
      <c r="K3" s="6">
        <v>2</v>
      </c>
      <c r="L3" s="6">
        <v>4</v>
      </c>
      <c r="M3" s="6">
        <v>14</v>
      </c>
      <c r="N3" s="6">
        <v>15</v>
      </c>
      <c r="P3" t="str">
        <f>"SELECT "&amp;((ROW()-2)*4+COLUMN()-15)&amp;", "&amp;$A3&amp;", "&amp;P$2&amp;", "&amp;K3&amp;" UNION ALL"</f>
        <v>SELECT 5, 1, 1, 2 UNION ALL</v>
      </c>
      <c r="Q3" s="6" t="str">
        <f t="shared" ref="Q3:S3" si="1">"SELECT "&amp;((ROW()-2)*4+COLUMN()-15)&amp;", "&amp;$A3&amp;", "&amp;Q$2&amp;", "&amp;L3&amp;" UNION ALL"</f>
        <v>SELECT 6, 1, 2, 4 UNION ALL</v>
      </c>
      <c r="R3" s="6" t="str">
        <f t="shared" si="1"/>
        <v>SELECT 7, 1, 3, 14 UNION ALL</v>
      </c>
      <c r="S3" s="6" t="str">
        <f t="shared" si="1"/>
        <v>SELECT 8, 1, 7, 15 UNION ALL</v>
      </c>
      <c r="Y3" s="6" t="s">
        <v>215</v>
      </c>
      <c r="Z3" s="6" t="s">
        <v>2608</v>
      </c>
      <c r="AA3" s="6" t="s">
        <v>2609</v>
      </c>
      <c r="AB3" s="6" t="s">
        <v>2610</v>
      </c>
      <c r="AC3" s="6" t="s">
        <v>2611</v>
      </c>
      <c r="AD3" s="6" t="s">
        <v>2609</v>
      </c>
      <c r="AE3" s="6" t="s">
        <v>2612</v>
      </c>
      <c r="AM3" s="6" t="s">
        <v>2622</v>
      </c>
      <c r="AN3" s="6" t="s">
        <v>2623</v>
      </c>
    </row>
    <row r="4" spans="1:40">
      <c r="A4" s="6">
        <v>3</v>
      </c>
      <c r="B4" s="6">
        <v>2</v>
      </c>
      <c r="C4" s="6">
        <v>1</v>
      </c>
      <c r="D4" s="6" t="s">
        <v>217</v>
      </c>
      <c r="E4" s="6">
        <v>10</v>
      </c>
      <c r="F4" s="6">
        <v>1</v>
      </c>
      <c r="H4" s="6" t="str">
        <f t="shared" ref="H4:H67" si="2">"SELECT "&amp;A4&amp;", "&amp;B4&amp;", "&amp;C4&amp;", '"&amp;D4&amp;"', "&amp;E4&amp;", "&amp;F4&amp;" UNION ALL"</f>
        <v>SELECT 3, 2, 1, 'pies', 10, 1 UNION ALL</v>
      </c>
      <c r="K4" s="6">
        <v>1</v>
      </c>
      <c r="L4" s="6">
        <v>6</v>
      </c>
      <c r="M4" s="6">
        <v>14</v>
      </c>
      <c r="N4" s="6">
        <v>16</v>
      </c>
      <c r="P4" s="6" t="str">
        <f t="shared" ref="P4:P67" si="3">"SELECT "&amp;((ROW()-2)*4+COLUMN()-15)&amp;", "&amp;$A4&amp;", "&amp;P$2&amp;", "&amp;K4&amp;" UNION ALL"</f>
        <v>SELECT 9, 3, 1, 1 UNION ALL</v>
      </c>
      <c r="Q4" s="6" t="str">
        <f t="shared" ref="Q4:Q67" si="4">"SELECT "&amp;((ROW()-2)*4+COLUMN()-15)&amp;", "&amp;$A4&amp;", "&amp;Q$2&amp;", "&amp;L4&amp;" UNION ALL"</f>
        <v>SELECT 10, 3, 2, 6 UNION ALL</v>
      </c>
      <c r="R4" s="6" t="str">
        <f t="shared" ref="R4:R67" si="5">"SELECT "&amp;((ROW()-2)*4+COLUMN()-15)&amp;", "&amp;$A4&amp;", "&amp;R$2&amp;", "&amp;M4&amp;" UNION ALL"</f>
        <v>SELECT 11, 3, 3, 14 UNION ALL</v>
      </c>
      <c r="S4" s="6" t="str">
        <f t="shared" ref="S4:S67" si="6">"SELECT "&amp;((ROW()-2)*4+COLUMN()-15)&amp;", "&amp;$A4&amp;", "&amp;S$2&amp;", "&amp;N4&amp;" UNION ALL"</f>
        <v>SELECT 12, 3, 7, 16 UNION ALL</v>
      </c>
      <c r="Y4" s="6" t="s">
        <v>217</v>
      </c>
      <c r="Z4" s="6" t="s">
        <v>2613</v>
      </c>
      <c r="AA4" s="6" t="s">
        <v>2614</v>
      </c>
      <c r="AB4" s="6" t="s">
        <v>2613</v>
      </c>
      <c r="AC4" s="6" t="s">
        <v>2615</v>
      </c>
      <c r="AD4" s="6" t="s">
        <v>2616</v>
      </c>
      <c r="AE4" s="6" t="s">
        <v>2616</v>
      </c>
      <c r="AF4" s="6" t="s">
        <v>2617</v>
      </c>
      <c r="AG4" s="6" t="s">
        <v>2618</v>
      </c>
      <c r="AH4" s="6" t="s">
        <v>2619</v>
      </c>
      <c r="AI4" s="6" t="s">
        <v>2617</v>
      </c>
      <c r="AJ4" s="6" t="s">
        <v>2620</v>
      </c>
      <c r="AK4" s="6" t="s">
        <v>2621</v>
      </c>
      <c r="AL4" s="6" t="s">
        <v>2617</v>
      </c>
    </row>
    <row r="5" spans="1:40">
      <c r="A5" s="6">
        <v>11</v>
      </c>
      <c r="B5" s="6">
        <v>4</v>
      </c>
      <c r="C5" s="6">
        <v>1</v>
      </c>
      <c r="D5" s="6" t="s">
        <v>219</v>
      </c>
      <c r="E5" s="6">
        <v>10</v>
      </c>
      <c r="F5" s="6">
        <v>1</v>
      </c>
      <c r="H5" s="6" t="str">
        <f t="shared" si="2"/>
        <v>SELECT 11, 4, 1, 'Włochy', 10, 1 UNION ALL</v>
      </c>
      <c r="K5" s="6">
        <v>1</v>
      </c>
      <c r="L5" s="6">
        <v>5</v>
      </c>
      <c r="M5" s="6">
        <v>14</v>
      </c>
      <c r="N5" s="6">
        <v>15</v>
      </c>
      <c r="P5" s="6" t="str">
        <f t="shared" si="3"/>
        <v>SELECT 13, 11, 1, 1 UNION ALL</v>
      </c>
      <c r="Q5" s="6" t="str">
        <f t="shared" si="4"/>
        <v>SELECT 14, 11, 2, 5 UNION ALL</v>
      </c>
      <c r="R5" s="6" t="str">
        <f t="shared" si="5"/>
        <v>SELECT 15, 11, 3, 14 UNION ALL</v>
      </c>
      <c r="S5" s="6" t="str">
        <f t="shared" si="6"/>
        <v>SELECT 16, 11, 7, 15 UNION ALL</v>
      </c>
      <c r="AF5" s="6" t="s">
        <v>219</v>
      </c>
      <c r="AG5" s="6" t="s">
        <v>2748</v>
      </c>
      <c r="AH5" s="6" t="s">
        <v>2749</v>
      </c>
      <c r="AI5" s="6" t="s">
        <v>219</v>
      </c>
      <c r="AJ5" s="6" t="s">
        <v>2750</v>
      </c>
      <c r="AK5" s="6" t="s">
        <v>2751</v>
      </c>
      <c r="AL5" s="6" t="s">
        <v>219</v>
      </c>
      <c r="AM5" s="6" t="s">
        <v>2752</v>
      </c>
      <c r="AN5" s="6" t="s">
        <v>2753</v>
      </c>
    </row>
    <row r="6" spans="1:40">
      <c r="A6" s="6">
        <v>15</v>
      </c>
      <c r="B6" s="6">
        <v>5</v>
      </c>
      <c r="C6" s="6">
        <v>1</v>
      </c>
      <c r="D6" s="6" t="s">
        <v>221</v>
      </c>
      <c r="E6" s="6">
        <v>10</v>
      </c>
      <c r="F6" s="6">
        <v>1</v>
      </c>
      <c r="H6" s="6" t="str">
        <f t="shared" si="2"/>
        <v>SELECT 15, 5, 1, 'Hiszpania', 10, 1 UNION ALL</v>
      </c>
      <c r="K6">
        <v>2</v>
      </c>
      <c r="L6" s="6">
        <v>4</v>
      </c>
      <c r="M6" s="6">
        <v>14</v>
      </c>
      <c r="N6" s="6">
        <v>15</v>
      </c>
      <c r="P6" s="6" t="str">
        <f t="shared" si="3"/>
        <v>SELECT 17, 15, 1, 2 UNION ALL</v>
      </c>
      <c r="Q6" s="6" t="str">
        <f t="shared" si="4"/>
        <v>SELECT 18, 15, 2, 4 UNION ALL</v>
      </c>
      <c r="R6" s="6" t="str">
        <f t="shared" si="5"/>
        <v>SELECT 19, 15, 3, 14 UNION ALL</v>
      </c>
      <c r="S6" s="6" t="str">
        <f t="shared" si="6"/>
        <v>SELECT 20, 15, 7, 15 UNION ALL</v>
      </c>
      <c r="V6" s="6" t="s">
        <v>2624</v>
      </c>
      <c r="W6" s="6" t="str">
        <f>SUBSTITUTE(D6,V6,"")</f>
        <v>Hiszpan</v>
      </c>
      <c r="Y6" t="str">
        <f>W6&amp;V6</f>
        <v>Hiszpania</v>
      </c>
      <c r="Z6" t="str">
        <f>W6&amp;"ii"</f>
        <v>Hiszpanii</v>
      </c>
      <c r="AA6" t="str">
        <f>W6&amp;"ii"</f>
        <v>Hiszpanii</v>
      </c>
      <c r="AB6" t="str">
        <f>W6&amp;"ię"</f>
        <v>Hiszpanię</v>
      </c>
      <c r="AC6" t="str">
        <f>"z "&amp;W6&amp;"ią"</f>
        <v>z Hiszpanią</v>
      </c>
      <c r="AD6" t="str">
        <f>""&amp;W6&amp;"ii"</f>
        <v>Hiszpanii</v>
      </c>
      <c r="AE6" t="str">
        <f>W6&amp;"io"</f>
        <v>Hiszpanio</v>
      </c>
      <c r="AM6" t="str">
        <f>"do "&amp;W6&amp;"ii"</f>
        <v>do Hiszpanii</v>
      </c>
      <c r="AN6" t="str">
        <f>"w "&amp;W6&amp;"ii"</f>
        <v>w Hiszpanii</v>
      </c>
    </row>
    <row r="7" spans="1:40">
      <c r="A7" s="6">
        <v>19</v>
      </c>
      <c r="B7" s="6">
        <v>6</v>
      </c>
      <c r="C7" s="6">
        <v>1</v>
      </c>
      <c r="D7" s="6" t="s">
        <v>223</v>
      </c>
      <c r="E7" s="6">
        <v>10</v>
      </c>
      <c r="F7" s="6">
        <v>1</v>
      </c>
      <c r="H7" s="6" t="str">
        <f t="shared" si="2"/>
        <v>SELECT 19, 6, 1, 'Francja', 10, 1 UNION ALL</v>
      </c>
      <c r="K7">
        <v>2</v>
      </c>
      <c r="L7" s="6">
        <v>4</v>
      </c>
      <c r="M7" s="6">
        <v>14</v>
      </c>
      <c r="N7" s="6">
        <v>15</v>
      </c>
      <c r="P7" s="6" t="str">
        <f t="shared" si="3"/>
        <v>SELECT 21, 19, 1, 2 UNION ALL</v>
      </c>
      <c r="Q7" s="6" t="str">
        <f t="shared" si="4"/>
        <v>SELECT 22, 19, 2, 4 UNION ALL</v>
      </c>
      <c r="R7" s="6" t="str">
        <f t="shared" si="5"/>
        <v>SELECT 23, 19, 3, 14 UNION ALL</v>
      </c>
      <c r="S7" s="6" t="str">
        <f t="shared" si="6"/>
        <v>SELECT 24, 19, 7, 15 UNION ALL</v>
      </c>
      <c r="V7" s="6" t="str">
        <f>IF(RIGHT(D7,2)="ja","ja","")</f>
        <v>ja</v>
      </c>
      <c r="W7" s="6" t="str">
        <f t="shared" ref="W7:W70" si="7">SUBSTITUTE(D7,V7,"")</f>
        <v>Franc</v>
      </c>
      <c r="Y7" t="str">
        <f>W7&amp;"ja"</f>
        <v>Francja</v>
      </c>
      <c r="Z7" t="str">
        <f>W7&amp;"ji"</f>
        <v>Francji</v>
      </c>
      <c r="AA7" t="str">
        <f>W7&amp;"ji"</f>
        <v>Francji</v>
      </c>
      <c r="AB7" t="str">
        <f>W7&amp;"ję"</f>
        <v>Francję</v>
      </c>
      <c r="AC7" t="str">
        <f>"z "&amp;W7&amp;"ją"</f>
        <v>z Francją</v>
      </c>
      <c r="AD7" t="str">
        <f>W7&amp;"ji"</f>
        <v>Francji</v>
      </c>
      <c r="AE7" t="str">
        <f>W7&amp;"jo"</f>
        <v>Francjo</v>
      </c>
      <c r="AM7" t="str">
        <f>"do "&amp;W7&amp;"ji"</f>
        <v>do Francji</v>
      </c>
      <c r="AN7" s="6" t="s">
        <v>2639</v>
      </c>
    </row>
    <row r="8" spans="1:40">
      <c r="A8" s="6">
        <v>23</v>
      </c>
      <c r="B8" s="6">
        <v>9</v>
      </c>
      <c r="C8" s="6">
        <v>1</v>
      </c>
      <c r="D8" s="6" t="s">
        <v>225</v>
      </c>
      <c r="E8" s="6">
        <v>10</v>
      </c>
      <c r="F8" s="6">
        <v>1</v>
      </c>
      <c r="H8" s="6" t="str">
        <f t="shared" si="2"/>
        <v>SELECT 23, 9, 1, 'Niemcy', 10, 1 UNION ALL</v>
      </c>
      <c r="K8">
        <v>1</v>
      </c>
      <c r="L8">
        <v>5</v>
      </c>
      <c r="M8" s="6">
        <v>14</v>
      </c>
      <c r="N8" s="6">
        <v>15</v>
      </c>
      <c r="P8" s="6" t="str">
        <f t="shared" si="3"/>
        <v>SELECT 25, 23, 1, 1 UNION ALL</v>
      </c>
      <c r="Q8" s="6" t="str">
        <f t="shared" si="4"/>
        <v>SELECT 26, 23, 2, 5 UNION ALL</v>
      </c>
      <c r="R8" s="6" t="str">
        <f t="shared" si="5"/>
        <v>SELECT 27, 23, 3, 14 UNION ALL</v>
      </c>
      <c r="S8" s="6" t="str">
        <f t="shared" si="6"/>
        <v>SELECT 28, 23, 7, 15 UNION ALL</v>
      </c>
      <c r="V8" s="6" t="str">
        <f>IF(RIGHT(D8,4)="stan","stan","")</f>
        <v/>
      </c>
      <c r="W8" s="6" t="str">
        <f t="shared" si="7"/>
        <v>Niemcy</v>
      </c>
      <c r="AF8" s="6" t="s">
        <v>225</v>
      </c>
      <c r="AG8" s="6" t="s">
        <v>2754</v>
      </c>
      <c r="AH8" s="6" t="s">
        <v>2755</v>
      </c>
      <c r="AI8" s="6" t="s">
        <v>225</v>
      </c>
      <c r="AJ8" s="6" t="s">
        <v>2756</v>
      </c>
      <c r="AK8" s="6" t="s">
        <v>2757</v>
      </c>
      <c r="AL8" s="6" t="s">
        <v>225</v>
      </c>
      <c r="AM8" s="6" t="s">
        <v>2758</v>
      </c>
      <c r="AN8" s="6" t="s">
        <v>2759</v>
      </c>
    </row>
    <row r="9" spans="1:40">
      <c r="A9" s="6">
        <v>27</v>
      </c>
      <c r="B9" s="6">
        <v>10</v>
      </c>
      <c r="C9" s="6">
        <v>1</v>
      </c>
      <c r="D9" s="6" t="s">
        <v>227</v>
      </c>
      <c r="E9" s="6">
        <v>10</v>
      </c>
      <c r="F9" s="6">
        <v>1</v>
      </c>
      <c r="H9" s="6" t="str">
        <f t="shared" si="2"/>
        <v>SELECT 27, 10, 1, 'Anglia', 10, 1 UNION ALL</v>
      </c>
      <c r="K9">
        <v>2</v>
      </c>
      <c r="L9" s="6">
        <v>4</v>
      </c>
      <c r="M9" s="6">
        <v>14</v>
      </c>
      <c r="N9" s="6">
        <v>15</v>
      </c>
      <c r="P9" s="6" t="str">
        <f t="shared" si="3"/>
        <v>SELECT 29, 27, 1, 2 UNION ALL</v>
      </c>
      <c r="Q9" s="6" t="str">
        <f t="shared" si="4"/>
        <v>SELECT 30, 27, 2, 4 UNION ALL</v>
      </c>
      <c r="R9" s="6" t="str">
        <f t="shared" si="5"/>
        <v>SELECT 31, 27, 3, 14 UNION ALL</v>
      </c>
      <c r="S9" s="6" t="str">
        <f t="shared" si="6"/>
        <v>SELECT 32, 27, 7, 15 UNION ALL</v>
      </c>
      <c r="V9" s="6" t="str">
        <f t="shared" ref="V9:V67" si="8">IF(RIGHT(D9,2)="ia","ia","")</f>
        <v>ia</v>
      </c>
      <c r="W9" s="6" t="str">
        <f t="shared" si="7"/>
        <v>Angl</v>
      </c>
      <c r="Y9" s="6" t="str">
        <f>W9&amp;V9</f>
        <v>Anglia</v>
      </c>
      <c r="Z9" s="6" t="str">
        <f>W9&amp;"ii"</f>
        <v>Anglii</v>
      </c>
      <c r="AA9" s="6" t="str">
        <f>W9&amp;"ii"</f>
        <v>Anglii</v>
      </c>
      <c r="AB9" s="6" t="str">
        <f>W9&amp;"ię"</f>
        <v>Anglię</v>
      </c>
      <c r="AC9" s="6" t="str">
        <f>"z "&amp;W9&amp;"ią"</f>
        <v>z Anglią</v>
      </c>
      <c r="AD9" s="6" t="str">
        <f>""&amp;W9&amp;"ii"</f>
        <v>Anglii</v>
      </c>
      <c r="AE9" s="6" t="str">
        <f>W9&amp;"io"</f>
        <v>Anglio</v>
      </c>
      <c r="AF9" s="6"/>
      <c r="AG9" s="6"/>
      <c r="AH9" s="6"/>
      <c r="AI9" s="6"/>
      <c r="AJ9" s="6"/>
      <c r="AK9" s="6"/>
      <c r="AL9" s="6"/>
      <c r="AM9" s="6" t="str">
        <f>"do "&amp;W9&amp;"ii"</f>
        <v>do Anglii</v>
      </c>
      <c r="AN9" s="6" t="str">
        <f>"w "&amp;W9&amp;"ii"</f>
        <v>w Anglii</v>
      </c>
    </row>
    <row r="10" spans="1:40">
      <c r="A10" s="6">
        <v>31</v>
      </c>
      <c r="B10" s="6">
        <v>11</v>
      </c>
      <c r="C10" s="6">
        <v>1</v>
      </c>
      <c r="D10" s="6" t="s">
        <v>229</v>
      </c>
      <c r="E10" s="6">
        <v>10</v>
      </c>
      <c r="F10" s="6">
        <v>1</v>
      </c>
      <c r="H10" s="6" t="str">
        <f t="shared" si="2"/>
        <v>SELECT 31, 11, 1, 'Rosja', 10, 1 UNION ALL</v>
      </c>
      <c r="K10">
        <v>2</v>
      </c>
      <c r="L10" s="6">
        <v>4</v>
      </c>
      <c r="M10" s="6">
        <v>14</v>
      </c>
      <c r="N10" s="6">
        <v>15</v>
      </c>
      <c r="P10" s="6" t="str">
        <f t="shared" si="3"/>
        <v>SELECT 33, 31, 1, 2 UNION ALL</v>
      </c>
      <c r="Q10" s="6" t="str">
        <f t="shared" si="4"/>
        <v>SELECT 34, 31, 2, 4 UNION ALL</v>
      </c>
      <c r="R10" s="6" t="str">
        <f t="shared" si="5"/>
        <v>SELECT 35, 31, 3, 14 UNION ALL</v>
      </c>
      <c r="S10" s="6" t="str">
        <f t="shared" si="6"/>
        <v>SELECT 36, 31, 7, 15 UNION ALL</v>
      </c>
      <c r="V10" s="6" t="str">
        <f>IF(RIGHT(D10,2)="ja","ja","")</f>
        <v>ja</v>
      </c>
      <c r="W10" s="6" t="str">
        <f t="shared" si="7"/>
        <v>Ros</v>
      </c>
      <c r="Y10" s="6" t="str">
        <f>W10&amp;"ja"</f>
        <v>Rosja</v>
      </c>
      <c r="Z10" s="6" t="str">
        <f>W10&amp;"ji"</f>
        <v>Rosji</v>
      </c>
      <c r="AA10" s="6" t="str">
        <f>W10&amp;"ji"</f>
        <v>Rosji</v>
      </c>
      <c r="AB10" s="6" t="str">
        <f>W10&amp;"ję"</f>
        <v>Rosję</v>
      </c>
      <c r="AC10" s="6" t="str">
        <f>"z "&amp;W10&amp;"ją"</f>
        <v>z Rosją</v>
      </c>
      <c r="AD10" s="6" t="str">
        <f>W10&amp;"ji"</f>
        <v>Rosji</v>
      </c>
      <c r="AE10" s="6" t="str">
        <f>W10&amp;"jo"</f>
        <v>Rosjo</v>
      </c>
      <c r="AF10" s="6"/>
      <c r="AG10" s="6"/>
      <c r="AH10" s="6"/>
      <c r="AI10" s="6"/>
      <c r="AJ10" s="6"/>
      <c r="AK10" s="6"/>
      <c r="AL10" s="6"/>
      <c r="AM10" s="6" t="str">
        <f>"do "&amp;W10&amp;"ji"</f>
        <v>do Rosji</v>
      </c>
      <c r="AN10" s="6" t="str">
        <f>"w "&amp;W10&amp;"ji"</f>
        <v>w Rosji</v>
      </c>
    </row>
    <row r="11" spans="1:40">
      <c r="A11" s="6">
        <v>35</v>
      </c>
      <c r="B11" s="6">
        <v>12</v>
      </c>
      <c r="C11" s="6">
        <v>1</v>
      </c>
      <c r="D11" s="6" t="s">
        <v>231</v>
      </c>
      <c r="E11" s="6">
        <v>10</v>
      </c>
      <c r="F11" s="6">
        <v>1</v>
      </c>
      <c r="H11" s="6" t="str">
        <f t="shared" si="2"/>
        <v>SELECT 35, 12, 1, 'Albania', 10, 1 UNION ALL</v>
      </c>
      <c r="K11">
        <v>2</v>
      </c>
      <c r="L11" s="6">
        <v>4</v>
      </c>
      <c r="M11" s="6">
        <v>14</v>
      </c>
      <c r="N11" s="6">
        <v>15</v>
      </c>
      <c r="P11" s="6" t="str">
        <f t="shared" si="3"/>
        <v>SELECT 37, 35, 1, 2 UNION ALL</v>
      </c>
      <c r="Q11" s="6" t="str">
        <f t="shared" si="4"/>
        <v>SELECT 38, 35, 2, 4 UNION ALL</v>
      </c>
      <c r="R11" s="6" t="str">
        <f t="shared" si="5"/>
        <v>SELECT 39, 35, 3, 14 UNION ALL</v>
      </c>
      <c r="S11" s="6" t="str">
        <f t="shared" si="6"/>
        <v>SELECT 40, 35, 7, 15 UNION ALL</v>
      </c>
      <c r="V11" s="6" t="str">
        <f t="shared" si="8"/>
        <v>ia</v>
      </c>
      <c r="W11" s="6" t="str">
        <f t="shared" si="7"/>
        <v>Alban</v>
      </c>
      <c r="Y11" s="6" t="str">
        <f>W11&amp;V11</f>
        <v>Albania</v>
      </c>
      <c r="Z11" s="6" t="str">
        <f>W11&amp;"ii"</f>
        <v>Albanii</v>
      </c>
      <c r="AA11" s="6" t="str">
        <f>W11&amp;"ii"</f>
        <v>Albanii</v>
      </c>
      <c r="AB11" s="6" t="str">
        <f>W11&amp;"ię"</f>
        <v>Albanię</v>
      </c>
      <c r="AC11" s="6" t="str">
        <f>"z "&amp;W11&amp;"ią"</f>
        <v>z Albanią</v>
      </c>
      <c r="AD11" s="6" t="str">
        <f>""&amp;W11&amp;"ii"</f>
        <v>Albanii</v>
      </c>
      <c r="AE11" s="6" t="str">
        <f>W11&amp;"io"</f>
        <v>Albanio</v>
      </c>
      <c r="AF11" s="6"/>
      <c r="AG11" s="6"/>
      <c r="AH11" s="6"/>
      <c r="AI11" s="6"/>
      <c r="AJ11" s="6"/>
      <c r="AK11" s="6"/>
      <c r="AL11" s="6"/>
      <c r="AM11" s="6" t="str">
        <f>"do "&amp;W11&amp;"ii"</f>
        <v>do Albanii</v>
      </c>
      <c r="AN11" s="6" t="str">
        <f>"w "&amp;W11&amp;"ii"</f>
        <v>w Albanii</v>
      </c>
    </row>
    <row r="12" spans="1:40">
      <c r="A12" s="6">
        <v>40</v>
      </c>
      <c r="B12" s="6">
        <v>13</v>
      </c>
      <c r="C12" s="6">
        <v>1</v>
      </c>
      <c r="D12" s="6" t="s">
        <v>233</v>
      </c>
      <c r="E12" s="6">
        <v>10</v>
      </c>
      <c r="F12" s="6">
        <v>1</v>
      </c>
      <c r="H12" s="6" t="str">
        <f t="shared" si="2"/>
        <v>SELECT 40, 13, 1, 'Andora', 10, 1 UNION ALL</v>
      </c>
      <c r="K12">
        <v>2</v>
      </c>
      <c r="L12" s="6">
        <v>4</v>
      </c>
      <c r="M12" s="6">
        <v>14</v>
      </c>
      <c r="N12" s="6">
        <v>15</v>
      </c>
      <c r="P12" s="6" t="str">
        <f t="shared" si="3"/>
        <v>SELECT 41, 40, 1, 2 UNION ALL</v>
      </c>
      <c r="Q12" s="6" t="str">
        <f t="shared" si="4"/>
        <v>SELECT 42, 40, 2, 4 UNION ALL</v>
      </c>
      <c r="R12" s="6" t="str">
        <f t="shared" si="5"/>
        <v>SELECT 43, 40, 3, 14 UNION ALL</v>
      </c>
      <c r="S12" s="6" t="str">
        <f t="shared" si="6"/>
        <v>SELECT 44, 40, 7, 15 UNION ALL</v>
      </c>
      <c r="V12" s="6" t="str">
        <f>IF(RIGHT(D12,4)="stan","stan","")</f>
        <v/>
      </c>
      <c r="W12" s="6" t="str">
        <f t="shared" si="7"/>
        <v>Andora</v>
      </c>
      <c r="Y12" s="6" t="s">
        <v>233</v>
      </c>
      <c r="Z12" s="6" t="s">
        <v>2650</v>
      </c>
      <c r="AA12" s="6" t="s">
        <v>2651</v>
      </c>
      <c r="AB12" s="6" t="s">
        <v>2652</v>
      </c>
      <c r="AC12" s="6" t="s">
        <v>2653</v>
      </c>
      <c r="AD12" s="6" t="s">
        <v>2651</v>
      </c>
      <c r="AE12" s="6" t="s">
        <v>2654</v>
      </c>
      <c r="AM12" s="6" t="s">
        <v>2655</v>
      </c>
      <c r="AN12" s="6" t="s">
        <v>2656</v>
      </c>
    </row>
    <row r="13" spans="1:40">
      <c r="A13" s="6">
        <v>41</v>
      </c>
      <c r="B13" s="6">
        <v>14</v>
      </c>
      <c r="C13" s="6">
        <v>1</v>
      </c>
      <c r="D13" s="6" t="s">
        <v>235</v>
      </c>
      <c r="E13" s="6">
        <v>10</v>
      </c>
      <c r="F13" s="6">
        <v>1</v>
      </c>
      <c r="H13" s="6" t="str">
        <f t="shared" si="2"/>
        <v>SELECT 41, 14, 1, 'Armenia', 10, 1 UNION ALL</v>
      </c>
      <c r="K13">
        <v>2</v>
      </c>
      <c r="L13" s="6">
        <v>4</v>
      </c>
      <c r="M13" s="6">
        <v>14</v>
      </c>
      <c r="N13" s="6">
        <v>15</v>
      </c>
      <c r="P13" s="6" t="str">
        <f t="shared" si="3"/>
        <v>SELECT 45, 41, 1, 2 UNION ALL</v>
      </c>
      <c r="Q13" s="6" t="str">
        <f t="shared" si="4"/>
        <v>SELECT 46, 41, 2, 4 UNION ALL</v>
      </c>
      <c r="R13" s="6" t="str">
        <f t="shared" si="5"/>
        <v>SELECT 47, 41, 3, 14 UNION ALL</v>
      </c>
      <c r="S13" s="6" t="str">
        <f t="shared" si="6"/>
        <v>SELECT 48, 41, 7, 15 UNION ALL</v>
      </c>
      <c r="V13" s="6" t="str">
        <f t="shared" si="8"/>
        <v>ia</v>
      </c>
      <c r="W13" s="6" t="str">
        <f t="shared" si="7"/>
        <v>Armen</v>
      </c>
      <c r="Y13" s="6" t="str">
        <f t="shared" ref="Y13:Y14" si="9">W13&amp;V13</f>
        <v>Armenia</v>
      </c>
      <c r="Z13" s="6" t="str">
        <f t="shared" ref="Z13:Z14" si="10">W13&amp;"ii"</f>
        <v>Armenii</v>
      </c>
      <c r="AA13" s="6" t="str">
        <f t="shared" ref="AA13:AA14" si="11">W13&amp;"ii"</f>
        <v>Armenii</v>
      </c>
      <c r="AB13" s="6" t="str">
        <f t="shared" ref="AB13:AB14" si="12">W13&amp;"ię"</f>
        <v>Armenię</v>
      </c>
      <c r="AC13" s="6" t="str">
        <f t="shared" ref="AC13:AC14" si="13">"z "&amp;W13&amp;"ią"</f>
        <v>z Armenią</v>
      </c>
      <c r="AD13" s="6" t="str">
        <f>""&amp;W13&amp;"ii"</f>
        <v>Armenii</v>
      </c>
      <c r="AE13" s="6" t="str">
        <f t="shared" ref="AE13:AE14" si="14">W13&amp;"io"</f>
        <v>Armenio</v>
      </c>
      <c r="AF13" s="6"/>
      <c r="AG13" s="6"/>
      <c r="AH13" s="6"/>
      <c r="AI13" s="6"/>
      <c r="AJ13" s="6"/>
      <c r="AK13" s="6"/>
      <c r="AL13" s="6"/>
      <c r="AM13" s="6" t="str">
        <f t="shared" ref="AM13:AM14" si="15">"do "&amp;W13&amp;"ii"</f>
        <v>do Armenii</v>
      </c>
      <c r="AN13" s="6" t="str">
        <f t="shared" ref="AN13:AN14" si="16">"w "&amp;W13&amp;"ii"</f>
        <v>w Armenii</v>
      </c>
    </row>
    <row r="14" spans="1:40">
      <c r="A14" s="6">
        <v>42</v>
      </c>
      <c r="B14" s="6">
        <v>15</v>
      </c>
      <c r="C14" s="6">
        <v>1</v>
      </c>
      <c r="D14" s="6" t="s">
        <v>236</v>
      </c>
      <c r="E14" s="6">
        <v>10</v>
      </c>
      <c r="F14" s="6">
        <v>1</v>
      </c>
      <c r="H14" s="6" t="str">
        <f t="shared" si="2"/>
        <v>SELECT 42, 15, 1, 'Austria', 10, 1 UNION ALL</v>
      </c>
      <c r="K14">
        <v>2</v>
      </c>
      <c r="L14" s="6">
        <v>4</v>
      </c>
      <c r="M14" s="6">
        <v>14</v>
      </c>
      <c r="N14" s="6">
        <v>15</v>
      </c>
      <c r="P14" s="6" t="str">
        <f t="shared" si="3"/>
        <v>SELECT 49, 42, 1, 2 UNION ALL</v>
      </c>
      <c r="Q14" s="6" t="str">
        <f t="shared" si="4"/>
        <v>SELECT 50, 42, 2, 4 UNION ALL</v>
      </c>
      <c r="R14" s="6" t="str">
        <f t="shared" si="5"/>
        <v>SELECT 51, 42, 3, 14 UNION ALL</v>
      </c>
      <c r="S14" s="6" t="str">
        <f t="shared" si="6"/>
        <v>SELECT 52, 42, 7, 15 UNION ALL</v>
      </c>
      <c r="V14" s="6" t="str">
        <f t="shared" si="8"/>
        <v>ia</v>
      </c>
      <c r="W14" s="6" t="str">
        <f t="shared" si="7"/>
        <v>Austr</v>
      </c>
      <c r="Y14" s="6" t="str">
        <f t="shared" si="9"/>
        <v>Austria</v>
      </c>
      <c r="Z14" s="6" t="str">
        <f t="shared" si="10"/>
        <v>Austrii</v>
      </c>
      <c r="AA14" s="6" t="str">
        <f t="shared" si="11"/>
        <v>Austrii</v>
      </c>
      <c r="AB14" s="6" t="str">
        <f t="shared" si="12"/>
        <v>Austrię</v>
      </c>
      <c r="AC14" s="6" t="str">
        <f t="shared" si="13"/>
        <v>z Austrią</v>
      </c>
      <c r="AD14" s="6" t="str">
        <f>""&amp;W14&amp;"ii"</f>
        <v>Austrii</v>
      </c>
      <c r="AE14" s="6" t="str">
        <f t="shared" si="14"/>
        <v>Austrio</v>
      </c>
      <c r="AF14" s="6"/>
      <c r="AG14" s="6"/>
      <c r="AH14" s="6"/>
      <c r="AI14" s="6"/>
      <c r="AJ14" s="6"/>
      <c r="AK14" s="6"/>
      <c r="AL14" s="6"/>
      <c r="AM14" s="6" t="str">
        <f t="shared" si="15"/>
        <v>do Austrii</v>
      </c>
      <c r="AN14" s="6" t="str">
        <f t="shared" si="16"/>
        <v>w Austrii</v>
      </c>
    </row>
    <row r="15" spans="1:40">
      <c r="A15" s="6">
        <v>43</v>
      </c>
      <c r="B15" s="6">
        <v>16</v>
      </c>
      <c r="C15" s="6">
        <v>1</v>
      </c>
      <c r="D15" s="6" t="s">
        <v>238</v>
      </c>
      <c r="E15" s="6">
        <v>10</v>
      </c>
      <c r="F15" s="6">
        <v>1</v>
      </c>
      <c r="H15" s="6" t="str">
        <f t="shared" si="2"/>
        <v>SELECT 43, 16, 1, 'Azerbejdżan', 10, 1 UNION ALL</v>
      </c>
      <c r="K15">
        <v>1</v>
      </c>
      <c r="L15" s="6">
        <v>4</v>
      </c>
      <c r="M15" s="6">
        <v>14</v>
      </c>
      <c r="N15" s="6">
        <v>15</v>
      </c>
      <c r="P15" s="6" t="str">
        <f t="shared" si="3"/>
        <v>SELECT 53, 43, 1, 1 UNION ALL</v>
      </c>
      <c r="Q15" s="6" t="str">
        <f t="shared" si="4"/>
        <v>SELECT 54, 43, 2, 4 UNION ALL</v>
      </c>
      <c r="R15" s="6" t="str">
        <f t="shared" si="5"/>
        <v>SELECT 55, 43, 3, 14 UNION ALL</v>
      </c>
      <c r="S15" s="6" t="str">
        <f t="shared" si="6"/>
        <v>SELECT 56, 43, 7, 15 UNION ALL</v>
      </c>
      <c r="V15" s="6" t="str">
        <f t="shared" ref="V15:V16" si="17">IF(RIGHT(D15,4)="stan","stan","")</f>
        <v/>
      </c>
      <c r="W15" s="6" t="str">
        <f t="shared" si="7"/>
        <v>Azerbejdżan</v>
      </c>
      <c r="Y15" s="6" t="s">
        <v>238</v>
      </c>
      <c r="Z15" s="6" t="s">
        <v>2657</v>
      </c>
      <c r="AA15" s="6" t="s">
        <v>2658</v>
      </c>
      <c r="AB15" s="6" t="s">
        <v>238</v>
      </c>
      <c r="AC15" s="6" t="s">
        <v>2659</v>
      </c>
      <c r="AD15" s="6" t="s">
        <v>2660</v>
      </c>
      <c r="AE15" s="6" t="s">
        <v>2660</v>
      </c>
      <c r="AM15" s="6" t="s">
        <v>2661</v>
      </c>
      <c r="AN15" s="6" t="s">
        <v>2662</v>
      </c>
    </row>
    <row r="16" spans="1:40">
      <c r="A16" s="6">
        <v>44</v>
      </c>
      <c r="B16" s="6">
        <v>17</v>
      </c>
      <c r="C16" s="6">
        <v>1</v>
      </c>
      <c r="D16" s="6" t="s">
        <v>239</v>
      </c>
      <c r="E16" s="6">
        <v>10</v>
      </c>
      <c r="F16" s="6">
        <v>1</v>
      </c>
      <c r="H16" s="6" t="str">
        <f t="shared" si="2"/>
        <v>SELECT 44, 17, 1, 'Białoruś', 10, 1 UNION ALL</v>
      </c>
      <c r="K16">
        <v>2</v>
      </c>
      <c r="L16" s="6">
        <v>4</v>
      </c>
      <c r="M16" s="6">
        <v>14</v>
      </c>
      <c r="N16" s="6">
        <v>15</v>
      </c>
      <c r="P16" s="6" t="str">
        <f t="shared" si="3"/>
        <v>SELECT 57, 44, 1, 2 UNION ALL</v>
      </c>
      <c r="Q16" s="6" t="str">
        <f t="shared" si="4"/>
        <v>SELECT 58, 44, 2, 4 UNION ALL</v>
      </c>
      <c r="R16" s="6" t="str">
        <f t="shared" si="5"/>
        <v>SELECT 59, 44, 3, 14 UNION ALL</v>
      </c>
      <c r="S16" s="6" t="str">
        <f t="shared" si="6"/>
        <v>SELECT 60, 44, 7, 15 UNION ALL</v>
      </c>
      <c r="V16" s="6" t="str">
        <f t="shared" si="17"/>
        <v/>
      </c>
      <c r="W16" s="6" t="str">
        <f t="shared" si="7"/>
        <v>Białoruś</v>
      </c>
      <c r="Y16" s="6" t="s">
        <v>239</v>
      </c>
      <c r="Z16" s="6" t="s">
        <v>2663</v>
      </c>
      <c r="AA16" s="6" t="s">
        <v>2663</v>
      </c>
      <c r="AB16" s="6" t="s">
        <v>239</v>
      </c>
      <c r="AC16" s="6" t="s">
        <v>2664</v>
      </c>
      <c r="AD16" s="6" t="s">
        <v>2663</v>
      </c>
      <c r="AE16" s="6" t="s">
        <v>239</v>
      </c>
      <c r="AM16" s="6" t="s">
        <v>2665</v>
      </c>
      <c r="AN16" s="6" t="s">
        <v>2666</v>
      </c>
    </row>
    <row r="17" spans="1:40">
      <c r="A17" s="6">
        <v>45</v>
      </c>
      <c r="B17" s="6">
        <v>18</v>
      </c>
      <c r="C17" s="6">
        <v>1</v>
      </c>
      <c r="D17" s="6" t="s">
        <v>240</v>
      </c>
      <c r="E17" s="6">
        <v>10</v>
      </c>
      <c r="F17" s="6">
        <v>1</v>
      </c>
      <c r="H17" s="6" t="str">
        <f t="shared" si="2"/>
        <v>SELECT 45, 18, 1, 'Belgia', 10, 1 UNION ALL</v>
      </c>
      <c r="K17">
        <v>2</v>
      </c>
      <c r="L17" s="6">
        <v>4</v>
      </c>
      <c r="M17" s="6">
        <v>14</v>
      </c>
      <c r="N17" s="6">
        <v>15</v>
      </c>
      <c r="P17" s="6" t="str">
        <f t="shared" si="3"/>
        <v>SELECT 61, 45, 1, 2 UNION ALL</v>
      </c>
      <c r="Q17" s="6" t="str">
        <f t="shared" si="4"/>
        <v>SELECT 62, 45, 2, 4 UNION ALL</v>
      </c>
      <c r="R17" s="6" t="str">
        <f t="shared" si="5"/>
        <v>SELECT 63, 45, 3, 14 UNION ALL</v>
      </c>
      <c r="S17" s="6" t="str">
        <f t="shared" si="6"/>
        <v>SELECT 64, 45, 7, 15 UNION ALL</v>
      </c>
      <c r="V17" s="6" t="str">
        <f t="shared" si="8"/>
        <v>ia</v>
      </c>
      <c r="W17" s="6" t="str">
        <f t="shared" si="7"/>
        <v>Belg</v>
      </c>
      <c r="Y17" s="6" t="str">
        <f>W17&amp;V17</f>
        <v>Belgia</v>
      </c>
      <c r="Z17" s="6" t="str">
        <f>W17&amp;"ii"</f>
        <v>Belgii</v>
      </c>
      <c r="AA17" s="6" t="str">
        <f>W17&amp;"ii"</f>
        <v>Belgii</v>
      </c>
      <c r="AB17" s="6" t="str">
        <f>W17&amp;"ię"</f>
        <v>Belgię</v>
      </c>
      <c r="AC17" s="6" t="str">
        <f>"z "&amp;W17&amp;"ią"</f>
        <v>z Belgią</v>
      </c>
      <c r="AD17" s="6" t="str">
        <f>""&amp;W17&amp;"ii"</f>
        <v>Belgii</v>
      </c>
      <c r="AE17" s="6" t="str">
        <f>W17&amp;"io"</f>
        <v>Belgio</v>
      </c>
      <c r="AF17" s="6"/>
      <c r="AG17" s="6"/>
      <c r="AH17" s="6"/>
      <c r="AI17" s="6"/>
      <c r="AJ17" s="6"/>
      <c r="AK17" s="6"/>
      <c r="AL17" s="6"/>
      <c r="AM17" s="6" t="str">
        <f>"do "&amp;W17&amp;"ii"</f>
        <v>do Belgii</v>
      </c>
      <c r="AN17" s="6" t="str">
        <f>"w "&amp;W17&amp;"ii"</f>
        <v>w Belgii</v>
      </c>
    </row>
    <row r="18" spans="1:40">
      <c r="A18" s="6">
        <v>46</v>
      </c>
      <c r="B18" s="6">
        <v>19</v>
      </c>
      <c r="C18" s="6">
        <v>1</v>
      </c>
      <c r="D18" s="6" t="s">
        <v>241</v>
      </c>
      <c r="E18" s="6">
        <v>10</v>
      </c>
      <c r="F18" s="6">
        <v>1</v>
      </c>
      <c r="H18" s="6" t="str">
        <f t="shared" si="2"/>
        <v>SELECT 46, 19, 1, 'Bośnia i Hercegowina', 10, 1 UNION ALL</v>
      </c>
      <c r="K18">
        <v>2</v>
      </c>
      <c r="L18" s="6">
        <v>4</v>
      </c>
      <c r="M18" s="6">
        <v>14</v>
      </c>
      <c r="N18" s="6">
        <v>15</v>
      </c>
      <c r="P18" s="6" t="str">
        <f t="shared" si="3"/>
        <v>SELECT 65, 46, 1, 2 UNION ALL</v>
      </c>
      <c r="Q18" s="6" t="str">
        <f t="shared" si="4"/>
        <v>SELECT 66, 46, 2, 4 UNION ALL</v>
      </c>
      <c r="R18" s="6" t="str">
        <f t="shared" si="5"/>
        <v>SELECT 67, 46, 3, 14 UNION ALL</v>
      </c>
      <c r="S18" s="6" t="str">
        <f t="shared" si="6"/>
        <v>SELECT 68, 46, 7, 15 UNION ALL</v>
      </c>
      <c r="V18" s="6" t="str">
        <f>IF(RIGHT(D18,4)="stan","stan","")</f>
        <v/>
      </c>
      <c r="W18" s="6" t="str">
        <f t="shared" si="7"/>
        <v>Bośnia i Hercegowina</v>
      </c>
      <c r="Y18" s="6" t="s">
        <v>241</v>
      </c>
      <c r="Z18" s="6" t="s">
        <v>2667</v>
      </c>
      <c r="AA18" s="6" t="s">
        <v>2668</v>
      </c>
      <c r="AB18" s="6" t="s">
        <v>2669</v>
      </c>
      <c r="AC18" s="6" t="s">
        <v>2670</v>
      </c>
      <c r="AD18" s="6" t="s">
        <v>2668</v>
      </c>
      <c r="AE18" s="6" t="s">
        <v>2671</v>
      </c>
      <c r="AM18" s="6" t="s">
        <v>2672</v>
      </c>
      <c r="AN18" s="6" t="s">
        <v>2673</v>
      </c>
    </row>
    <row r="19" spans="1:40">
      <c r="A19" s="6">
        <v>47</v>
      </c>
      <c r="B19" s="6">
        <v>20</v>
      </c>
      <c r="C19" s="6">
        <v>1</v>
      </c>
      <c r="D19" s="6" t="s">
        <v>242</v>
      </c>
      <c r="E19" s="6">
        <v>10</v>
      </c>
      <c r="F19" s="6">
        <v>1</v>
      </c>
      <c r="H19" s="6" t="str">
        <f t="shared" si="2"/>
        <v>SELECT 47, 20, 1, 'Bułgaria', 10, 1 UNION ALL</v>
      </c>
      <c r="K19">
        <v>2</v>
      </c>
      <c r="L19" s="6">
        <v>4</v>
      </c>
      <c r="M19" s="6">
        <v>14</v>
      </c>
      <c r="N19" s="6">
        <v>15</v>
      </c>
      <c r="P19" s="6" t="str">
        <f t="shared" si="3"/>
        <v>SELECT 69, 47, 1, 2 UNION ALL</v>
      </c>
      <c r="Q19" s="6" t="str">
        <f t="shared" si="4"/>
        <v>SELECT 70, 47, 2, 4 UNION ALL</v>
      </c>
      <c r="R19" s="6" t="str">
        <f t="shared" si="5"/>
        <v>SELECT 71, 47, 3, 14 UNION ALL</v>
      </c>
      <c r="S19" s="6" t="str">
        <f t="shared" si="6"/>
        <v>SELECT 72, 47, 7, 15 UNION ALL</v>
      </c>
      <c r="V19" s="6" t="str">
        <f t="shared" si="8"/>
        <v>ia</v>
      </c>
      <c r="W19" s="6" t="str">
        <f t="shared" si="7"/>
        <v>Bułgar</v>
      </c>
      <c r="Y19" s="6" t="str">
        <f>W19&amp;V19</f>
        <v>Bułgaria</v>
      </c>
      <c r="Z19" s="6" t="str">
        <f>W19&amp;"ii"</f>
        <v>Bułgarii</v>
      </c>
      <c r="AA19" s="6" t="str">
        <f>W19&amp;"ii"</f>
        <v>Bułgarii</v>
      </c>
      <c r="AB19" s="6" t="str">
        <f>W19&amp;"ię"</f>
        <v>Bułgarię</v>
      </c>
      <c r="AC19" s="6" t="str">
        <f>"z "&amp;W19&amp;"ią"</f>
        <v>z Bułgarią</v>
      </c>
      <c r="AD19" s="6" t="str">
        <f>""&amp;W19&amp;"ii"</f>
        <v>Bułgarii</v>
      </c>
      <c r="AE19" s="6" t="str">
        <f>W19&amp;"io"</f>
        <v>Bułgario</v>
      </c>
      <c r="AF19" s="6"/>
      <c r="AG19" s="6"/>
      <c r="AH19" s="6"/>
      <c r="AI19" s="6"/>
      <c r="AJ19" s="6"/>
      <c r="AK19" s="6"/>
      <c r="AL19" s="6"/>
      <c r="AM19" s="6" t="str">
        <f>"do "&amp;W19&amp;"ii"</f>
        <v>do Bułgarii</v>
      </c>
      <c r="AN19" s="6" t="str">
        <f>"w "&amp;W19&amp;"ii"</f>
        <v>w Bułgarii</v>
      </c>
    </row>
    <row r="20" spans="1:40">
      <c r="A20" s="6">
        <v>48</v>
      </c>
      <c r="B20" s="6">
        <v>21</v>
      </c>
      <c r="C20" s="6">
        <v>1</v>
      </c>
      <c r="D20" s="6" t="s">
        <v>243</v>
      </c>
      <c r="E20" s="6">
        <v>10</v>
      </c>
      <c r="F20" s="6">
        <v>1</v>
      </c>
      <c r="H20" s="6" t="str">
        <f t="shared" si="2"/>
        <v>SELECT 48, 21, 1, 'Chorwacja', 10, 1 UNION ALL</v>
      </c>
      <c r="K20">
        <v>2</v>
      </c>
      <c r="L20" s="6">
        <v>4</v>
      </c>
      <c r="M20" s="6">
        <v>14</v>
      </c>
      <c r="N20" s="6">
        <v>15</v>
      </c>
      <c r="P20" s="6" t="str">
        <f t="shared" si="3"/>
        <v>SELECT 73, 48, 1, 2 UNION ALL</v>
      </c>
      <c r="Q20" s="6" t="str">
        <f t="shared" si="4"/>
        <v>SELECT 74, 48, 2, 4 UNION ALL</v>
      </c>
      <c r="R20" s="6" t="str">
        <f t="shared" si="5"/>
        <v>SELECT 75, 48, 3, 14 UNION ALL</v>
      </c>
      <c r="S20" s="6" t="str">
        <f t="shared" si="6"/>
        <v>SELECT 76, 48, 7, 15 UNION ALL</v>
      </c>
      <c r="V20" s="6" t="str">
        <f t="shared" ref="V20" si="18">IF(RIGHT(D20,2)="ja","ja","")</f>
        <v>ja</v>
      </c>
      <c r="W20" s="6" t="str">
        <f t="shared" si="7"/>
        <v>Chorwac</v>
      </c>
      <c r="Y20" s="6" t="str">
        <f>W20&amp;"ja"</f>
        <v>Chorwacja</v>
      </c>
      <c r="Z20" s="6" t="str">
        <f>W20&amp;"ji"</f>
        <v>Chorwacji</v>
      </c>
      <c r="AA20" s="6" t="str">
        <f>W20&amp;"ji"</f>
        <v>Chorwacji</v>
      </c>
      <c r="AB20" s="6" t="str">
        <f>W20&amp;"ję"</f>
        <v>Chorwację</v>
      </c>
      <c r="AC20" s="6" t="str">
        <f>"z "&amp;W20&amp;"ją"</f>
        <v>z Chorwacją</v>
      </c>
      <c r="AD20" s="6" t="str">
        <f>W20&amp;"ji"</f>
        <v>Chorwacji</v>
      </c>
      <c r="AE20" s="6" t="str">
        <f>W20&amp;"jo"</f>
        <v>Chorwacjo</v>
      </c>
      <c r="AF20" s="6"/>
      <c r="AG20" s="6"/>
      <c r="AH20" s="6"/>
      <c r="AI20" s="6"/>
      <c r="AJ20" s="6"/>
      <c r="AK20" s="6"/>
      <c r="AL20" s="6"/>
      <c r="AM20" s="6" t="str">
        <f>"do "&amp;W20&amp;"ji"</f>
        <v>do Chorwacji</v>
      </c>
      <c r="AN20" s="6" t="str">
        <f>"w "&amp;W20&amp;"ji"</f>
        <v>w Chorwacji</v>
      </c>
    </row>
    <row r="21" spans="1:40">
      <c r="A21" s="6">
        <v>49</v>
      </c>
      <c r="B21" s="6">
        <v>22</v>
      </c>
      <c r="C21" s="6">
        <v>1</v>
      </c>
      <c r="D21" s="6" t="s">
        <v>244</v>
      </c>
      <c r="E21" s="6">
        <v>10</v>
      </c>
      <c r="F21" s="6">
        <v>1</v>
      </c>
      <c r="H21" s="6" t="str">
        <f t="shared" si="2"/>
        <v>SELECT 49, 22, 1, 'Cypr', 10, 1 UNION ALL</v>
      </c>
      <c r="K21">
        <v>1</v>
      </c>
      <c r="L21" s="6">
        <v>4</v>
      </c>
      <c r="M21" s="6">
        <v>14</v>
      </c>
      <c r="N21" s="6">
        <v>15</v>
      </c>
      <c r="P21" s="6" t="str">
        <f t="shared" si="3"/>
        <v>SELECT 77, 49, 1, 1 UNION ALL</v>
      </c>
      <c r="Q21" s="6" t="str">
        <f t="shared" si="4"/>
        <v>SELECT 78, 49, 2, 4 UNION ALL</v>
      </c>
      <c r="R21" s="6" t="str">
        <f t="shared" si="5"/>
        <v>SELECT 79, 49, 3, 14 UNION ALL</v>
      </c>
      <c r="S21" s="6" t="str">
        <f t="shared" si="6"/>
        <v>SELECT 80, 49, 7, 15 UNION ALL</v>
      </c>
      <c r="V21" s="6" t="str">
        <f t="shared" ref="V21:V22" si="19">IF(RIGHT(D21,4)="stan","stan","")</f>
        <v/>
      </c>
      <c r="W21" s="6" t="str">
        <f t="shared" si="7"/>
        <v>Cypr</v>
      </c>
      <c r="Y21" s="6" t="s">
        <v>244</v>
      </c>
      <c r="Z21" s="6" t="s">
        <v>2674</v>
      </c>
      <c r="AA21" s="6" t="s">
        <v>2675</v>
      </c>
      <c r="AB21" t="s">
        <v>244</v>
      </c>
      <c r="AC21" s="6" t="s">
        <v>2676</v>
      </c>
      <c r="AD21" s="6" t="s">
        <v>2677</v>
      </c>
      <c r="AE21" s="6" t="s">
        <v>2677</v>
      </c>
      <c r="AM21" s="6" t="s">
        <v>2678</v>
      </c>
      <c r="AN21" s="6" t="s">
        <v>2679</v>
      </c>
    </row>
    <row r="22" spans="1:40">
      <c r="A22" s="6">
        <v>50</v>
      </c>
      <c r="B22" s="6">
        <v>23</v>
      </c>
      <c r="C22" s="6">
        <v>1</v>
      </c>
      <c r="D22" s="6" t="s">
        <v>245</v>
      </c>
      <c r="E22" s="6">
        <v>10</v>
      </c>
      <c r="F22" s="6">
        <v>1</v>
      </c>
      <c r="H22" s="6" t="str">
        <f t="shared" si="2"/>
        <v>SELECT 50, 23, 1, 'Czechy', 10, 1 UNION ALL</v>
      </c>
      <c r="K22">
        <v>1</v>
      </c>
      <c r="L22">
        <v>5</v>
      </c>
      <c r="M22" s="6">
        <v>14</v>
      </c>
      <c r="N22" s="6">
        <v>15</v>
      </c>
      <c r="P22" s="6" t="str">
        <f t="shared" si="3"/>
        <v>SELECT 81, 50, 1, 1 UNION ALL</v>
      </c>
      <c r="Q22" s="6" t="str">
        <f t="shared" si="4"/>
        <v>SELECT 82, 50, 2, 5 UNION ALL</v>
      </c>
      <c r="R22" s="6" t="str">
        <f t="shared" si="5"/>
        <v>SELECT 83, 50, 3, 14 UNION ALL</v>
      </c>
      <c r="S22" s="6" t="str">
        <f t="shared" si="6"/>
        <v>SELECT 84, 50, 7, 15 UNION ALL</v>
      </c>
      <c r="V22" s="6" t="str">
        <f t="shared" si="19"/>
        <v/>
      </c>
      <c r="W22" s="6" t="str">
        <f t="shared" si="7"/>
        <v>Czechy</v>
      </c>
      <c r="Y22" s="6" t="s">
        <v>245</v>
      </c>
      <c r="Z22" s="6" t="s">
        <v>2680</v>
      </c>
      <c r="AA22" s="6" t="s">
        <v>2681</v>
      </c>
      <c r="AB22" s="6" t="s">
        <v>245</v>
      </c>
      <c r="AC22" s="6" t="s">
        <v>2682</v>
      </c>
      <c r="AD22" s="6" t="s">
        <v>2683</v>
      </c>
      <c r="AE22" s="6" t="s">
        <v>245</v>
      </c>
      <c r="AM22" s="6" t="s">
        <v>2684</v>
      </c>
      <c r="AN22" s="6" t="s">
        <v>2685</v>
      </c>
    </row>
    <row r="23" spans="1:40">
      <c r="A23" s="6">
        <v>51</v>
      </c>
      <c r="B23" s="6">
        <v>24</v>
      </c>
      <c r="C23" s="6">
        <v>1</v>
      </c>
      <c r="D23" s="6" t="s">
        <v>246</v>
      </c>
      <c r="E23" s="6">
        <v>10</v>
      </c>
      <c r="F23" s="6">
        <v>1</v>
      </c>
      <c r="H23" s="6" t="str">
        <f t="shared" si="2"/>
        <v>SELECT 51, 24, 1, 'Dania', 10, 1 UNION ALL</v>
      </c>
      <c r="K23">
        <v>2</v>
      </c>
      <c r="L23" s="6">
        <v>4</v>
      </c>
      <c r="M23" s="6">
        <v>14</v>
      </c>
      <c r="N23" s="6">
        <v>15</v>
      </c>
      <c r="P23" s="6" t="str">
        <f t="shared" si="3"/>
        <v>SELECT 85, 51, 1, 2 UNION ALL</v>
      </c>
      <c r="Q23" s="6" t="str">
        <f t="shared" si="4"/>
        <v>SELECT 86, 51, 2, 4 UNION ALL</v>
      </c>
      <c r="R23" s="6" t="str">
        <f t="shared" si="5"/>
        <v>SELECT 87, 51, 3, 14 UNION ALL</v>
      </c>
      <c r="S23" s="6" t="str">
        <f t="shared" si="6"/>
        <v>SELECT 88, 51, 7, 15 UNION ALL</v>
      </c>
      <c r="V23" s="6" t="str">
        <f t="shared" si="8"/>
        <v>ia</v>
      </c>
      <c r="W23" s="6" t="str">
        <f t="shared" si="7"/>
        <v>Dan</v>
      </c>
      <c r="Y23" s="6" t="str">
        <f t="shared" ref="Y23:Y25" si="20">W23&amp;V23</f>
        <v>Dania</v>
      </c>
      <c r="Z23" s="6" t="str">
        <f t="shared" ref="Z23:Z25" si="21">W23&amp;"ii"</f>
        <v>Danii</v>
      </c>
      <c r="AA23" s="6" t="str">
        <f t="shared" ref="AA23:AA25" si="22">W23&amp;"ii"</f>
        <v>Danii</v>
      </c>
      <c r="AB23" s="6" t="str">
        <f t="shared" ref="AB23:AB25" si="23">W23&amp;"ię"</f>
        <v>Danię</v>
      </c>
      <c r="AC23" s="6" t="str">
        <f t="shared" ref="AC23:AC25" si="24">"z "&amp;W23&amp;"ią"</f>
        <v>z Danią</v>
      </c>
      <c r="AD23" s="6" t="str">
        <f>""&amp;W23&amp;"ii"</f>
        <v>Danii</v>
      </c>
      <c r="AE23" s="6" t="str">
        <f t="shared" ref="AE23:AE25" si="25">W23&amp;"io"</f>
        <v>Danio</v>
      </c>
      <c r="AF23" s="6"/>
      <c r="AG23" s="6"/>
      <c r="AH23" s="6"/>
      <c r="AI23" s="6"/>
      <c r="AJ23" s="6"/>
      <c r="AK23" s="6"/>
      <c r="AL23" s="6"/>
      <c r="AM23" s="6" t="str">
        <f t="shared" ref="AM23:AM25" si="26">"do "&amp;W23&amp;"ii"</f>
        <v>do Danii</v>
      </c>
      <c r="AN23" s="6" t="str">
        <f t="shared" ref="AN23:AN25" si="27">"w "&amp;W23&amp;"ii"</f>
        <v>w Danii</v>
      </c>
    </row>
    <row r="24" spans="1:40">
      <c r="A24" s="6">
        <v>52</v>
      </c>
      <c r="B24" s="6">
        <v>25</v>
      </c>
      <c r="C24" s="6">
        <v>1</v>
      </c>
      <c r="D24" s="6" t="s">
        <v>247</v>
      </c>
      <c r="E24" s="6">
        <v>10</v>
      </c>
      <c r="F24" s="6">
        <v>1</v>
      </c>
      <c r="H24" s="6" t="str">
        <f t="shared" si="2"/>
        <v>SELECT 52, 25, 1, 'Estonia', 10, 1 UNION ALL</v>
      </c>
      <c r="K24">
        <v>2</v>
      </c>
      <c r="L24" s="6">
        <v>4</v>
      </c>
      <c r="M24" s="6">
        <v>14</v>
      </c>
      <c r="N24" s="6">
        <v>15</v>
      </c>
      <c r="P24" s="6" t="str">
        <f t="shared" si="3"/>
        <v>SELECT 89, 52, 1, 2 UNION ALL</v>
      </c>
      <c r="Q24" s="6" t="str">
        <f t="shared" si="4"/>
        <v>SELECT 90, 52, 2, 4 UNION ALL</v>
      </c>
      <c r="R24" s="6" t="str">
        <f t="shared" si="5"/>
        <v>SELECT 91, 52, 3, 14 UNION ALL</v>
      </c>
      <c r="S24" s="6" t="str">
        <f t="shared" si="6"/>
        <v>SELECT 92, 52, 7, 15 UNION ALL</v>
      </c>
      <c r="V24" s="6" t="str">
        <f t="shared" si="8"/>
        <v>ia</v>
      </c>
      <c r="W24" s="6" t="str">
        <f t="shared" si="7"/>
        <v>Eston</v>
      </c>
      <c r="Y24" s="6" t="str">
        <f t="shared" si="20"/>
        <v>Estonia</v>
      </c>
      <c r="Z24" s="6" t="str">
        <f t="shared" si="21"/>
        <v>Estonii</v>
      </c>
      <c r="AA24" s="6" t="str">
        <f t="shared" si="22"/>
        <v>Estonii</v>
      </c>
      <c r="AB24" s="6" t="str">
        <f t="shared" si="23"/>
        <v>Estonię</v>
      </c>
      <c r="AC24" s="6" t="str">
        <f t="shared" si="24"/>
        <v>z Estonią</v>
      </c>
      <c r="AD24" s="6" t="str">
        <f>""&amp;W24&amp;"ii"</f>
        <v>Estonii</v>
      </c>
      <c r="AE24" s="6" t="str">
        <f t="shared" si="25"/>
        <v>Estonio</v>
      </c>
      <c r="AF24" s="6"/>
      <c r="AG24" s="6"/>
      <c r="AH24" s="6"/>
      <c r="AI24" s="6"/>
      <c r="AJ24" s="6"/>
      <c r="AK24" s="6"/>
      <c r="AL24" s="6"/>
      <c r="AM24" s="6" t="str">
        <f t="shared" si="26"/>
        <v>do Estonii</v>
      </c>
      <c r="AN24" s="6" t="str">
        <f t="shared" si="27"/>
        <v>w Estonii</v>
      </c>
    </row>
    <row r="25" spans="1:40">
      <c r="A25" s="6">
        <v>53</v>
      </c>
      <c r="B25" s="6">
        <v>26</v>
      </c>
      <c r="C25" s="6">
        <v>1</v>
      </c>
      <c r="D25" s="6" t="s">
        <v>248</v>
      </c>
      <c r="E25" s="6">
        <v>10</v>
      </c>
      <c r="F25" s="6">
        <v>1</v>
      </c>
      <c r="H25" s="6" t="str">
        <f t="shared" si="2"/>
        <v>SELECT 53, 26, 1, 'Finlandia', 10, 1 UNION ALL</v>
      </c>
      <c r="K25">
        <v>2</v>
      </c>
      <c r="L25" s="6">
        <v>4</v>
      </c>
      <c r="M25" s="6">
        <v>14</v>
      </c>
      <c r="N25" s="6">
        <v>15</v>
      </c>
      <c r="P25" s="6" t="str">
        <f t="shared" si="3"/>
        <v>SELECT 93, 53, 1, 2 UNION ALL</v>
      </c>
      <c r="Q25" s="6" t="str">
        <f t="shared" si="4"/>
        <v>SELECT 94, 53, 2, 4 UNION ALL</v>
      </c>
      <c r="R25" s="6" t="str">
        <f t="shared" si="5"/>
        <v>SELECT 95, 53, 3, 14 UNION ALL</v>
      </c>
      <c r="S25" s="6" t="str">
        <f t="shared" si="6"/>
        <v>SELECT 96, 53, 7, 15 UNION ALL</v>
      </c>
      <c r="V25" s="6" t="str">
        <f t="shared" si="8"/>
        <v>ia</v>
      </c>
      <c r="W25" s="6" t="str">
        <f t="shared" si="7"/>
        <v>Finland</v>
      </c>
      <c r="Y25" s="6" t="str">
        <f t="shared" si="20"/>
        <v>Finlandia</v>
      </c>
      <c r="Z25" s="6" t="str">
        <f t="shared" si="21"/>
        <v>Finlandii</v>
      </c>
      <c r="AA25" s="6" t="str">
        <f t="shared" si="22"/>
        <v>Finlandii</v>
      </c>
      <c r="AB25" s="6" t="str">
        <f t="shared" si="23"/>
        <v>Finlandię</v>
      </c>
      <c r="AC25" s="6" t="str">
        <f t="shared" si="24"/>
        <v>z Finlandią</v>
      </c>
      <c r="AD25" s="6" t="str">
        <f>""&amp;W25&amp;"ii"</f>
        <v>Finlandii</v>
      </c>
      <c r="AE25" s="6" t="str">
        <f t="shared" si="25"/>
        <v>Finlandio</v>
      </c>
      <c r="AF25" s="6"/>
      <c r="AG25" s="6"/>
      <c r="AH25" s="6"/>
      <c r="AI25" s="6"/>
      <c r="AJ25" s="6"/>
      <c r="AK25" s="6"/>
      <c r="AL25" s="6"/>
      <c r="AM25" s="6" t="str">
        <f t="shared" si="26"/>
        <v>do Finlandii</v>
      </c>
      <c r="AN25" s="6" t="str">
        <f t="shared" si="27"/>
        <v>w Finlandii</v>
      </c>
    </row>
    <row r="26" spans="1:40">
      <c r="A26" s="6">
        <v>54</v>
      </c>
      <c r="B26" s="6">
        <v>27</v>
      </c>
      <c r="C26" s="6">
        <v>1</v>
      </c>
      <c r="D26" s="6" t="s">
        <v>249</v>
      </c>
      <c r="E26" s="6">
        <v>10</v>
      </c>
      <c r="F26" s="6">
        <v>1</v>
      </c>
      <c r="H26" s="6" t="str">
        <f t="shared" si="2"/>
        <v>SELECT 54, 27, 1, 'Gruzja', 10, 1 UNION ALL</v>
      </c>
      <c r="K26">
        <v>2</v>
      </c>
      <c r="L26" s="6">
        <v>4</v>
      </c>
      <c r="M26" s="6">
        <v>14</v>
      </c>
      <c r="N26" s="6">
        <v>15</v>
      </c>
      <c r="P26" s="6" t="str">
        <f t="shared" si="3"/>
        <v>SELECT 97, 54, 1, 2 UNION ALL</v>
      </c>
      <c r="Q26" s="6" t="str">
        <f t="shared" si="4"/>
        <v>SELECT 98, 54, 2, 4 UNION ALL</v>
      </c>
      <c r="R26" s="6" t="str">
        <f t="shared" si="5"/>
        <v>SELECT 99, 54, 3, 14 UNION ALL</v>
      </c>
      <c r="S26" s="6" t="str">
        <f t="shared" si="6"/>
        <v>SELECT 100, 54, 7, 15 UNION ALL</v>
      </c>
      <c r="V26" s="6" t="str">
        <f t="shared" ref="V26:V27" si="28">IF(RIGHT(D26,2)="ja","ja","")</f>
        <v>ja</v>
      </c>
      <c r="W26" s="6" t="str">
        <f t="shared" si="7"/>
        <v>Gruz</v>
      </c>
      <c r="Y26" s="6" t="str">
        <f t="shared" ref="Y26:Y27" si="29">W26&amp;"ja"</f>
        <v>Gruzja</v>
      </c>
      <c r="Z26" s="6" t="str">
        <f t="shared" ref="Z26:Z27" si="30">W26&amp;"ji"</f>
        <v>Gruzji</v>
      </c>
      <c r="AA26" s="6" t="str">
        <f t="shared" ref="AA26:AA27" si="31">W26&amp;"ji"</f>
        <v>Gruzji</v>
      </c>
      <c r="AB26" s="6" t="str">
        <f t="shared" ref="AB26:AB27" si="32">W26&amp;"ję"</f>
        <v>Gruzję</v>
      </c>
      <c r="AC26" s="6" t="str">
        <f t="shared" ref="AC26:AC27" si="33">"z "&amp;W26&amp;"ją"</f>
        <v>z Gruzją</v>
      </c>
      <c r="AD26" s="6" t="str">
        <f t="shared" ref="AD26:AD27" si="34">W26&amp;"ji"</f>
        <v>Gruzji</v>
      </c>
      <c r="AE26" s="6" t="str">
        <f t="shared" ref="AE26:AE27" si="35">W26&amp;"jo"</f>
        <v>Gruzjo</v>
      </c>
      <c r="AF26" s="6"/>
      <c r="AG26" s="6"/>
      <c r="AH26" s="6"/>
      <c r="AI26" s="6"/>
      <c r="AJ26" s="6"/>
      <c r="AK26" s="6"/>
      <c r="AL26" s="6"/>
      <c r="AM26" s="6" t="str">
        <f t="shared" ref="AM26:AM27" si="36">"do "&amp;W26&amp;"ji"</f>
        <v>do Gruzji</v>
      </c>
      <c r="AN26" s="6" t="str">
        <f t="shared" ref="AN26:AN27" si="37">"w "&amp;W26&amp;"ji"</f>
        <v>w Gruzji</v>
      </c>
    </row>
    <row r="27" spans="1:40">
      <c r="A27" s="6">
        <v>55</v>
      </c>
      <c r="B27" s="6">
        <v>28</v>
      </c>
      <c r="C27" s="6">
        <v>1</v>
      </c>
      <c r="D27" s="6" t="s">
        <v>250</v>
      </c>
      <c r="E27" s="6">
        <v>10</v>
      </c>
      <c r="F27" s="6">
        <v>1</v>
      </c>
      <c r="H27" s="6" t="str">
        <f t="shared" si="2"/>
        <v>SELECT 55, 28, 1, 'Grecja', 10, 1 UNION ALL</v>
      </c>
      <c r="K27">
        <v>2</v>
      </c>
      <c r="L27" s="6">
        <v>4</v>
      </c>
      <c r="M27" s="6">
        <v>14</v>
      </c>
      <c r="N27" s="6">
        <v>15</v>
      </c>
      <c r="P27" s="6" t="str">
        <f t="shared" si="3"/>
        <v>SELECT 101, 55, 1, 2 UNION ALL</v>
      </c>
      <c r="Q27" s="6" t="str">
        <f t="shared" si="4"/>
        <v>SELECT 102, 55, 2, 4 UNION ALL</v>
      </c>
      <c r="R27" s="6" t="str">
        <f t="shared" si="5"/>
        <v>SELECT 103, 55, 3, 14 UNION ALL</v>
      </c>
      <c r="S27" s="6" t="str">
        <f t="shared" si="6"/>
        <v>SELECT 104, 55, 7, 15 UNION ALL</v>
      </c>
      <c r="V27" s="6" t="str">
        <f t="shared" si="28"/>
        <v>ja</v>
      </c>
      <c r="W27" s="6" t="str">
        <f t="shared" si="7"/>
        <v>Grec</v>
      </c>
      <c r="Y27" s="6" t="str">
        <f t="shared" si="29"/>
        <v>Grecja</v>
      </c>
      <c r="Z27" s="6" t="str">
        <f t="shared" si="30"/>
        <v>Grecji</v>
      </c>
      <c r="AA27" s="6" t="str">
        <f t="shared" si="31"/>
        <v>Grecji</v>
      </c>
      <c r="AB27" s="6" t="str">
        <f t="shared" si="32"/>
        <v>Grecję</v>
      </c>
      <c r="AC27" s="6" t="str">
        <f t="shared" si="33"/>
        <v>z Grecją</v>
      </c>
      <c r="AD27" s="6" t="str">
        <f t="shared" si="34"/>
        <v>Grecji</v>
      </c>
      <c r="AE27" s="6" t="str">
        <f t="shared" si="35"/>
        <v>Grecjo</v>
      </c>
      <c r="AF27" s="6"/>
      <c r="AG27" s="6"/>
      <c r="AH27" s="6"/>
      <c r="AI27" s="6"/>
      <c r="AJ27" s="6"/>
      <c r="AK27" s="6"/>
      <c r="AL27" s="6"/>
      <c r="AM27" s="6" t="str">
        <f t="shared" si="36"/>
        <v>do Grecji</v>
      </c>
      <c r="AN27" s="6" t="str">
        <f t="shared" si="37"/>
        <v>w Grecji</v>
      </c>
    </row>
    <row r="28" spans="1:40">
      <c r="A28" s="6">
        <v>56</v>
      </c>
      <c r="B28" s="6">
        <v>29</v>
      </c>
      <c r="C28" s="6">
        <v>1</v>
      </c>
      <c r="D28" s="6" t="s">
        <v>251</v>
      </c>
      <c r="E28" s="6">
        <v>10</v>
      </c>
      <c r="F28" s="6">
        <v>1</v>
      </c>
      <c r="H28" s="6" t="str">
        <f t="shared" si="2"/>
        <v>SELECT 56, 29, 1, 'Węgry', 10, 1 UNION ALL</v>
      </c>
      <c r="K28">
        <v>1</v>
      </c>
      <c r="L28">
        <v>5</v>
      </c>
      <c r="M28" s="6">
        <v>14</v>
      </c>
      <c r="N28" s="6">
        <v>15</v>
      </c>
      <c r="P28" s="6" t="str">
        <f t="shared" si="3"/>
        <v>SELECT 105, 56, 1, 1 UNION ALL</v>
      </c>
      <c r="Q28" s="6" t="str">
        <f t="shared" si="4"/>
        <v>SELECT 106, 56, 2, 5 UNION ALL</v>
      </c>
      <c r="R28" s="6" t="str">
        <f t="shared" si="5"/>
        <v>SELECT 107, 56, 3, 14 UNION ALL</v>
      </c>
      <c r="S28" s="6" t="str">
        <f t="shared" si="6"/>
        <v>SELECT 108, 56, 7, 15 UNION ALL</v>
      </c>
      <c r="V28" s="6" t="str">
        <f>IF(RIGHT(D28,4)="stan","stan","")</f>
        <v/>
      </c>
      <c r="W28" s="6" t="str">
        <f t="shared" si="7"/>
        <v>Węgry</v>
      </c>
      <c r="Y28" s="6" t="s">
        <v>251</v>
      </c>
      <c r="Z28" s="6" t="s">
        <v>2686</v>
      </c>
      <c r="AA28" s="6" t="s">
        <v>2687</v>
      </c>
      <c r="AB28" s="6" t="s">
        <v>251</v>
      </c>
      <c r="AC28" s="6" t="s">
        <v>2688</v>
      </c>
      <c r="AD28" s="6" t="s">
        <v>2689</v>
      </c>
      <c r="AE28" s="6" t="s">
        <v>251</v>
      </c>
      <c r="AM28" s="6" t="s">
        <v>2690</v>
      </c>
      <c r="AN28" s="6" t="s">
        <v>2691</v>
      </c>
    </row>
    <row r="29" spans="1:40">
      <c r="A29" s="6">
        <v>57</v>
      </c>
      <c r="B29" s="6">
        <v>30</v>
      </c>
      <c r="C29" s="6">
        <v>1</v>
      </c>
      <c r="D29" s="6" t="s">
        <v>252</v>
      </c>
      <c r="E29" s="6">
        <v>10</v>
      </c>
      <c r="F29" s="6">
        <v>1</v>
      </c>
      <c r="H29" s="6" t="str">
        <f t="shared" si="2"/>
        <v>SELECT 57, 30, 1, 'Islandia', 10, 1 UNION ALL</v>
      </c>
      <c r="K29">
        <v>2</v>
      </c>
      <c r="L29" s="6">
        <v>4</v>
      </c>
      <c r="M29" s="6">
        <v>14</v>
      </c>
      <c r="N29" s="6">
        <v>15</v>
      </c>
      <c r="P29" s="6" t="str">
        <f t="shared" si="3"/>
        <v>SELECT 109, 57, 1, 2 UNION ALL</v>
      </c>
      <c r="Q29" s="6" t="str">
        <f t="shared" si="4"/>
        <v>SELECT 110, 57, 2, 4 UNION ALL</v>
      </c>
      <c r="R29" s="6" t="str">
        <f t="shared" si="5"/>
        <v>SELECT 111, 57, 3, 14 UNION ALL</v>
      </c>
      <c r="S29" s="6" t="str">
        <f t="shared" si="6"/>
        <v>SELECT 112, 57, 7, 15 UNION ALL</v>
      </c>
      <c r="V29" s="6" t="str">
        <f t="shared" si="8"/>
        <v>ia</v>
      </c>
      <c r="W29" s="6" t="str">
        <f t="shared" si="7"/>
        <v>Island</v>
      </c>
      <c r="Y29" s="6" t="str">
        <f t="shared" ref="Y29:Y30" si="38">W29&amp;V29</f>
        <v>Islandia</v>
      </c>
      <c r="Z29" s="6" t="str">
        <f t="shared" ref="Z29:Z30" si="39">W29&amp;"ii"</f>
        <v>Islandii</v>
      </c>
      <c r="AA29" s="6" t="str">
        <f t="shared" ref="AA29:AA30" si="40">W29&amp;"ii"</f>
        <v>Islandii</v>
      </c>
      <c r="AB29" s="6" t="str">
        <f t="shared" ref="AB29:AB30" si="41">W29&amp;"ię"</f>
        <v>Islandię</v>
      </c>
      <c r="AC29" s="6" t="str">
        <f t="shared" ref="AC29:AC30" si="42">"z "&amp;W29&amp;"ią"</f>
        <v>z Islandią</v>
      </c>
      <c r="AD29" s="6" t="str">
        <f>""&amp;W29&amp;"ii"</f>
        <v>Islandii</v>
      </c>
      <c r="AE29" s="6" t="str">
        <f t="shared" ref="AE29:AE30" si="43">W29&amp;"io"</f>
        <v>Islandio</v>
      </c>
      <c r="AF29" s="6"/>
      <c r="AG29" s="6"/>
      <c r="AH29" s="6"/>
      <c r="AI29" s="6"/>
      <c r="AJ29" s="6"/>
      <c r="AK29" s="6"/>
      <c r="AL29" s="6"/>
      <c r="AM29" s="6" t="s">
        <v>2637</v>
      </c>
      <c r="AN29" s="6" t="s">
        <v>2638</v>
      </c>
    </row>
    <row r="30" spans="1:40">
      <c r="A30" s="6">
        <v>58</v>
      </c>
      <c r="B30" s="6">
        <v>31</v>
      </c>
      <c r="C30" s="6">
        <v>1</v>
      </c>
      <c r="D30" s="6" t="s">
        <v>253</v>
      </c>
      <c r="E30" s="6">
        <v>10</v>
      </c>
      <c r="F30" s="6">
        <v>1</v>
      </c>
      <c r="H30" s="6" t="str">
        <f t="shared" si="2"/>
        <v>SELECT 58, 31, 1, 'Irlandia', 10, 1 UNION ALL</v>
      </c>
      <c r="K30">
        <v>2</v>
      </c>
      <c r="L30" s="6">
        <v>4</v>
      </c>
      <c r="M30" s="6">
        <v>14</v>
      </c>
      <c r="N30" s="6">
        <v>15</v>
      </c>
      <c r="P30" s="6" t="str">
        <f t="shared" si="3"/>
        <v>SELECT 113, 58, 1, 2 UNION ALL</v>
      </c>
      <c r="Q30" s="6" t="str">
        <f t="shared" si="4"/>
        <v>SELECT 114, 58, 2, 4 UNION ALL</v>
      </c>
      <c r="R30" s="6" t="str">
        <f t="shared" si="5"/>
        <v>SELECT 115, 58, 3, 14 UNION ALL</v>
      </c>
      <c r="S30" s="6" t="str">
        <f t="shared" si="6"/>
        <v>SELECT 116, 58, 7, 15 UNION ALL</v>
      </c>
      <c r="V30" s="6" t="str">
        <f t="shared" si="8"/>
        <v>ia</v>
      </c>
      <c r="W30" s="6" t="str">
        <f t="shared" si="7"/>
        <v>Irland</v>
      </c>
      <c r="Y30" s="6" t="str">
        <f t="shared" si="38"/>
        <v>Irlandia</v>
      </c>
      <c r="Z30" s="6" t="str">
        <f t="shared" si="39"/>
        <v>Irlandii</v>
      </c>
      <c r="AA30" s="6" t="str">
        <f t="shared" si="40"/>
        <v>Irlandii</v>
      </c>
      <c r="AB30" s="6" t="str">
        <f t="shared" si="41"/>
        <v>Irlandię</v>
      </c>
      <c r="AC30" s="6" t="str">
        <f t="shared" si="42"/>
        <v>z Irlandią</v>
      </c>
      <c r="AD30" s="6" t="str">
        <f>""&amp;W30&amp;"ii"</f>
        <v>Irlandii</v>
      </c>
      <c r="AE30" s="6" t="str">
        <f t="shared" si="43"/>
        <v>Irlandio</v>
      </c>
      <c r="AF30" s="6"/>
      <c r="AG30" s="6"/>
      <c r="AH30" s="6"/>
      <c r="AI30" s="6"/>
      <c r="AJ30" s="6"/>
      <c r="AK30" s="6"/>
      <c r="AL30" s="6"/>
      <c r="AM30" s="6" t="str">
        <f t="shared" ref="AM30" si="44">"do "&amp;W30&amp;"ii"</f>
        <v>do Irlandii</v>
      </c>
      <c r="AN30" s="6" t="str">
        <f t="shared" ref="AN30" si="45">"w "&amp;W30&amp;"ii"</f>
        <v>w Irlandii</v>
      </c>
    </row>
    <row r="31" spans="1:40">
      <c r="A31" s="6">
        <v>59</v>
      </c>
      <c r="B31" s="6">
        <v>32</v>
      </c>
      <c r="C31" s="6">
        <v>1</v>
      </c>
      <c r="D31" s="6" t="s">
        <v>254</v>
      </c>
      <c r="E31" s="6">
        <v>10</v>
      </c>
      <c r="F31" s="6">
        <v>1</v>
      </c>
      <c r="H31" s="6" t="str">
        <f t="shared" si="2"/>
        <v>SELECT 59, 32, 1, 'Kazachstan', 10, 1 UNION ALL</v>
      </c>
      <c r="K31">
        <v>1</v>
      </c>
      <c r="L31" s="6">
        <v>4</v>
      </c>
      <c r="M31" s="6">
        <v>14</v>
      </c>
      <c r="N31" s="6">
        <v>15</v>
      </c>
      <c r="P31" s="6" t="str">
        <f t="shared" si="3"/>
        <v>SELECT 117, 59, 1, 1 UNION ALL</v>
      </c>
      <c r="Q31" s="6" t="str">
        <f t="shared" si="4"/>
        <v>SELECT 118, 59, 2, 4 UNION ALL</v>
      </c>
      <c r="R31" s="6" t="str">
        <f t="shared" si="5"/>
        <v>SELECT 119, 59, 3, 14 UNION ALL</v>
      </c>
      <c r="S31" s="6" t="str">
        <f t="shared" si="6"/>
        <v>SELECT 120, 59, 7, 15 UNION ALL</v>
      </c>
      <c r="V31" s="6" t="str">
        <f t="shared" ref="V31:V35" si="46">IF(RIGHT(D31,4)="stan","stan","")</f>
        <v>stan</v>
      </c>
      <c r="W31" s="6" t="str">
        <f t="shared" si="7"/>
        <v>Kazach</v>
      </c>
      <c r="Y31" t="str">
        <f>W31&amp;"stan"</f>
        <v>Kazachstan</v>
      </c>
      <c r="Z31" t="str">
        <f>W31&amp;"stanu"</f>
        <v>Kazachstanu</v>
      </c>
      <c r="AA31" t="str">
        <f>W31&amp;"stanowi"</f>
        <v>Kazachstanowi</v>
      </c>
      <c r="AB31" t="str">
        <f>W31&amp;"stan"</f>
        <v>Kazachstan</v>
      </c>
      <c r="AC31" t="str">
        <f>"z "&amp;W31&amp;"stanem"</f>
        <v>z Kazachstanem</v>
      </c>
      <c r="AD31" t="str">
        <f>W31&amp;"stanie"</f>
        <v>Kazachstanie</v>
      </c>
      <c r="AE31" t="str">
        <f>W31&amp;"stanie"</f>
        <v>Kazachstanie</v>
      </c>
      <c r="AM31" t="str">
        <f>"do "&amp;W31&amp;"stanu"</f>
        <v>do Kazachstanu</v>
      </c>
      <c r="AN31" t="str">
        <f>"w "&amp;W31&amp;"stanie"</f>
        <v>w Kazachstanie</v>
      </c>
    </row>
    <row r="32" spans="1:40">
      <c r="A32" s="6">
        <v>60</v>
      </c>
      <c r="B32" s="6">
        <v>33</v>
      </c>
      <c r="C32" s="6">
        <v>1</v>
      </c>
      <c r="D32" s="6" t="s">
        <v>255</v>
      </c>
      <c r="E32" s="6">
        <v>10</v>
      </c>
      <c r="F32" s="6">
        <v>1</v>
      </c>
      <c r="H32" s="6" t="str">
        <f t="shared" si="2"/>
        <v>SELECT 60, 33, 1, 'Łotwa', 10, 1 UNION ALL</v>
      </c>
      <c r="K32">
        <v>2</v>
      </c>
      <c r="L32" s="6">
        <v>4</v>
      </c>
      <c r="M32" s="6">
        <v>14</v>
      </c>
      <c r="N32" s="6">
        <v>15</v>
      </c>
      <c r="P32" s="6" t="str">
        <f t="shared" si="3"/>
        <v>SELECT 121, 60, 1, 2 UNION ALL</v>
      </c>
      <c r="Q32" s="6" t="str">
        <f t="shared" si="4"/>
        <v>SELECT 122, 60, 2, 4 UNION ALL</v>
      </c>
      <c r="R32" s="6" t="str">
        <f t="shared" si="5"/>
        <v>SELECT 123, 60, 3, 14 UNION ALL</v>
      </c>
      <c r="S32" s="6" t="str">
        <f t="shared" si="6"/>
        <v>SELECT 124, 60, 7, 15 UNION ALL</v>
      </c>
      <c r="V32" s="6" t="str">
        <f t="shared" si="46"/>
        <v/>
      </c>
      <c r="W32" s="6" t="str">
        <f t="shared" si="7"/>
        <v>Łotwa</v>
      </c>
      <c r="Y32" s="6" t="s">
        <v>255</v>
      </c>
      <c r="Z32" s="6" t="s">
        <v>2692</v>
      </c>
      <c r="AA32" s="6" t="s">
        <v>2693</v>
      </c>
      <c r="AB32" s="6" t="s">
        <v>2694</v>
      </c>
      <c r="AC32" s="6" t="s">
        <v>2695</v>
      </c>
      <c r="AD32" s="6" t="s">
        <v>2693</v>
      </c>
      <c r="AE32" s="6" t="s">
        <v>2696</v>
      </c>
      <c r="AM32" s="6" t="s">
        <v>2697</v>
      </c>
      <c r="AN32" s="6" t="s">
        <v>2698</v>
      </c>
    </row>
    <row r="33" spans="1:40">
      <c r="A33" s="6">
        <v>61</v>
      </c>
      <c r="B33" s="6">
        <v>34</v>
      </c>
      <c r="C33" s="6">
        <v>1</v>
      </c>
      <c r="D33" s="6" t="s">
        <v>256</v>
      </c>
      <c r="E33" s="6">
        <v>10</v>
      </c>
      <c r="F33" s="6">
        <v>1</v>
      </c>
      <c r="H33" s="6" t="str">
        <f t="shared" si="2"/>
        <v>SELECT 61, 34, 1, 'Liechtenstein', 10, 1 UNION ALL</v>
      </c>
      <c r="K33">
        <v>1</v>
      </c>
      <c r="L33" s="6">
        <v>4</v>
      </c>
      <c r="M33" s="6">
        <v>14</v>
      </c>
      <c r="N33" s="6">
        <v>15</v>
      </c>
      <c r="P33" s="6" t="str">
        <f t="shared" si="3"/>
        <v>SELECT 125, 61, 1, 1 UNION ALL</v>
      </c>
      <c r="Q33" s="6" t="str">
        <f t="shared" si="4"/>
        <v>SELECT 126, 61, 2, 4 UNION ALL</v>
      </c>
      <c r="R33" s="6" t="str">
        <f t="shared" si="5"/>
        <v>SELECT 127, 61, 3, 14 UNION ALL</v>
      </c>
      <c r="S33" s="6" t="str">
        <f t="shared" si="6"/>
        <v>SELECT 128, 61, 7, 15 UNION ALL</v>
      </c>
      <c r="V33" s="6" t="str">
        <f t="shared" si="46"/>
        <v/>
      </c>
      <c r="W33" s="6" t="str">
        <f t="shared" si="7"/>
        <v>Liechtenstein</v>
      </c>
      <c r="Y33" s="6" t="s">
        <v>256</v>
      </c>
      <c r="Z33" s="6" t="s">
        <v>2699</v>
      </c>
      <c r="AA33" s="6" t="s">
        <v>2700</v>
      </c>
      <c r="AB33" s="6" t="s">
        <v>256</v>
      </c>
      <c r="AC33" s="6" t="s">
        <v>2701</v>
      </c>
      <c r="AD33" s="6" t="s">
        <v>2702</v>
      </c>
      <c r="AE33" s="6" t="s">
        <v>2702</v>
      </c>
      <c r="AM33" s="6" t="s">
        <v>2703</v>
      </c>
      <c r="AN33" s="6" t="s">
        <v>2704</v>
      </c>
    </row>
    <row r="34" spans="1:40">
      <c r="A34" s="6">
        <v>62</v>
      </c>
      <c r="B34" s="6">
        <v>35</v>
      </c>
      <c r="C34" s="6">
        <v>1</v>
      </c>
      <c r="D34" s="6" t="s">
        <v>257</v>
      </c>
      <c r="E34" s="6">
        <v>10</v>
      </c>
      <c r="F34" s="6">
        <v>1</v>
      </c>
      <c r="H34" s="6" t="str">
        <f t="shared" si="2"/>
        <v>SELECT 62, 35, 1, 'Litwa', 10, 1 UNION ALL</v>
      </c>
      <c r="K34">
        <v>2</v>
      </c>
      <c r="L34" s="6">
        <v>4</v>
      </c>
      <c r="M34" s="6">
        <v>14</v>
      </c>
      <c r="N34" s="6">
        <v>15</v>
      </c>
      <c r="P34" s="6" t="str">
        <f t="shared" si="3"/>
        <v>SELECT 129, 62, 1, 2 UNION ALL</v>
      </c>
      <c r="Q34" s="6" t="str">
        <f t="shared" si="4"/>
        <v>SELECT 130, 62, 2, 4 UNION ALL</v>
      </c>
      <c r="R34" s="6" t="str">
        <f t="shared" si="5"/>
        <v>SELECT 131, 62, 3, 14 UNION ALL</v>
      </c>
      <c r="S34" s="6" t="str">
        <f t="shared" si="6"/>
        <v>SELECT 132, 62, 7, 15 UNION ALL</v>
      </c>
      <c r="V34" s="6" t="str">
        <f t="shared" si="46"/>
        <v/>
      </c>
      <c r="W34" s="6" t="str">
        <f t="shared" si="7"/>
        <v>Litwa</v>
      </c>
      <c r="Y34" s="6" t="s">
        <v>257</v>
      </c>
      <c r="Z34" s="6" t="s">
        <v>2705</v>
      </c>
      <c r="AA34" s="6" t="s">
        <v>2706</v>
      </c>
      <c r="AB34" s="6" t="s">
        <v>2707</v>
      </c>
      <c r="AC34" s="6" t="s">
        <v>2708</v>
      </c>
      <c r="AD34" s="6" t="s">
        <v>2706</v>
      </c>
      <c r="AE34" s="6" t="s">
        <v>2709</v>
      </c>
      <c r="AM34" s="6" t="s">
        <v>2710</v>
      </c>
      <c r="AN34" s="6" t="s">
        <v>2711</v>
      </c>
    </row>
    <row r="35" spans="1:40">
      <c r="A35" s="6">
        <v>63</v>
      </c>
      <c r="B35" s="6">
        <v>36</v>
      </c>
      <c r="C35" s="6">
        <v>1</v>
      </c>
      <c r="D35" s="6" t="s">
        <v>258</v>
      </c>
      <c r="E35" s="6">
        <v>10</v>
      </c>
      <c r="F35" s="6">
        <v>1</v>
      </c>
      <c r="H35" s="6" t="str">
        <f t="shared" si="2"/>
        <v>SELECT 63, 36, 1, 'Luksemburg', 10, 1 UNION ALL</v>
      </c>
      <c r="K35">
        <v>1</v>
      </c>
      <c r="L35" s="6">
        <v>4</v>
      </c>
      <c r="M35" s="6">
        <v>14</v>
      </c>
      <c r="N35" s="6">
        <v>15</v>
      </c>
      <c r="P35" s="6" t="str">
        <f t="shared" si="3"/>
        <v>SELECT 133, 63, 1, 1 UNION ALL</v>
      </c>
      <c r="Q35" s="6" t="str">
        <f t="shared" si="4"/>
        <v>SELECT 134, 63, 2, 4 UNION ALL</v>
      </c>
      <c r="R35" s="6" t="str">
        <f t="shared" si="5"/>
        <v>SELECT 135, 63, 3, 14 UNION ALL</v>
      </c>
      <c r="S35" s="6" t="str">
        <f t="shared" si="6"/>
        <v>SELECT 136, 63, 7, 15 UNION ALL</v>
      </c>
      <c r="V35" s="6" t="str">
        <f t="shared" si="46"/>
        <v/>
      </c>
      <c r="W35" s="6" t="str">
        <f t="shared" si="7"/>
        <v>Luksemburg</v>
      </c>
      <c r="Y35" s="6" t="s">
        <v>258</v>
      </c>
      <c r="Z35" s="6" t="s">
        <v>2712</v>
      </c>
      <c r="AA35" s="6" t="s">
        <v>2713</v>
      </c>
      <c r="AB35" t="s">
        <v>258</v>
      </c>
      <c r="AC35" s="6" t="s">
        <v>2714</v>
      </c>
      <c r="AD35" s="6" t="s">
        <v>2715</v>
      </c>
      <c r="AE35" s="6" t="s">
        <v>2715</v>
      </c>
      <c r="AM35" s="6" t="s">
        <v>2716</v>
      </c>
      <c r="AN35" s="6" t="s">
        <v>2717</v>
      </c>
    </row>
    <row r="36" spans="1:40">
      <c r="A36" s="6">
        <v>64</v>
      </c>
      <c r="B36" s="6">
        <v>37</v>
      </c>
      <c r="C36" s="6">
        <v>1</v>
      </c>
      <c r="D36" s="6" t="s">
        <v>259</v>
      </c>
      <c r="E36" s="6">
        <v>10</v>
      </c>
      <c r="F36" s="6">
        <v>1</v>
      </c>
      <c r="H36" s="6" t="str">
        <f t="shared" si="2"/>
        <v>SELECT 64, 37, 1, 'Macedonia', 10, 1 UNION ALL</v>
      </c>
      <c r="K36">
        <v>2</v>
      </c>
      <c r="L36" s="6">
        <v>4</v>
      </c>
      <c r="M36" s="6">
        <v>14</v>
      </c>
      <c r="N36" s="6">
        <v>15</v>
      </c>
      <c r="P36" s="6" t="str">
        <f t="shared" si="3"/>
        <v>SELECT 137, 64, 1, 2 UNION ALL</v>
      </c>
      <c r="Q36" s="6" t="str">
        <f t="shared" si="4"/>
        <v>SELECT 138, 64, 2, 4 UNION ALL</v>
      </c>
      <c r="R36" s="6" t="str">
        <f t="shared" si="5"/>
        <v>SELECT 139, 64, 3, 14 UNION ALL</v>
      </c>
      <c r="S36" s="6" t="str">
        <f t="shared" si="6"/>
        <v>SELECT 140, 64, 7, 15 UNION ALL</v>
      </c>
      <c r="V36" s="6" t="str">
        <f t="shared" si="8"/>
        <v>ia</v>
      </c>
      <c r="W36" s="6" t="str">
        <f t="shared" si="7"/>
        <v>Macedon</v>
      </c>
      <c r="Y36" s="6" t="str">
        <f>W36&amp;V36</f>
        <v>Macedonia</v>
      </c>
      <c r="Z36" s="6" t="str">
        <f>W36&amp;"ii"</f>
        <v>Macedonii</v>
      </c>
      <c r="AA36" s="6" t="str">
        <f>W36&amp;"ii"</f>
        <v>Macedonii</v>
      </c>
      <c r="AB36" s="6" t="str">
        <f>W36&amp;"ię"</f>
        <v>Macedonię</v>
      </c>
      <c r="AC36" s="6" t="str">
        <f>"z "&amp;W36&amp;"ią"</f>
        <v>z Macedonią</v>
      </c>
      <c r="AD36" s="6" t="str">
        <f>""&amp;W36&amp;"ii"</f>
        <v>Macedonii</v>
      </c>
      <c r="AE36" s="6" t="str">
        <f>W36&amp;"io"</f>
        <v>Macedonio</v>
      </c>
      <c r="AF36" s="6"/>
      <c r="AG36" s="6"/>
      <c r="AH36" s="6"/>
      <c r="AI36" s="6"/>
      <c r="AJ36" s="6"/>
      <c r="AK36" s="6"/>
      <c r="AL36" s="6"/>
      <c r="AM36" s="6" t="str">
        <f>"do "&amp;W36&amp;"ii"</f>
        <v>do Macedonii</v>
      </c>
      <c r="AN36" s="6" t="str">
        <f>"w "&amp;W36&amp;"ii"</f>
        <v>w Macedonii</v>
      </c>
    </row>
    <row r="37" spans="1:40">
      <c r="A37" s="6">
        <v>65</v>
      </c>
      <c r="B37" s="6">
        <v>38</v>
      </c>
      <c r="C37" s="6">
        <v>1</v>
      </c>
      <c r="D37" s="6" t="s">
        <v>260</v>
      </c>
      <c r="E37" s="6">
        <v>10</v>
      </c>
      <c r="F37" s="6">
        <v>1</v>
      </c>
      <c r="H37" s="6" t="str">
        <f t="shared" si="2"/>
        <v>SELECT 65, 38, 1, 'Malta', 10, 1 UNION ALL</v>
      </c>
      <c r="K37">
        <v>2</v>
      </c>
      <c r="L37" s="6">
        <v>4</v>
      </c>
      <c r="M37" s="6">
        <v>14</v>
      </c>
      <c r="N37" s="6">
        <v>15</v>
      </c>
      <c r="P37" s="6" t="str">
        <f t="shared" si="3"/>
        <v>SELECT 141, 65, 1, 2 UNION ALL</v>
      </c>
      <c r="Q37" s="6" t="str">
        <f t="shared" si="4"/>
        <v>SELECT 142, 65, 2, 4 UNION ALL</v>
      </c>
      <c r="R37" s="6" t="str">
        <f t="shared" si="5"/>
        <v>SELECT 143, 65, 3, 14 UNION ALL</v>
      </c>
      <c r="S37" s="6" t="str">
        <f t="shared" si="6"/>
        <v>SELECT 144, 65, 7, 15 UNION ALL</v>
      </c>
      <c r="V37" s="6" t="str">
        <f>IF(RIGHT(D37,4)="stan","stan","")</f>
        <v/>
      </c>
      <c r="W37" s="6" t="str">
        <f t="shared" si="7"/>
        <v>Malta</v>
      </c>
      <c r="Y37" s="6" t="s">
        <v>260</v>
      </c>
      <c r="Z37" s="6" t="s">
        <v>2718</v>
      </c>
      <c r="AA37" s="6" t="s">
        <v>2719</v>
      </c>
      <c r="AB37" s="6" t="s">
        <v>2720</v>
      </c>
      <c r="AC37" s="6" t="s">
        <v>2721</v>
      </c>
      <c r="AD37" s="6" t="s">
        <v>2719</v>
      </c>
      <c r="AE37" s="6" t="s">
        <v>2722</v>
      </c>
      <c r="AM37" s="6" t="s">
        <v>2723</v>
      </c>
      <c r="AN37" s="6" t="s">
        <v>2724</v>
      </c>
    </row>
    <row r="38" spans="1:40">
      <c r="A38" s="6">
        <v>66</v>
      </c>
      <c r="B38" s="6">
        <v>39</v>
      </c>
      <c r="C38" s="6">
        <v>1</v>
      </c>
      <c r="D38" s="6" t="s">
        <v>261</v>
      </c>
      <c r="E38" s="6">
        <v>10</v>
      </c>
      <c r="F38" s="6">
        <v>1</v>
      </c>
      <c r="H38" s="6" t="str">
        <f t="shared" si="2"/>
        <v>SELECT 66, 39, 1, 'Mołdawia', 10, 1 UNION ALL</v>
      </c>
      <c r="K38">
        <v>2</v>
      </c>
      <c r="L38" s="6">
        <v>4</v>
      </c>
      <c r="M38" s="6">
        <v>14</v>
      </c>
      <c r="N38" s="6">
        <v>15</v>
      </c>
      <c r="P38" s="6" t="str">
        <f t="shared" si="3"/>
        <v>SELECT 145, 66, 1, 2 UNION ALL</v>
      </c>
      <c r="Q38" s="6" t="str">
        <f t="shared" si="4"/>
        <v>SELECT 146, 66, 2, 4 UNION ALL</v>
      </c>
      <c r="R38" s="6" t="str">
        <f t="shared" si="5"/>
        <v>SELECT 147, 66, 3, 14 UNION ALL</v>
      </c>
      <c r="S38" s="6" t="str">
        <f t="shared" si="6"/>
        <v>SELECT 148, 66, 7, 15 UNION ALL</v>
      </c>
      <c r="V38" s="6" t="str">
        <f t="shared" si="8"/>
        <v>ia</v>
      </c>
      <c r="W38" s="6" t="str">
        <f t="shared" si="7"/>
        <v>Mołdaw</v>
      </c>
      <c r="Y38" s="6" t="str">
        <f>W38&amp;V38</f>
        <v>Mołdawia</v>
      </c>
      <c r="Z38" s="6" t="str">
        <f>W38&amp;"ii"</f>
        <v>Mołdawii</v>
      </c>
      <c r="AA38" s="6" t="str">
        <f>W38&amp;"ii"</f>
        <v>Mołdawii</v>
      </c>
      <c r="AB38" s="6" t="str">
        <f>W38&amp;"ię"</f>
        <v>Mołdawię</v>
      </c>
      <c r="AC38" s="6" t="str">
        <f>"z "&amp;W38&amp;"ią"</f>
        <v>z Mołdawią</v>
      </c>
      <c r="AD38" s="6" t="str">
        <f>""&amp;W38&amp;"ii"</f>
        <v>Mołdawii</v>
      </c>
      <c r="AE38" s="6" t="str">
        <f>W38&amp;"io"</f>
        <v>Mołdawio</v>
      </c>
      <c r="AF38" s="6"/>
      <c r="AG38" s="6"/>
      <c r="AH38" s="6"/>
      <c r="AI38" s="6"/>
      <c r="AJ38" s="6"/>
      <c r="AK38" s="6"/>
      <c r="AL38" s="6"/>
      <c r="AM38" s="6" t="str">
        <f>"do "&amp;W38&amp;"ii"</f>
        <v>do Mołdawii</v>
      </c>
      <c r="AN38" s="6" t="str">
        <f>"w "&amp;W38&amp;"ii"</f>
        <v>w Mołdawii</v>
      </c>
    </row>
    <row r="39" spans="1:40">
      <c r="A39" s="6">
        <v>67</v>
      </c>
      <c r="B39" s="6">
        <v>40</v>
      </c>
      <c r="C39" s="6">
        <v>1</v>
      </c>
      <c r="D39" s="6" t="s">
        <v>262</v>
      </c>
      <c r="E39" s="6">
        <v>10</v>
      </c>
      <c r="F39" s="6">
        <v>1</v>
      </c>
      <c r="H39" s="6" t="str">
        <f t="shared" si="2"/>
        <v>SELECT 67, 40, 1, 'Monako', 10, 1 UNION ALL</v>
      </c>
      <c r="K39">
        <v>3</v>
      </c>
      <c r="L39" s="6">
        <v>4</v>
      </c>
      <c r="M39" s="6">
        <v>14</v>
      </c>
      <c r="N39" s="6">
        <v>15</v>
      </c>
      <c r="P39" s="6" t="str">
        <f t="shared" si="3"/>
        <v>SELECT 149, 67, 1, 3 UNION ALL</v>
      </c>
      <c r="Q39" s="6" t="str">
        <f t="shared" si="4"/>
        <v>SELECT 150, 67, 2, 4 UNION ALL</v>
      </c>
      <c r="R39" s="6" t="str">
        <f t="shared" si="5"/>
        <v>SELECT 151, 67, 3, 14 UNION ALL</v>
      </c>
      <c r="S39" s="6" t="str">
        <f t="shared" si="6"/>
        <v>SELECT 152, 67, 7, 15 UNION ALL</v>
      </c>
      <c r="V39" s="6" t="str">
        <f t="shared" ref="V39:V40" si="47">IF(RIGHT(D39,4)="stan","stan","")</f>
        <v/>
      </c>
      <c r="W39" s="6" t="str">
        <f t="shared" si="7"/>
        <v>Monako</v>
      </c>
      <c r="Y39" s="6" t="s">
        <v>262</v>
      </c>
      <c r="Z39" s="6" t="s">
        <v>262</v>
      </c>
      <c r="AA39" s="6" t="s">
        <v>262</v>
      </c>
      <c r="AB39" s="6" t="s">
        <v>262</v>
      </c>
      <c r="AC39" s="6" t="s">
        <v>2725</v>
      </c>
      <c r="AD39" s="6" t="s">
        <v>262</v>
      </c>
      <c r="AE39" s="6" t="s">
        <v>262</v>
      </c>
      <c r="AM39" s="6" t="s">
        <v>2726</v>
      </c>
      <c r="AN39" s="6" t="s">
        <v>2727</v>
      </c>
    </row>
    <row r="40" spans="1:40">
      <c r="A40" s="6">
        <v>68</v>
      </c>
      <c r="B40" s="6">
        <v>41</v>
      </c>
      <c r="C40" s="6">
        <v>1</v>
      </c>
      <c r="D40" s="6" t="s">
        <v>263</v>
      </c>
      <c r="E40" s="6">
        <v>10</v>
      </c>
      <c r="F40" s="6">
        <v>1</v>
      </c>
      <c r="H40" s="6" t="str">
        <f t="shared" si="2"/>
        <v>SELECT 68, 41, 1, 'Czarnogóra', 10, 1 UNION ALL</v>
      </c>
      <c r="K40">
        <v>2</v>
      </c>
      <c r="L40" s="6">
        <v>4</v>
      </c>
      <c r="M40" s="6">
        <v>14</v>
      </c>
      <c r="N40" s="6">
        <v>15</v>
      </c>
      <c r="P40" s="6" t="str">
        <f t="shared" si="3"/>
        <v>SELECT 153, 68, 1, 2 UNION ALL</v>
      </c>
      <c r="Q40" s="6" t="str">
        <f t="shared" si="4"/>
        <v>SELECT 154, 68, 2, 4 UNION ALL</v>
      </c>
      <c r="R40" s="6" t="str">
        <f t="shared" si="5"/>
        <v>SELECT 155, 68, 3, 14 UNION ALL</v>
      </c>
      <c r="S40" s="6" t="str">
        <f t="shared" si="6"/>
        <v>SELECT 156, 68, 7, 15 UNION ALL</v>
      </c>
      <c r="V40" s="6" t="str">
        <f t="shared" si="47"/>
        <v/>
      </c>
      <c r="W40" s="6" t="str">
        <f t="shared" si="7"/>
        <v>Czarnogóra</v>
      </c>
      <c r="Y40" s="6" t="s">
        <v>263</v>
      </c>
      <c r="Z40" s="6" t="s">
        <v>2728</v>
      </c>
      <c r="AA40" s="6" t="s">
        <v>2729</v>
      </c>
      <c r="AB40" s="6" t="s">
        <v>2730</v>
      </c>
      <c r="AC40" s="6" t="s">
        <v>2731</v>
      </c>
      <c r="AD40" s="6" t="s">
        <v>2729</v>
      </c>
      <c r="AE40" s="6" t="s">
        <v>2732</v>
      </c>
      <c r="AM40" s="6" t="s">
        <v>2733</v>
      </c>
      <c r="AN40" s="6" t="s">
        <v>2734</v>
      </c>
    </row>
    <row r="41" spans="1:40">
      <c r="A41" s="6">
        <v>69</v>
      </c>
      <c r="B41" s="6">
        <v>42</v>
      </c>
      <c r="C41" s="6">
        <v>1</v>
      </c>
      <c r="D41" s="6" t="s">
        <v>264</v>
      </c>
      <c r="E41" s="6">
        <v>10</v>
      </c>
      <c r="F41" s="6">
        <v>1</v>
      </c>
      <c r="H41" s="6" t="str">
        <f t="shared" si="2"/>
        <v>SELECT 69, 42, 1, 'Holandia', 10, 1 UNION ALL</v>
      </c>
      <c r="K41">
        <v>2</v>
      </c>
      <c r="L41" s="6">
        <v>4</v>
      </c>
      <c r="M41" s="6">
        <v>14</v>
      </c>
      <c r="N41" s="6">
        <v>15</v>
      </c>
      <c r="P41" s="6" t="str">
        <f t="shared" si="3"/>
        <v>SELECT 157, 69, 1, 2 UNION ALL</v>
      </c>
      <c r="Q41" s="6" t="str">
        <f t="shared" si="4"/>
        <v>SELECT 158, 69, 2, 4 UNION ALL</v>
      </c>
      <c r="R41" s="6" t="str">
        <f t="shared" si="5"/>
        <v>SELECT 159, 69, 3, 14 UNION ALL</v>
      </c>
      <c r="S41" s="6" t="str">
        <f t="shared" si="6"/>
        <v>SELECT 160, 69, 7, 15 UNION ALL</v>
      </c>
      <c r="V41" s="6" t="str">
        <f t="shared" si="8"/>
        <v>ia</v>
      </c>
      <c r="W41" s="6" t="str">
        <f t="shared" si="7"/>
        <v>Holand</v>
      </c>
      <c r="Y41" s="6" t="str">
        <f t="shared" ref="Y41:Y44" si="48">W41&amp;V41</f>
        <v>Holandia</v>
      </c>
      <c r="Z41" s="6" t="str">
        <f t="shared" ref="Z41:Z44" si="49">W41&amp;"ii"</f>
        <v>Holandii</v>
      </c>
      <c r="AA41" s="6" t="str">
        <f t="shared" ref="AA41:AA44" si="50">W41&amp;"ii"</f>
        <v>Holandii</v>
      </c>
      <c r="AB41" s="6" t="str">
        <f t="shared" ref="AB41:AB44" si="51">W41&amp;"ię"</f>
        <v>Holandię</v>
      </c>
      <c r="AC41" s="6" t="str">
        <f t="shared" ref="AC41:AC44" si="52">"z "&amp;W41&amp;"ią"</f>
        <v>z Holandią</v>
      </c>
      <c r="AD41" s="6" t="str">
        <f>""&amp;W41&amp;"ii"</f>
        <v>Holandii</v>
      </c>
      <c r="AE41" s="6" t="str">
        <f t="shared" ref="AE41:AE44" si="53">W41&amp;"io"</f>
        <v>Holandio</v>
      </c>
      <c r="AF41" s="6"/>
      <c r="AG41" s="6"/>
      <c r="AH41" s="6"/>
      <c r="AI41" s="6"/>
      <c r="AJ41" s="6"/>
      <c r="AK41" s="6"/>
      <c r="AL41" s="6"/>
      <c r="AM41" s="6" t="str">
        <f t="shared" ref="AM41:AM44" si="54">"do "&amp;W41&amp;"ii"</f>
        <v>do Holandii</v>
      </c>
      <c r="AN41" s="6" t="str">
        <f t="shared" ref="AN41:AN44" si="55">"w "&amp;W41&amp;"ii"</f>
        <v>w Holandii</v>
      </c>
    </row>
    <row r="42" spans="1:40">
      <c r="A42" s="6">
        <v>70</v>
      </c>
      <c r="B42" s="6">
        <v>43</v>
      </c>
      <c r="C42" s="6">
        <v>1</v>
      </c>
      <c r="D42" s="6" t="s">
        <v>265</v>
      </c>
      <c r="E42" s="6">
        <v>10</v>
      </c>
      <c r="F42" s="6">
        <v>1</v>
      </c>
      <c r="H42" s="6" t="str">
        <f t="shared" si="2"/>
        <v>SELECT 70, 43, 1, 'Norwegia', 10, 1 UNION ALL</v>
      </c>
      <c r="K42">
        <v>2</v>
      </c>
      <c r="L42" s="6">
        <v>4</v>
      </c>
      <c r="M42" s="6">
        <v>14</v>
      </c>
      <c r="N42" s="6">
        <v>15</v>
      </c>
      <c r="P42" s="6" t="str">
        <f t="shared" si="3"/>
        <v>SELECT 161, 70, 1, 2 UNION ALL</v>
      </c>
      <c r="Q42" s="6" t="str">
        <f t="shared" si="4"/>
        <v>SELECT 162, 70, 2, 4 UNION ALL</v>
      </c>
      <c r="R42" s="6" t="str">
        <f t="shared" si="5"/>
        <v>SELECT 163, 70, 3, 14 UNION ALL</v>
      </c>
      <c r="S42" s="6" t="str">
        <f t="shared" si="6"/>
        <v>SELECT 164, 70, 7, 15 UNION ALL</v>
      </c>
      <c r="V42" s="6" t="str">
        <f t="shared" si="8"/>
        <v>ia</v>
      </c>
      <c r="W42" s="6" t="str">
        <f t="shared" si="7"/>
        <v>Norweg</v>
      </c>
      <c r="Y42" s="6" t="str">
        <f t="shared" si="48"/>
        <v>Norwegia</v>
      </c>
      <c r="Z42" s="6" t="str">
        <f t="shared" si="49"/>
        <v>Norwegii</v>
      </c>
      <c r="AA42" s="6" t="str">
        <f t="shared" si="50"/>
        <v>Norwegii</v>
      </c>
      <c r="AB42" s="6" t="str">
        <f t="shared" si="51"/>
        <v>Norwegię</v>
      </c>
      <c r="AC42" s="6" t="str">
        <f t="shared" si="52"/>
        <v>z Norwegią</v>
      </c>
      <c r="AD42" s="6" t="str">
        <f>""&amp;W42&amp;"ii"</f>
        <v>Norwegii</v>
      </c>
      <c r="AE42" s="6" t="str">
        <f t="shared" si="53"/>
        <v>Norwegio</v>
      </c>
      <c r="AF42" s="6"/>
      <c r="AG42" s="6"/>
      <c r="AH42" s="6"/>
      <c r="AI42" s="6"/>
      <c r="AJ42" s="6"/>
      <c r="AK42" s="6"/>
      <c r="AL42" s="6"/>
      <c r="AM42" s="6" t="str">
        <f t="shared" si="54"/>
        <v>do Norwegii</v>
      </c>
      <c r="AN42" s="6" t="str">
        <f t="shared" si="55"/>
        <v>w Norwegii</v>
      </c>
    </row>
    <row r="43" spans="1:40">
      <c r="A43" s="6">
        <v>71</v>
      </c>
      <c r="B43" s="6">
        <v>44</v>
      </c>
      <c r="C43" s="6">
        <v>1</v>
      </c>
      <c r="D43" s="6" t="s">
        <v>266</v>
      </c>
      <c r="E43" s="6">
        <v>10</v>
      </c>
      <c r="F43" s="6">
        <v>1</v>
      </c>
      <c r="H43" s="6" t="str">
        <f t="shared" si="2"/>
        <v>SELECT 71, 44, 1, 'Portugalia', 10, 1 UNION ALL</v>
      </c>
      <c r="K43">
        <v>2</v>
      </c>
      <c r="L43" s="6">
        <v>4</v>
      </c>
      <c r="M43" s="6">
        <v>14</v>
      </c>
      <c r="N43" s="6">
        <v>15</v>
      </c>
      <c r="P43" s="6" t="str">
        <f t="shared" si="3"/>
        <v>SELECT 165, 71, 1, 2 UNION ALL</v>
      </c>
      <c r="Q43" s="6" t="str">
        <f t="shared" si="4"/>
        <v>SELECT 166, 71, 2, 4 UNION ALL</v>
      </c>
      <c r="R43" s="6" t="str">
        <f t="shared" si="5"/>
        <v>SELECT 167, 71, 3, 14 UNION ALL</v>
      </c>
      <c r="S43" s="6" t="str">
        <f t="shared" si="6"/>
        <v>SELECT 168, 71, 7, 15 UNION ALL</v>
      </c>
      <c r="V43" s="6" t="str">
        <f t="shared" si="8"/>
        <v>ia</v>
      </c>
      <c r="W43" s="6" t="str">
        <f t="shared" si="7"/>
        <v>Portugal</v>
      </c>
      <c r="Y43" s="6" t="str">
        <f t="shared" si="48"/>
        <v>Portugalia</v>
      </c>
      <c r="Z43" s="6" t="str">
        <f t="shared" si="49"/>
        <v>Portugalii</v>
      </c>
      <c r="AA43" s="6" t="str">
        <f t="shared" si="50"/>
        <v>Portugalii</v>
      </c>
      <c r="AB43" s="6" t="str">
        <f t="shared" si="51"/>
        <v>Portugalię</v>
      </c>
      <c r="AC43" s="6" t="str">
        <f t="shared" si="52"/>
        <v>z Portugalią</v>
      </c>
      <c r="AD43" s="6" t="str">
        <f>""&amp;W43&amp;"ii"</f>
        <v>Portugalii</v>
      </c>
      <c r="AE43" s="6" t="str">
        <f t="shared" si="53"/>
        <v>Portugalio</v>
      </c>
      <c r="AF43" s="6"/>
      <c r="AG43" s="6"/>
      <c r="AH43" s="6"/>
      <c r="AI43" s="6"/>
      <c r="AJ43" s="6"/>
      <c r="AK43" s="6"/>
      <c r="AL43" s="6"/>
      <c r="AM43" s="6" t="str">
        <f t="shared" si="54"/>
        <v>do Portugalii</v>
      </c>
      <c r="AN43" s="6" t="str">
        <f t="shared" si="55"/>
        <v>w Portugalii</v>
      </c>
    </row>
    <row r="44" spans="1:40">
      <c r="A44" s="6">
        <v>72</v>
      </c>
      <c r="B44" s="6">
        <v>45</v>
      </c>
      <c r="C44" s="6">
        <v>1</v>
      </c>
      <c r="D44" s="6" t="s">
        <v>267</v>
      </c>
      <c r="E44" s="6">
        <v>10</v>
      </c>
      <c r="F44" s="6">
        <v>1</v>
      </c>
      <c r="H44" s="6" t="str">
        <f t="shared" si="2"/>
        <v>SELECT 72, 45, 1, 'Rumunia', 10, 1 UNION ALL</v>
      </c>
      <c r="K44">
        <v>2</v>
      </c>
      <c r="L44" s="6">
        <v>4</v>
      </c>
      <c r="M44" s="6">
        <v>14</v>
      </c>
      <c r="N44" s="6">
        <v>15</v>
      </c>
      <c r="P44" s="6" t="str">
        <f t="shared" si="3"/>
        <v>SELECT 169, 72, 1, 2 UNION ALL</v>
      </c>
      <c r="Q44" s="6" t="str">
        <f t="shared" si="4"/>
        <v>SELECT 170, 72, 2, 4 UNION ALL</v>
      </c>
      <c r="R44" s="6" t="str">
        <f t="shared" si="5"/>
        <v>SELECT 171, 72, 3, 14 UNION ALL</v>
      </c>
      <c r="S44" s="6" t="str">
        <f t="shared" si="6"/>
        <v>SELECT 172, 72, 7, 15 UNION ALL</v>
      </c>
      <c r="V44" s="6" t="str">
        <f t="shared" si="8"/>
        <v>ia</v>
      </c>
      <c r="W44" s="6" t="str">
        <f t="shared" si="7"/>
        <v>Rumun</v>
      </c>
      <c r="Y44" s="6" t="str">
        <f t="shared" si="48"/>
        <v>Rumunia</v>
      </c>
      <c r="Z44" s="6" t="str">
        <f t="shared" si="49"/>
        <v>Rumunii</v>
      </c>
      <c r="AA44" s="6" t="str">
        <f t="shared" si="50"/>
        <v>Rumunii</v>
      </c>
      <c r="AB44" s="6" t="str">
        <f t="shared" si="51"/>
        <v>Rumunię</v>
      </c>
      <c r="AC44" s="6" t="str">
        <f t="shared" si="52"/>
        <v>z Rumunią</v>
      </c>
      <c r="AD44" s="6" t="str">
        <f>""&amp;W44&amp;"ii"</f>
        <v>Rumunii</v>
      </c>
      <c r="AE44" s="6" t="str">
        <f t="shared" si="53"/>
        <v>Rumunio</v>
      </c>
      <c r="AF44" s="6"/>
      <c r="AG44" s="6"/>
      <c r="AH44" s="6"/>
      <c r="AI44" s="6"/>
      <c r="AJ44" s="6"/>
      <c r="AK44" s="6"/>
      <c r="AL44" s="6"/>
      <c r="AM44" s="6" t="str">
        <f t="shared" si="54"/>
        <v>do Rumunii</v>
      </c>
      <c r="AN44" s="6" t="str">
        <f t="shared" si="55"/>
        <v>w Rumunii</v>
      </c>
    </row>
    <row r="45" spans="1:40">
      <c r="A45" s="6">
        <v>73</v>
      </c>
      <c r="B45" s="6">
        <v>46</v>
      </c>
      <c r="C45" s="6">
        <v>1</v>
      </c>
      <c r="D45" s="6" t="s">
        <v>268</v>
      </c>
      <c r="E45" s="6">
        <v>10</v>
      </c>
      <c r="F45" s="6">
        <v>1</v>
      </c>
      <c r="H45" s="6" t="str">
        <f t="shared" si="2"/>
        <v>SELECT 73, 46, 1, 'San Marino', 10, 1 UNION ALL</v>
      </c>
      <c r="K45">
        <v>3</v>
      </c>
      <c r="L45" s="6">
        <v>4</v>
      </c>
      <c r="M45" s="6">
        <v>14</v>
      </c>
      <c r="N45" s="6">
        <v>15</v>
      </c>
      <c r="P45" s="6" t="str">
        <f t="shared" si="3"/>
        <v>SELECT 173, 73, 1, 3 UNION ALL</v>
      </c>
      <c r="Q45" s="6" t="str">
        <f t="shared" si="4"/>
        <v>SELECT 174, 73, 2, 4 UNION ALL</v>
      </c>
      <c r="R45" s="6" t="str">
        <f t="shared" si="5"/>
        <v>SELECT 175, 73, 3, 14 UNION ALL</v>
      </c>
      <c r="S45" s="6" t="str">
        <f t="shared" si="6"/>
        <v>SELECT 176, 73, 7, 15 UNION ALL</v>
      </c>
      <c r="V45" s="6" t="s">
        <v>2641</v>
      </c>
      <c r="W45" s="6" t="str">
        <f t="shared" si="7"/>
        <v>San Marino</v>
      </c>
      <c r="Y45" t="str">
        <f>W45</f>
        <v>San Marino</v>
      </c>
      <c r="Z45" t="str">
        <f>$W45</f>
        <v>San Marino</v>
      </c>
      <c r="AA45" s="6" t="str">
        <f>$W45</f>
        <v>San Marino</v>
      </c>
      <c r="AB45" s="6" t="str">
        <f>$W45</f>
        <v>San Marino</v>
      </c>
      <c r="AC45" t="str">
        <f>"z "&amp;W45</f>
        <v>z San Marino</v>
      </c>
      <c r="AD45" s="6" t="str">
        <f>$W45</f>
        <v>San Marino</v>
      </c>
      <c r="AE45" s="6" t="str">
        <f>$W45</f>
        <v>San Marino</v>
      </c>
      <c r="AM45" t="str">
        <f>"do "&amp;W45</f>
        <v>do San Marino</v>
      </c>
      <c r="AN45" t="str">
        <f>"w "&amp;W45</f>
        <v>w San Marino</v>
      </c>
    </row>
    <row r="46" spans="1:40">
      <c r="A46" s="6">
        <v>74</v>
      </c>
      <c r="B46" s="6">
        <v>47</v>
      </c>
      <c r="C46" s="6">
        <v>1</v>
      </c>
      <c r="D46" s="6" t="s">
        <v>269</v>
      </c>
      <c r="E46" s="6">
        <v>10</v>
      </c>
      <c r="F46" s="6">
        <v>1</v>
      </c>
      <c r="H46" s="6" t="str">
        <f t="shared" si="2"/>
        <v>SELECT 74, 47, 1, 'Serbia', 10, 1 UNION ALL</v>
      </c>
      <c r="K46">
        <v>2</v>
      </c>
      <c r="L46" s="6">
        <v>4</v>
      </c>
      <c r="M46" s="6">
        <v>14</v>
      </c>
      <c r="N46" s="6">
        <v>15</v>
      </c>
      <c r="P46" s="6" t="str">
        <f t="shared" si="3"/>
        <v>SELECT 177, 74, 1, 2 UNION ALL</v>
      </c>
      <c r="Q46" s="6" t="str">
        <f t="shared" si="4"/>
        <v>SELECT 178, 74, 2, 4 UNION ALL</v>
      </c>
      <c r="R46" s="6" t="str">
        <f t="shared" si="5"/>
        <v>SELECT 179, 74, 3, 14 UNION ALL</v>
      </c>
      <c r="S46" s="6" t="str">
        <f t="shared" si="6"/>
        <v>SELECT 180, 74, 7, 15 UNION ALL</v>
      </c>
      <c r="V46" s="6" t="str">
        <f t="shared" si="8"/>
        <v>ia</v>
      </c>
      <c r="W46" s="6" t="str">
        <f t="shared" si="7"/>
        <v>Serb</v>
      </c>
      <c r="Y46" s="6" t="str">
        <f>W46&amp;V46</f>
        <v>Serbia</v>
      </c>
      <c r="Z46" s="6" t="str">
        <f>W46&amp;"ii"</f>
        <v>Serbii</v>
      </c>
      <c r="AA46" s="6" t="str">
        <f>W46&amp;"ii"</f>
        <v>Serbii</v>
      </c>
      <c r="AB46" s="6" t="str">
        <f>W46&amp;"ię"</f>
        <v>Serbię</v>
      </c>
      <c r="AC46" s="6" t="str">
        <f>"z "&amp;W46&amp;"ią"</f>
        <v>z Serbią</v>
      </c>
      <c r="AD46" s="6" t="str">
        <f>""&amp;W46&amp;"ii"</f>
        <v>Serbii</v>
      </c>
      <c r="AE46" s="6" t="str">
        <f>W46&amp;"io"</f>
        <v>Serbio</v>
      </c>
      <c r="AF46" s="6"/>
      <c r="AG46" s="6"/>
      <c r="AH46" s="6"/>
      <c r="AI46" s="6"/>
      <c r="AJ46" s="6"/>
      <c r="AK46" s="6"/>
      <c r="AL46" s="6"/>
      <c r="AM46" s="6" t="str">
        <f>"do "&amp;W46&amp;"ii"</f>
        <v>do Serbii</v>
      </c>
      <c r="AN46" s="6" t="str">
        <f>"w "&amp;W46&amp;"ii"</f>
        <v>w Serbii</v>
      </c>
    </row>
    <row r="47" spans="1:40">
      <c r="A47" s="6">
        <v>75</v>
      </c>
      <c r="B47" s="6">
        <v>48</v>
      </c>
      <c r="C47" s="6">
        <v>1</v>
      </c>
      <c r="D47" s="6" t="s">
        <v>270</v>
      </c>
      <c r="E47" s="6">
        <v>10</v>
      </c>
      <c r="F47" s="6">
        <v>1</v>
      </c>
      <c r="H47" s="6" t="str">
        <f t="shared" si="2"/>
        <v>SELECT 75, 48, 1, 'Słowacja', 10, 1 UNION ALL</v>
      </c>
      <c r="K47">
        <v>2</v>
      </c>
      <c r="L47" s="6">
        <v>4</v>
      </c>
      <c r="M47" s="6">
        <v>14</v>
      </c>
      <c r="N47" s="6">
        <v>15</v>
      </c>
      <c r="P47" s="6" t="str">
        <f t="shared" si="3"/>
        <v>SELECT 181, 75, 1, 2 UNION ALL</v>
      </c>
      <c r="Q47" s="6" t="str">
        <f t="shared" si="4"/>
        <v>SELECT 182, 75, 2, 4 UNION ALL</v>
      </c>
      <c r="R47" s="6" t="str">
        <f t="shared" si="5"/>
        <v>SELECT 183, 75, 3, 14 UNION ALL</v>
      </c>
      <c r="S47" s="6" t="str">
        <f t="shared" si="6"/>
        <v>SELECT 184, 75, 7, 15 UNION ALL</v>
      </c>
      <c r="V47" s="6" t="str">
        <f>IF(RIGHT(D47,2)="ja","ja","")</f>
        <v>ja</v>
      </c>
      <c r="W47" s="6" t="str">
        <f t="shared" si="7"/>
        <v>Słowac</v>
      </c>
      <c r="Y47" s="6" t="str">
        <f>W47&amp;"ja"</f>
        <v>Słowacja</v>
      </c>
      <c r="Z47" s="6" t="str">
        <f>W47&amp;"ji"</f>
        <v>Słowacji</v>
      </c>
      <c r="AA47" s="6" t="str">
        <f>W47&amp;"ji"</f>
        <v>Słowacji</v>
      </c>
      <c r="AB47" s="6" t="str">
        <f>W47&amp;"ję"</f>
        <v>Słowację</v>
      </c>
      <c r="AC47" s="6" t="str">
        <f>"z "&amp;W47&amp;"ją"</f>
        <v>z Słowacją</v>
      </c>
      <c r="AD47" s="6" t="str">
        <f>W47&amp;"ji"</f>
        <v>Słowacji</v>
      </c>
      <c r="AE47" s="6" t="str">
        <f>W47&amp;"jo"</f>
        <v>Słowacjo</v>
      </c>
      <c r="AF47" s="6"/>
      <c r="AG47" s="6"/>
      <c r="AH47" s="6"/>
      <c r="AI47" s="6"/>
      <c r="AJ47" s="6"/>
      <c r="AK47" s="6"/>
      <c r="AL47" s="6"/>
      <c r="AM47" s="6" t="s">
        <v>2640</v>
      </c>
      <c r="AN47" s="6" t="s">
        <v>2640</v>
      </c>
    </row>
    <row r="48" spans="1:40">
      <c r="A48" s="6">
        <v>76</v>
      </c>
      <c r="B48" s="6">
        <v>49</v>
      </c>
      <c r="C48" s="6">
        <v>1</v>
      </c>
      <c r="D48" s="6" t="s">
        <v>271</v>
      </c>
      <c r="E48" s="6">
        <v>10</v>
      </c>
      <c r="F48" s="6">
        <v>1</v>
      </c>
      <c r="H48" s="6" t="str">
        <f t="shared" si="2"/>
        <v>SELECT 76, 49, 1, 'Słowenia', 10, 1 UNION ALL</v>
      </c>
      <c r="K48">
        <v>2</v>
      </c>
      <c r="L48" s="6">
        <v>4</v>
      </c>
      <c r="M48" s="6">
        <v>14</v>
      </c>
      <c r="N48" s="6">
        <v>15</v>
      </c>
      <c r="P48" s="6" t="str">
        <f t="shared" si="3"/>
        <v>SELECT 185, 76, 1, 2 UNION ALL</v>
      </c>
      <c r="Q48" s="6" t="str">
        <f t="shared" si="4"/>
        <v>SELECT 186, 76, 2, 4 UNION ALL</v>
      </c>
      <c r="R48" s="6" t="str">
        <f t="shared" si="5"/>
        <v>SELECT 187, 76, 3, 14 UNION ALL</v>
      </c>
      <c r="S48" s="6" t="str">
        <f t="shared" si="6"/>
        <v>SELECT 188, 76, 7, 15 UNION ALL</v>
      </c>
      <c r="V48" s="6" t="str">
        <f t="shared" si="8"/>
        <v>ia</v>
      </c>
      <c r="W48" s="6" t="str">
        <f t="shared" si="7"/>
        <v>Słowen</v>
      </c>
      <c r="Y48" s="6" t="str">
        <f>W48&amp;V48</f>
        <v>Słowenia</v>
      </c>
      <c r="Z48" s="6" t="str">
        <f>W48&amp;"ii"</f>
        <v>Słowenii</v>
      </c>
      <c r="AA48" s="6" t="str">
        <f>W48&amp;"ii"</f>
        <v>Słowenii</v>
      </c>
      <c r="AB48" s="6" t="str">
        <f>W48&amp;"ię"</f>
        <v>Słowenię</v>
      </c>
      <c r="AC48" s="6" t="str">
        <f>"z "&amp;W48&amp;"ią"</f>
        <v>z Słowenią</v>
      </c>
      <c r="AD48" s="6" t="str">
        <f>""&amp;W48&amp;"ii"</f>
        <v>Słowenii</v>
      </c>
      <c r="AE48" s="6" t="str">
        <f>W48&amp;"io"</f>
        <v>Słowenio</v>
      </c>
      <c r="AF48" s="6"/>
      <c r="AG48" s="6"/>
      <c r="AH48" s="6"/>
      <c r="AI48" s="6"/>
      <c r="AJ48" s="6"/>
      <c r="AK48" s="6"/>
      <c r="AL48" s="6"/>
      <c r="AM48" s="6" t="str">
        <f>"do "&amp;W48&amp;"ii"</f>
        <v>do Słowenii</v>
      </c>
      <c r="AN48" s="6" t="str">
        <f>"w "&amp;W48&amp;"ii"</f>
        <v>w Słowenii</v>
      </c>
    </row>
    <row r="49" spans="1:40">
      <c r="A49" s="6">
        <v>77</v>
      </c>
      <c r="B49" s="6">
        <v>50</v>
      </c>
      <c r="C49" s="6">
        <v>1</v>
      </c>
      <c r="D49" s="6" t="s">
        <v>272</v>
      </c>
      <c r="E49" s="6">
        <v>10</v>
      </c>
      <c r="F49" s="6">
        <v>1</v>
      </c>
      <c r="H49" s="6" t="str">
        <f t="shared" si="2"/>
        <v>SELECT 77, 50, 1, 'Szwecja', 10, 1 UNION ALL</v>
      </c>
      <c r="K49">
        <v>2</v>
      </c>
      <c r="L49" s="6">
        <v>4</v>
      </c>
      <c r="M49" s="6">
        <v>14</v>
      </c>
      <c r="N49" s="6">
        <v>15</v>
      </c>
      <c r="P49" s="6" t="str">
        <f t="shared" si="3"/>
        <v>SELECT 189, 77, 1, 2 UNION ALL</v>
      </c>
      <c r="Q49" s="6" t="str">
        <f t="shared" si="4"/>
        <v>SELECT 190, 77, 2, 4 UNION ALL</v>
      </c>
      <c r="R49" s="6" t="str">
        <f t="shared" si="5"/>
        <v>SELECT 191, 77, 3, 14 UNION ALL</v>
      </c>
      <c r="S49" s="6" t="str">
        <f t="shared" si="6"/>
        <v>SELECT 192, 77, 7, 15 UNION ALL</v>
      </c>
      <c r="V49" s="6" t="str">
        <f>IF(RIGHT(D49,2)="ja","ja","")</f>
        <v>ja</v>
      </c>
      <c r="W49" s="6" t="str">
        <f t="shared" si="7"/>
        <v>Szwec</v>
      </c>
      <c r="Y49" s="6" t="str">
        <f>W49&amp;"ja"</f>
        <v>Szwecja</v>
      </c>
      <c r="Z49" s="6" t="str">
        <f>W49&amp;"ji"</f>
        <v>Szwecji</v>
      </c>
      <c r="AA49" s="6" t="str">
        <f>W49&amp;"ji"</f>
        <v>Szwecji</v>
      </c>
      <c r="AB49" s="6" t="str">
        <f>W49&amp;"ję"</f>
        <v>Szwecję</v>
      </c>
      <c r="AC49" s="6" t="str">
        <f>"z "&amp;W49&amp;"ją"</f>
        <v>z Szwecją</v>
      </c>
      <c r="AD49" s="6" t="str">
        <f>W49&amp;"ji"</f>
        <v>Szwecji</v>
      </c>
      <c r="AE49" s="6" t="str">
        <f>W49&amp;"jo"</f>
        <v>Szwecjo</v>
      </c>
      <c r="AF49" s="6"/>
      <c r="AG49" s="6"/>
      <c r="AH49" s="6"/>
      <c r="AI49" s="6"/>
      <c r="AJ49" s="6"/>
      <c r="AK49" s="6"/>
      <c r="AL49" s="6"/>
      <c r="AM49" s="6" t="str">
        <f>"do "&amp;W49&amp;"ji"</f>
        <v>do Szwecji</v>
      </c>
      <c r="AN49" s="6" t="str">
        <f>"w "&amp;W49&amp;"ji"</f>
        <v>w Szwecji</v>
      </c>
    </row>
    <row r="50" spans="1:40">
      <c r="A50" s="6">
        <v>78</v>
      </c>
      <c r="B50" s="6">
        <v>51</v>
      </c>
      <c r="C50" s="6">
        <v>1</v>
      </c>
      <c r="D50" s="6" t="s">
        <v>273</v>
      </c>
      <c r="E50" s="6">
        <v>10</v>
      </c>
      <c r="F50" s="6">
        <v>1</v>
      </c>
      <c r="H50" s="6" t="str">
        <f t="shared" si="2"/>
        <v>SELECT 78, 51, 1, 'Szwajcaria', 10, 1 UNION ALL</v>
      </c>
      <c r="K50">
        <v>2</v>
      </c>
      <c r="L50" s="6">
        <v>4</v>
      </c>
      <c r="M50" s="6">
        <v>14</v>
      </c>
      <c r="N50" s="6">
        <v>15</v>
      </c>
      <c r="P50" s="6" t="str">
        <f t="shared" si="3"/>
        <v>SELECT 193, 78, 1, 2 UNION ALL</v>
      </c>
      <c r="Q50" s="6" t="str">
        <f t="shared" si="4"/>
        <v>SELECT 194, 78, 2, 4 UNION ALL</v>
      </c>
      <c r="R50" s="6" t="str">
        <f t="shared" si="5"/>
        <v>SELECT 195, 78, 3, 14 UNION ALL</v>
      </c>
      <c r="S50" s="6" t="str">
        <f t="shared" si="6"/>
        <v>SELECT 196, 78, 7, 15 UNION ALL</v>
      </c>
      <c r="V50" s="6" t="str">
        <f t="shared" si="8"/>
        <v>ia</v>
      </c>
      <c r="W50" s="6" t="str">
        <f t="shared" si="7"/>
        <v>Szwajcar</v>
      </c>
      <c r="Y50" s="6" t="str">
        <f>W50&amp;V50</f>
        <v>Szwajcaria</v>
      </c>
      <c r="Z50" s="6" t="str">
        <f>W50&amp;"ii"</f>
        <v>Szwajcarii</v>
      </c>
      <c r="AA50" s="6" t="str">
        <f>W50&amp;"ii"</f>
        <v>Szwajcarii</v>
      </c>
      <c r="AB50" s="6" t="str">
        <f>W50&amp;"ię"</f>
        <v>Szwajcarię</v>
      </c>
      <c r="AC50" s="6" t="str">
        <f>"z "&amp;W50&amp;"ią"</f>
        <v>z Szwajcarią</v>
      </c>
      <c r="AD50" s="6" t="str">
        <f>""&amp;W50&amp;"ii"</f>
        <v>Szwajcarii</v>
      </c>
      <c r="AE50" s="6" t="str">
        <f>W50&amp;"io"</f>
        <v>Szwajcario</v>
      </c>
      <c r="AF50" s="6"/>
      <c r="AG50" s="6"/>
      <c r="AH50" s="6"/>
      <c r="AI50" s="6"/>
      <c r="AJ50" s="6"/>
      <c r="AK50" s="6"/>
      <c r="AL50" s="6"/>
      <c r="AM50" s="6" t="str">
        <f>"do "&amp;W50&amp;"ii"</f>
        <v>do Szwajcarii</v>
      </c>
      <c r="AN50" s="6" t="str">
        <f>"w "&amp;W50&amp;"ii"</f>
        <v>w Szwajcarii</v>
      </c>
    </row>
    <row r="51" spans="1:40">
      <c r="A51" s="6">
        <v>79</v>
      </c>
      <c r="B51" s="6">
        <v>52</v>
      </c>
      <c r="C51" s="6">
        <v>1</v>
      </c>
      <c r="D51" s="6" t="s">
        <v>274</v>
      </c>
      <c r="E51" s="6">
        <v>10</v>
      </c>
      <c r="F51" s="6">
        <v>1</v>
      </c>
      <c r="H51" s="6" t="str">
        <f t="shared" si="2"/>
        <v>SELECT 79, 52, 1, 'Turcja', 10, 1 UNION ALL</v>
      </c>
      <c r="K51">
        <v>2</v>
      </c>
      <c r="L51" s="6">
        <v>4</v>
      </c>
      <c r="M51" s="6">
        <v>14</v>
      </c>
      <c r="N51" s="6">
        <v>15</v>
      </c>
      <c r="P51" s="6" t="str">
        <f t="shared" si="3"/>
        <v>SELECT 197, 79, 1, 2 UNION ALL</v>
      </c>
      <c r="Q51" s="6" t="str">
        <f t="shared" si="4"/>
        <v>SELECT 198, 79, 2, 4 UNION ALL</v>
      </c>
      <c r="R51" s="6" t="str">
        <f t="shared" si="5"/>
        <v>SELECT 199, 79, 3, 14 UNION ALL</v>
      </c>
      <c r="S51" s="6" t="str">
        <f t="shared" si="6"/>
        <v>SELECT 200, 79, 7, 15 UNION ALL</v>
      </c>
      <c r="V51" s="6" t="str">
        <f t="shared" ref="V51" si="56">IF(RIGHT(D51,2)="ja","ja","")</f>
        <v>ja</v>
      </c>
      <c r="W51" s="6" t="str">
        <f t="shared" si="7"/>
        <v>Turc</v>
      </c>
      <c r="Y51" s="6" t="str">
        <f>W51&amp;"ja"</f>
        <v>Turcja</v>
      </c>
      <c r="Z51" s="6" t="str">
        <f>W51&amp;"ji"</f>
        <v>Turcji</v>
      </c>
      <c r="AA51" s="6" t="str">
        <f>W51&amp;"ji"</f>
        <v>Turcji</v>
      </c>
      <c r="AB51" s="6" t="str">
        <f>W51&amp;"ję"</f>
        <v>Turcję</v>
      </c>
      <c r="AC51" s="6" t="str">
        <f>"z "&amp;W51&amp;"ją"</f>
        <v>z Turcją</v>
      </c>
      <c r="AD51" s="6" t="str">
        <f>W51&amp;"ji"</f>
        <v>Turcji</v>
      </c>
      <c r="AE51" s="6" t="str">
        <f>W51&amp;"jo"</f>
        <v>Turcjo</v>
      </c>
      <c r="AF51" s="6"/>
      <c r="AG51" s="6"/>
      <c r="AH51" s="6"/>
      <c r="AI51" s="6"/>
      <c r="AJ51" s="6"/>
      <c r="AK51" s="6"/>
      <c r="AL51" s="6"/>
      <c r="AM51" s="6" t="str">
        <f>"do "&amp;W51&amp;"ji"</f>
        <v>do Turcji</v>
      </c>
      <c r="AN51" s="6" t="str">
        <f>"w "&amp;W51&amp;"ji"</f>
        <v>w Turcji</v>
      </c>
    </row>
    <row r="52" spans="1:40">
      <c r="A52" s="6">
        <v>80</v>
      </c>
      <c r="B52" s="6">
        <v>53</v>
      </c>
      <c r="C52" s="6">
        <v>1</v>
      </c>
      <c r="D52" s="6" t="s">
        <v>275</v>
      </c>
      <c r="E52" s="6">
        <v>10</v>
      </c>
      <c r="F52" s="6">
        <v>1</v>
      </c>
      <c r="H52" s="6" t="str">
        <f t="shared" si="2"/>
        <v>SELECT 80, 53, 1, 'Ukraina', 10, 1 UNION ALL</v>
      </c>
      <c r="K52">
        <v>2</v>
      </c>
      <c r="L52" s="6">
        <v>4</v>
      </c>
      <c r="M52" s="6">
        <v>14</v>
      </c>
      <c r="N52" s="6">
        <v>15</v>
      </c>
      <c r="P52" s="6" t="str">
        <f t="shared" si="3"/>
        <v>SELECT 201, 80, 1, 2 UNION ALL</v>
      </c>
      <c r="Q52" s="6" t="str">
        <f t="shared" si="4"/>
        <v>SELECT 202, 80, 2, 4 UNION ALL</v>
      </c>
      <c r="R52" s="6" t="str">
        <f t="shared" si="5"/>
        <v>SELECT 203, 80, 3, 14 UNION ALL</v>
      </c>
      <c r="S52" s="6" t="str">
        <f t="shared" si="6"/>
        <v>SELECT 204, 80, 7, 15 UNION ALL</v>
      </c>
      <c r="V52" s="6" t="str">
        <f>IF(RIGHT(D52,4)="stan","stan","")</f>
        <v/>
      </c>
      <c r="W52" s="6" t="str">
        <f t="shared" si="7"/>
        <v>Ukraina</v>
      </c>
      <c r="Y52" s="6" t="s">
        <v>275</v>
      </c>
      <c r="Z52" s="6" t="s">
        <v>2735</v>
      </c>
      <c r="AA52" s="6" t="s">
        <v>2736</v>
      </c>
      <c r="AB52" s="6" t="s">
        <v>2737</v>
      </c>
      <c r="AC52" s="6" t="s">
        <v>2738</v>
      </c>
      <c r="AD52" s="6" t="s">
        <v>2736</v>
      </c>
      <c r="AE52" s="6" t="s">
        <v>2739</v>
      </c>
      <c r="AM52" s="6" t="s">
        <v>2740</v>
      </c>
      <c r="AN52" s="6" t="s">
        <v>2741</v>
      </c>
    </row>
    <row r="53" spans="1:40">
      <c r="A53" s="6">
        <v>81</v>
      </c>
      <c r="B53" s="6">
        <v>54</v>
      </c>
      <c r="C53" s="6">
        <v>1</v>
      </c>
      <c r="D53" s="6" t="s">
        <v>276</v>
      </c>
      <c r="E53" s="6">
        <v>10</v>
      </c>
      <c r="F53" s="6">
        <v>1</v>
      </c>
      <c r="H53" s="6" t="str">
        <f t="shared" si="2"/>
        <v>SELECT 81, 54, 1, 'Wielka Brytania', 10, 1 UNION ALL</v>
      </c>
      <c r="K53">
        <v>2</v>
      </c>
      <c r="L53" s="6">
        <v>4</v>
      </c>
      <c r="M53" s="6">
        <v>14</v>
      </c>
      <c r="N53" s="6">
        <v>15</v>
      </c>
      <c r="P53" s="6" t="str">
        <f t="shared" si="3"/>
        <v>SELECT 205, 81, 1, 2 UNION ALL</v>
      </c>
      <c r="Q53" s="6" t="str">
        <f t="shared" si="4"/>
        <v>SELECT 206, 81, 2, 4 UNION ALL</v>
      </c>
      <c r="R53" s="6" t="str">
        <f t="shared" si="5"/>
        <v>SELECT 207, 81, 3, 14 UNION ALL</v>
      </c>
      <c r="S53" s="6" t="str">
        <f t="shared" si="6"/>
        <v>SELECT 208, 81, 7, 15 UNION ALL</v>
      </c>
      <c r="V53" s="6" t="str">
        <f t="shared" si="8"/>
        <v>ia</v>
      </c>
      <c r="W53" s="6" t="str">
        <f t="shared" si="7"/>
        <v>Wielka Brytan</v>
      </c>
      <c r="Y53" s="6" t="str">
        <f>W53&amp;V53</f>
        <v>Wielka Brytania</v>
      </c>
      <c r="Z53" s="6" t="s">
        <v>2625</v>
      </c>
      <c r="AA53" s="6" t="s">
        <v>2625</v>
      </c>
      <c r="AB53" s="6" t="s">
        <v>2626</v>
      </c>
      <c r="AC53" s="6" t="s">
        <v>2627</v>
      </c>
      <c r="AD53" s="6" t="s">
        <v>2625</v>
      </c>
      <c r="AE53" s="6" t="str">
        <f>W53&amp;"io"</f>
        <v>Wielka Brytanio</v>
      </c>
      <c r="AF53" s="6"/>
      <c r="AG53" s="6"/>
      <c r="AH53" s="6"/>
      <c r="AI53" s="6"/>
      <c r="AJ53" s="6"/>
      <c r="AK53" s="6"/>
      <c r="AL53" s="6"/>
      <c r="AM53" s="6" t="s">
        <v>2628</v>
      </c>
      <c r="AN53" s="6" t="s">
        <v>2629</v>
      </c>
    </row>
    <row r="54" spans="1:40">
      <c r="A54" s="6">
        <v>82</v>
      </c>
      <c r="B54" s="6">
        <v>55</v>
      </c>
      <c r="C54" s="6">
        <v>1</v>
      </c>
      <c r="D54" s="6" t="s">
        <v>277</v>
      </c>
      <c r="E54" s="6">
        <v>10</v>
      </c>
      <c r="F54" s="6">
        <v>1</v>
      </c>
      <c r="H54" s="6" t="str">
        <f t="shared" si="2"/>
        <v>SELECT 82, 55, 1, 'Watykan', 10, 1 UNION ALL</v>
      </c>
      <c r="K54">
        <v>1</v>
      </c>
      <c r="L54" s="6">
        <v>4</v>
      </c>
      <c r="M54" s="6">
        <v>14</v>
      </c>
      <c r="N54" s="6">
        <v>15</v>
      </c>
      <c r="P54" s="6" t="str">
        <f t="shared" si="3"/>
        <v>SELECT 209, 82, 1, 1 UNION ALL</v>
      </c>
      <c r="Q54" s="6" t="str">
        <f t="shared" si="4"/>
        <v>SELECT 210, 82, 2, 4 UNION ALL</v>
      </c>
      <c r="R54" s="6" t="str">
        <f t="shared" si="5"/>
        <v>SELECT 211, 82, 3, 14 UNION ALL</v>
      </c>
      <c r="S54" s="6" t="str">
        <f t="shared" si="6"/>
        <v>SELECT 212, 82, 7, 15 UNION ALL</v>
      </c>
      <c r="V54" s="6" t="str">
        <f>IF(RIGHT(D54,4)="stan","stan","")</f>
        <v/>
      </c>
      <c r="W54" s="6" t="str">
        <f t="shared" si="7"/>
        <v>Watykan</v>
      </c>
      <c r="Y54" s="6" t="s">
        <v>277</v>
      </c>
      <c r="Z54" s="6" t="s">
        <v>2742</v>
      </c>
      <c r="AA54" s="6" t="s">
        <v>2743</v>
      </c>
      <c r="AB54" t="s">
        <v>277</v>
      </c>
      <c r="AC54" s="6" t="s">
        <v>2744</v>
      </c>
      <c r="AD54" s="6" t="s">
        <v>2745</v>
      </c>
      <c r="AE54" s="6" t="s">
        <v>2745</v>
      </c>
      <c r="AM54" s="6" t="s">
        <v>2746</v>
      </c>
      <c r="AN54" s="6" t="s">
        <v>2747</v>
      </c>
    </row>
    <row r="55" spans="1:40">
      <c r="A55" s="6">
        <v>83</v>
      </c>
      <c r="B55" s="6">
        <v>56</v>
      </c>
      <c r="C55" s="6">
        <v>1</v>
      </c>
      <c r="D55" s="6" t="s">
        <v>278</v>
      </c>
      <c r="E55" s="6">
        <v>10</v>
      </c>
      <c r="F55" s="6">
        <v>1</v>
      </c>
      <c r="H55" s="6" t="str">
        <f t="shared" si="2"/>
        <v>SELECT 83, 56, 1, 'Szkocja', 10, 1 UNION ALL</v>
      </c>
      <c r="K55">
        <v>2</v>
      </c>
      <c r="L55" s="6">
        <v>4</v>
      </c>
      <c r="M55" s="6">
        <v>14</v>
      </c>
      <c r="N55" s="6">
        <v>15</v>
      </c>
      <c r="P55" s="6" t="str">
        <f t="shared" si="3"/>
        <v>SELECT 213, 83, 1, 2 UNION ALL</v>
      </c>
      <c r="Q55" s="6" t="str">
        <f t="shared" si="4"/>
        <v>SELECT 214, 83, 2, 4 UNION ALL</v>
      </c>
      <c r="R55" s="6" t="str">
        <f t="shared" si="5"/>
        <v>SELECT 215, 83, 3, 14 UNION ALL</v>
      </c>
      <c r="S55" s="6" t="str">
        <f t="shared" si="6"/>
        <v>SELECT 216, 83, 7, 15 UNION ALL</v>
      </c>
      <c r="V55" s="6" t="str">
        <f t="shared" ref="V55" si="57">IF(RIGHT(D55,2)="ja","ja","")</f>
        <v>ja</v>
      </c>
      <c r="W55" s="6" t="str">
        <f t="shared" si="7"/>
        <v>Szkoc</v>
      </c>
      <c r="Y55" s="6" t="str">
        <f>W55&amp;"ja"</f>
        <v>Szkocja</v>
      </c>
      <c r="Z55" s="6" t="str">
        <f>W55&amp;"ji"</f>
        <v>Szkocji</v>
      </c>
      <c r="AA55" s="6" t="str">
        <f>W55&amp;"ji"</f>
        <v>Szkocji</v>
      </c>
      <c r="AB55" s="6" t="str">
        <f>W55&amp;"ję"</f>
        <v>Szkocję</v>
      </c>
      <c r="AC55" s="6" t="str">
        <f>"z "&amp;W55&amp;"ją"</f>
        <v>z Szkocją</v>
      </c>
      <c r="AD55" s="6" t="str">
        <f>W55&amp;"ji"</f>
        <v>Szkocji</v>
      </c>
      <c r="AE55" s="6" t="str">
        <f>W55&amp;"jo"</f>
        <v>Szkocjo</v>
      </c>
      <c r="AF55" s="6"/>
      <c r="AG55" s="6"/>
      <c r="AH55" s="6"/>
      <c r="AI55" s="6"/>
      <c r="AJ55" s="6"/>
      <c r="AK55" s="6"/>
      <c r="AL55" s="6"/>
      <c r="AM55" s="6" t="str">
        <f>"do "&amp;W55&amp;"ji"</f>
        <v>do Szkocji</v>
      </c>
      <c r="AN55" s="6" t="str">
        <f>"w "&amp;W55&amp;"ji"</f>
        <v>w Szkocji</v>
      </c>
    </row>
    <row r="56" spans="1:40">
      <c r="A56" s="6">
        <v>219</v>
      </c>
      <c r="B56" s="6">
        <v>57</v>
      </c>
      <c r="C56" s="6">
        <v>1</v>
      </c>
      <c r="D56" s="6" t="s">
        <v>279</v>
      </c>
      <c r="E56" s="6">
        <v>10</v>
      </c>
      <c r="F56" s="6">
        <v>1</v>
      </c>
      <c r="H56" s="6" t="str">
        <f t="shared" si="2"/>
        <v>SELECT 219, 57, 1, 'Brazylia', 10, 1 UNION ALL</v>
      </c>
      <c r="K56">
        <v>2</v>
      </c>
      <c r="L56" s="6">
        <v>4</v>
      </c>
      <c r="M56" s="6">
        <v>14</v>
      </c>
      <c r="N56" s="6">
        <v>15</v>
      </c>
      <c r="P56" s="6" t="str">
        <f t="shared" si="3"/>
        <v>SELECT 217, 219, 1, 2 UNION ALL</v>
      </c>
      <c r="Q56" s="6" t="str">
        <f t="shared" si="4"/>
        <v>SELECT 218, 219, 2, 4 UNION ALL</v>
      </c>
      <c r="R56" s="6" t="str">
        <f t="shared" si="5"/>
        <v>SELECT 219, 219, 3, 14 UNION ALL</v>
      </c>
      <c r="S56" s="6" t="str">
        <f t="shared" si="6"/>
        <v>SELECT 220, 219, 7, 15 UNION ALL</v>
      </c>
      <c r="V56" s="6" t="str">
        <f t="shared" si="8"/>
        <v>ia</v>
      </c>
      <c r="W56" s="6" t="str">
        <f t="shared" si="7"/>
        <v>Brazyl</v>
      </c>
      <c r="Y56" s="6" t="str">
        <f>W56&amp;V56</f>
        <v>Brazylia</v>
      </c>
      <c r="Z56" s="6" t="str">
        <f>W56&amp;"ii"</f>
        <v>Brazylii</v>
      </c>
      <c r="AA56" s="6" t="str">
        <f>W56&amp;"ii"</f>
        <v>Brazylii</v>
      </c>
      <c r="AB56" s="6" t="str">
        <f>W56&amp;"ię"</f>
        <v>Brazylię</v>
      </c>
      <c r="AC56" s="6" t="str">
        <f>"z "&amp;W56&amp;"ią"</f>
        <v>z Brazylią</v>
      </c>
      <c r="AD56" s="6" t="str">
        <f>""&amp;W56&amp;"ii"</f>
        <v>Brazylii</v>
      </c>
      <c r="AE56" s="6" t="str">
        <f>W56&amp;"io"</f>
        <v>Brazylio</v>
      </c>
      <c r="AF56" s="6"/>
      <c r="AG56" s="6"/>
      <c r="AH56" s="6"/>
      <c r="AI56" s="6"/>
      <c r="AJ56" s="6"/>
      <c r="AK56" s="6"/>
      <c r="AL56" s="6"/>
      <c r="AM56" s="6" t="str">
        <f>"do "&amp;W56&amp;"ii"</f>
        <v>do Brazylii</v>
      </c>
      <c r="AN56" s="6" t="str">
        <f>"w "&amp;W56&amp;"ii"</f>
        <v>w Brazylii</v>
      </c>
    </row>
    <row r="57" spans="1:40">
      <c r="A57" s="6">
        <v>223</v>
      </c>
      <c r="B57" s="6">
        <v>58</v>
      </c>
      <c r="C57" s="6">
        <v>1</v>
      </c>
      <c r="D57" s="6" t="s">
        <v>281</v>
      </c>
      <c r="E57" s="6">
        <v>10</v>
      </c>
      <c r="F57" s="6">
        <v>1</v>
      </c>
      <c r="H57" s="6" t="str">
        <f t="shared" si="2"/>
        <v>SELECT 223, 58, 1, 'Argentyna', 10, 1 UNION ALL</v>
      </c>
      <c r="K57">
        <v>2</v>
      </c>
      <c r="L57" s="6">
        <v>4</v>
      </c>
      <c r="M57" s="6">
        <v>14</v>
      </c>
      <c r="N57" s="6">
        <v>15</v>
      </c>
      <c r="P57" s="6" t="str">
        <f t="shared" si="3"/>
        <v>SELECT 221, 223, 1, 2 UNION ALL</v>
      </c>
      <c r="Q57" s="6" t="str">
        <f t="shared" si="4"/>
        <v>SELECT 222, 223, 2, 4 UNION ALL</v>
      </c>
      <c r="R57" s="6" t="str">
        <f t="shared" si="5"/>
        <v>SELECT 223, 223, 3, 14 UNION ALL</v>
      </c>
      <c r="S57" s="6" t="str">
        <f t="shared" si="6"/>
        <v>SELECT 224, 223, 7, 15 UNION ALL</v>
      </c>
      <c r="V57" s="6" t="str">
        <f t="shared" ref="V57:V61" si="58">IF(RIGHT(D57,4)="stan","stan","")</f>
        <v/>
      </c>
      <c r="W57" s="6" t="str">
        <f t="shared" si="7"/>
        <v>Argentyna</v>
      </c>
    </row>
    <row r="58" spans="1:40">
      <c r="A58" s="6">
        <v>227</v>
      </c>
      <c r="B58" s="6">
        <v>80</v>
      </c>
      <c r="C58" s="6">
        <v>1</v>
      </c>
      <c r="D58" s="6" t="s">
        <v>297</v>
      </c>
      <c r="E58" s="6">
        <v>10</v>
      </c>
      <c r="F58" s="6">
        <v>1</v>
      </c>
      <c r="H58" s="6" t="str">
        <f t="shared" si="2"/>
        <v>SELECT 227, 80, 1, 'Ekwador', 10, 1 UNION ALL</v>
      </c>
      <c r="K58">
        <v>1</v>
      </c>
      <c r="L58" s="6">
        <v>4</v>
      </c>
      <c r="M58" s="6">
        <v>14</v>
      </c>
      <c r="N58" s="6">
        <v>15</v>
      </c>
      <c r="P58" s="6" t="str">
        <f t="shared" si="3"/>
        <v>SELECT 225, 227, 1, 1 UNION ALL</v>
      </c>
      <c r="Q58" s="6" t="str">
        <f t="shared" si="4"/>
        <v>SELECT 226, 227, 2, 4 UNION ALL</v>
      </c>
      <c r="R58" s="6" t="str">
        <f t="shared" si="5"/>
        <v>SELECT 227, 227, 3, 14 UNION ALL</v>
      </c>
      <c r="S58" s="6" t="str">
        <f t="shared" si="6"/>
        <v>SELECT 228, 227, 7, 15 UNION ALL</v>
      </c>
      <c r="V58" s="6" t="str">
        <f t="shared" si="58"/>
        <v/>
      </c>
      <c r="W58" s="6" t="str">
        <f t="shared" si="7"/>
        <v>Ekwador</v>
      </c>
    </row>
    <row r="59" spans="1:40">
      <c r="A59" s="6">
        <v>228</v>
      </c>
      <c r="B59" s="6">
        <v>70</v>
      </c>
      <c r="C59" s="6">
        <v>1</v>
      </c>
      <c r="D59" s="6" t="s">
        <v>295</v>
      </c>
      <c r="E59" s="6">
        <v>10</v>
      </c>
      <c r="F59" s="6">
        <v>1</v>
      </c>
      <c r="H59" s="6" t="str">
        <f t="shared" si="2"/>
        <v>SELECT 228, 70, 1, 'Paragwaj', 10, 1 UNION ALL</v>
      </c>
      <c r="K59">
        <v>1</v>
      </c>
      <c r="L59" s="6">
        <v>4</v>
      </c>
      <c r="M59" s="6">
        <v>14</v>
      </c>
      <c r="N59" s="6">
        <v>15</v>
      </c>
      <c r="P59" s="6" t="str">
        <f t="shared" si="3"/>
        <v>SELECT 229, 228, 1, 1 UNION ALL</v>
      </c>
      <c r="Q59" s="6" t="str">
        <f t="shared" si="4"/>
        <v>SELECT 230, 228, 2, 4 UNION ALL</v>
      </c>
      <c r="R59" s="6" t="str">
        <f t="shared" si="5"/>
        <v>SELECT 231, 228, 3, 14 UNION ALL</v>
      </c>
      <c r="S59" s="6" t="str">
        <f t="shared" si="6"/>
        <v>SELECT 232, 228, 7, 15 UNION ALL</v>
      </c>
      <c r="V59" s="6" t="str">
        <f t="shared" si="58"/>
        <v/>
      </c>
      <c r="W59" s="6" t="str">
        <f t="shared" si="7"/>
        <v>Paragwaj</v>
      </c>
    </row>
    <row r="60" spans="1:40">
      <c r="A60" s="6">
        <v>235</v>
      </c>
      <c r="B60" s="6">
        <v>68</v>
      </c>
      <c r="C60" s="6">
        <v>1</v>
      </c>
      <c r="D60" s="6" t="s">
        <v>293</v>
      </c>
      <c r="E60" s="6">
        <v>10</v>
      </c>
      <c r="F60" s="6">
        <v>1</v>
      </c>
      <c r="H60" s="6" t="str">
        <f t="shared" si="2"/>
        <v>SELECT 235, 68, 1, 'Urugwaj', 10, 1 UNION ALL</v>
      </c>
      <c r="K60">
        <v>1</v>
      </c>
      <c r="L60" s="6">
        <v>4</v>
      </c>
      <c r="M60" s="6">
        <v>14</v>
      </c>
      <c r="N60" s="6">
        <v>15</v>
      </c>
      <c r="P60" s="6" t="str">
        <f t="shared" si="3"/>
        <v>SELECT 233, 235, 1, 1 UNION ALL</v>
      </c>
      <c r="Q60" s="6" t="str">
        <f t="shared" si="4"/>
        <v>SELECT 234, 235, 2, 4 UNION ALL</v>
      </c>
      <c r="R60" s="6" t="str">
        <f t="shared" si="5"/>
        <v>SELECT 235, 235, 3, 14 UNION ALL</v>
      </c>
      <c r="S60" s="6" t="str">
        <f t="shared" si="6"/>
        <v>SELECT 236, 235, 7, 15 UNION ALL</v>
      </c>
      <c r="V60" s="6" t="str">
        <f t="shared" si="58"/>
        <v/>
      </c>
      <c r="W60" s="6" t="str">
        <f t="shared" si="7"/>
        <v>Urugwaj</v>
      </c>
    </row>
    <row r="61" spans="1:40">
      <c r="A61" s="6">
        <v>239</v>
      </c>
      <c r="B61" s="6">
        <v>67</v>
      </c>
      <c r="C61" s="6">
        <v>1</v>
      </c>
      <c r="D61" s="6" t="s">
        <v>291</v>
      </c>
      <c r="E61" s="6">
        <v>10</v>
      </c>
      <c r="F61" s="6">
        <v>1</v>
      </c>
      <c r="H61" s="6" t="str">
        <f t="shared" si="2"/>
        <v>SELECT 239, 67, 1, 'Wenezuela', 10, 1 UNION ALL</v>
      </c>
      <c r="K61">
        <v>2</v>
      </c>
      <c r="L61" s="6">
        <v>4</v>
      </c>
      <c r="M61" s="6">
        <v>14</v>
      </c>
      <c r="N61" s="6">
        <v>15</v>
      </c>
      <c r="P61" s="6" t="str">
        <f t="shared" si="3"/>
        <v>SELECT 237, 239, 1, 2 UNION ALL</v>
      </c>
      <c r="Q61" s="6" t="str">
        <f t="shared" si="4"/>
        <v>SELECT 238, 239, 2, 4 UNION ALL</v>
      </c>
      <c r="R61" s="6" t="str">
        <f t="shared" si="5"/>
        <v>SELECT 239, 239, 3, 14 UNION ALL</v>
      </c>
      <c r="S61" s="6" t="str">
        <f t="shared" si="6"/>
        <v>SELECT 240, 239, 7, 15 UNION ALL</v>
      </c>
      <c r="V61" s="6" t="str">
        <f t="shared" si="58"/>
        <v/>
      </c>
      <c r="W61" s="6" t="str">
        <f t="shared" si="7"/>
        <v>Wenezuela</v>
      </c>
    </row>
    <row r="62" spans="1:40">
      <c r="A62" s="6">
        <v>243</v>
      </c>
      <c r="B62" s="6">
        <v>66</v>
      </c>
      <c r="C62" s="6">
        <v>1</v>
      </c>
      <c r="D62" s="6" t="s">
        <v>289</v>
      </c>
      <c r="E62" s="6">
        <v>10</v>
      </c>
      <c r="F62" s="6">
        <v>1</v>
      </c>
      <c r="H62" s="6" t="str">
        <f t="shared" si="2"/>
        <v>SELECT 243, 66, 1, 'Kolumbia', 10, 1 UNION ALL</v>
      </c>
      <c r="K62">
        <v>2</v>
      </c>
      <c r="L62" s="6">
        <v>4</v>
      </c>
      <c r="M62" s="6">
        <v>14</v>
      </c>
      <c r="N62" s="6">
        <v>15</v>
      </c>
      <c r="P62" s="6" t="str">
        <f t="shared" si="3"/>
        <v>SELECT 241, 243, 1, 2 UNION ALL</v>
      </c>
      <c r="Q62" s="6" t="str">
        <f t="shared" si="4"/>
        <v>SELECT 242, 243, 2, 4 UNION ALL</v>
      </c>
      <c r="R62" s="6" t="str">
        <f t="shared" si="5"/>
        <v>SELECT 243, 243, 3, 14 UNION ALL</v>
      </c>
      <c r="S62" s="6" t="str">
        <f t="shared" si="6"/>
        <v>SELECT 244, 243, 7, 15 UNION ALL</v>
      </c>
      <c r="V62" s="6" t="str">
        <f t="shared" si="8"/>
        <v>ia</v>
      </c>
      <c r="W62" s="6" t="str">
        <f t="shared" si="7"/>
        <v>Kolumb</v>
      </c>
      <c r="Y62" s="6" t="str">
        <f>W62&amp;V62</f>
        <v>Kolumbia</v>
      </c>
      <c r="Z62" s="6" t="str">
        <f>W62&amp;"ii"</f>
        <v>Kolumbii</v>
      </c>
      <c r="AA62" s="6" t="str">
        <f>W62&amp;"ii"</f>
        <v>Kolumbii</v>
      </c>
      <c r="AB62" s="6" t="str">
        <f>W62&amp;"ię"</f>
        <v>Kolumbię</v>
      </c>
      <c r="AC62" s="6" t="str">
        <f>"z "&amp;W62&amp;"ią"</f>
        <v>z Kolumbią</v>
      </c>
      <c r="AD62" s="6" t="str">
        <f>""&amp;W62&amp;"ii"</f>
        <v>Kolumbii</v>
      </c>
      <c r="AE62" s="6" t="str">
        <f>W62&amp;"io"</f>
        <v>Kolumbio</v>
      </c>
      <c r="AF62" s="6"/>
      <c r="AG62" s="6"/>
      <c r="AH62" s="6"/>
      <c r="AI62" s="6"/>
      <c r="AJ62" s="6"/>
      <c r="AK62" s="6"/>
      <c r="AL62" s="6"/>
      <c r="AM62" s="6" t="str">
        <f>"do "&amp;W62&amp;"ii"</f>
        <v>do Kolumbii</v>
      </c>
      <c r="AN62" s="6" t="str">
        <f>"w "&amp;W62&amp;"ii"</f>
        <v>w Kolumbii</v>
      </c>
    </row>
    <row r="63" spans="1:40">
      <c r="A63" s="6">
        <v>247</v>
      </c>
      <c r="B63" s="6">
        <v>65</v>
      </c>
      <c r="C63" s="6">
        <v>1</v>
      </c>
      <c r="D63" s="6" t="s">
        <v>287</v>
      </c>
      <c r="E63" s="6">
        <v>10</v>
      </c>
      <c r="F63" s="6">
        <v>1</v>
      </c>
      <c r="H63" s="6" t="str">
        <f t="shared" si="2"/>
        <v>SELECT 247, 65, 1, 'Chile', 10, 1 UNION ALL</v>
      </c>
      <c r="K63">
        <v>3</v>
      </c>
      <c r="L63" s="6">
        <v>4</v>
      </c>
      <c r="M63" s="6">
        <v>14</v>
      </c>
      <c r="N63" s="6">
        <v>15</v>
      </c>
      <c r="P63" s="6" t="str">
        <f t="shared" si="3"/>
        <v>SELECT 245, 247, 1, 3 UNION ALL</v>
      </c>
      <c r="Q63" s="6" t="str">
        <f t="shared" si="4"/>
        <v>SELECT 246, 247, 2, 4 UNION ALL</v>
      </c>
      <c r="R63" s="6" t="str">
        <f t="shared" si="5"/>
        <v>SELECT 247, 247, 3, 14 UNION ALL</v>
      </c>
      <c r="S63" s="6" t="str">
        <f t="shared" si="6"/>
        <v>SELECT 248, 247, 7, 15 UNION ALL</v>
      </c>
      <c r="V63" s="6" t="s">
        <v>2641</v>
      </c>
      <c r="W63" s="6" t="str">
        <f t="shared" si="7"/>
        <v>Chile</v>
      </c>
      <c r="Y63" s="6" t="str">
        <f>W63</f>
        <v>Chile</v>
      </c>
      <c r="Z63" s="6" t="str">
        <f>$W63</f>
        <v>Chile</v>
      </c>
      <c r="AA63" s="6" t="str">
        <f>$W63</f>
        <v>Chile</v>
      </c>
      <c r="AB63" s="6" t="str">
        <f>$W63</f>
        <v>Chile</v>
      </c>
      <c r="AC63" s="6" t="str">
        <f>"z "&amp;W63</f>
        <v>z Chile</v>
      </c>
      <c r="AD63" s="6" t="str">
        <f>$W63</f>
        <v>Chile</v>
      </c>
      <c r="AE63" s="6" t="str">
        <f>$W63</f>
        <v>Chile</v>
      </c>
      <c r="AF63" s="6"/>
      <c r="AG63" s="6"/>
      <c r="AH63" s="6"/>
      <c r="AI63" s="6"/>
      <c r="AJ63" s="6"/>
      <c r="AK63" s="6"/>
      <c r="AL63" s="6"/>
      <c r="AM63" s="6" t="str">
        <f>"do "&amp;W63</f>
        <v>do Chile</v>
      </c>
      <c r="AN63" s="6" t="str">
        <f>"w "&amp;W63</f>
        <v>w Chile</v>
      </c>
    </row>
    <row r="64" spans="1:40">
      <c r="A64" s="6">
        <v>251</v>
      </c>
      <c r="B64" s="6">
        <v>64</v>
      </c>
      <c r="C64" s="6">
        <v>1</v>
      </c>
      <c r="D64" s="6" t="s">
        <v>285</v>
      </c>
      <c r="E64" s="6">
        <v>10</v>
      </c>
      <c r="F64" s="6">
        <v>1</v>
      </c>
      <c r="H64" s="6" t="str">
        <f t="shared" si="2"/>
        <v>SELECT 251, 64, 1, 'Boliwia', 10, 1 UNION ALL</v>
      </c>
      <c r="K64">
        <v>2</v>
      </c>
      <c r="L64" s="6">
        <v>4</v>
      </c>
      <c r="M64" s="6">
        <v>14</v>
      </c>
      <c r="N64" s="6">
        <v>15</v>
      </c>
      <c r="P64" s="6" t="str">
        <f t="shared" si="3"/>
        <v>SELECT 249, 251, 1, 2 UNION ALL</v>
      </c>
      <c r="Q64" s="6" t="str">
        <f t="shared" si="4"/>
        <v>SELECT 250, 251, 2, 4 UNION ALL</v>
      </c>
      <c r="R64" s="6" t="str">
        <f t="shared" si="5"/>
        <v>SELECT 251, 251, 3, 14 UNION ALL</v>
      </c>
      <c r="S64" s="6" t="str">
        <f t="shared" si="6"/>
        <v>SELECT 252, 251, 7, 15 UNION ALL</v>
      </c>
      <c r="V64" s="6" t="str">
        <f t="shared" si="8"/>
        <v>ia</v>
      </c>
      <c r="W64" s="6" t="str">
        <f t="shared" si="7"/>
        <v>Boliw</v>
      </c>
      <c r="Y64" s="6" t="str">
        <f>W64&amp;V64</f>
        <v>Boliwia</v>
      </c>
      <c r="Z64" s="6" t="str">
        <f>W64&amp;"ii"</f>
        <v>Boliwii</v>
      </c>
      <c r="AA64" s="6" t="str">
        <f>W64&amp;"ii"</f>
        <v>Boliwii</v>
      </c>
      <c r="AB64" s="6" t="str">
        <f>W64&amp;"ię"</f>
        <v>Boliwię</v>
      </c>
      <c r="AC64" s="6" t="str">
        <f>"z "&amp;W64&amp;"ią"</f>
        <v>z Boliwią</v>
      </c>
      <c r="AD64" s="6" t="str">
        <f>""&amp;W64&amp;"ii"</f>
        <v>Boliwii</v>
      </c>
      <c r="AE64" s="6" t="str">
        <f>W64&amp;"io"</f>
        <v>Boliwio</v>
      </c>
      <c r="AF64" s="6"/>
      <c r="AG64" s="6"/>
      <c r="AH64" s="6"/>
      <c r="AI64" s="6"/>
      <c r="AJ64" s="6"/>
      <c r="AK64" s="6"/>
      <c r="AL64" s="6"/>
      <c r="AM64" s="6" t="str">
        <f>"do "&amp;W64&amp;"ii"</f>
        <v>do Boliwii</v>
      </c>
      <c r="AN64" s="6" t="str">
        <f>"w "&amp;W64&amp;"ii"</f>
        <v>w Boliwii</v>
      </c>
    </row>
    <row r="65" spans="1:40">
      <c r="A65" s="6">
        <v>255</v>
      </c>
      <c r="B65" s="6">
        <v>63</v>
      </c>
      <c r="C65" s="6">
        <v>1</v>
      </c>
      <c r="D65" s="6" t="s">
        <v>283</v>
      </c>
      <c r="E65" s="6">
        <v>10</v>
      </c>
      <c r="F65" s="6">
        <v>1</v>
      </c>
      <c r="H65" s="6" t="str">
        <f t="shared" si="2"/>
        <v>SELECT 255, 63, 1, 'Peru', 10, 1 UNION ALL</v>
      </c>
      <c r="K65">
        <v>3</v>
      </c>
      <c r="L65" s="6">
        <v>4</v>
      </c>
      <c r="M65" s="6">
        <v>14</v>
      </c>
      <c r="N65" s="6">
        <v>15</v>
      </c>
      <c r="P65" s="6" t="str">
        <f t="shared" si="3"/>
        <v>SELECT 253, 255, 1, 3 UNION ALL</v>
      </c>
      <c r="Q65" s="6" t="str">
        <f t="shared" si="4"/>
        <v>SELECT 254, 255, 2, 4 UNION ALL</v>
      </c>
      <c r="R65" s="6" t="str">
        <f t="shared" si="5"/>
        <v>SELECT 255, 255, 3, 14 UNION ALL</v>
      </c>
      <c r="S65" s="6" t="str">
        <f t="shared" si="6"/>
        <v>SELECT 256, 255, 7, 15 UNION ALL</v>
      </c>
      <c r="V65" s="6" t="s">
        <v>2641</v>
      </c>
      <c r="W65" s="6" t="str">
        <f t="shared" si="7"/>
        <v>Peru</v>
      </c>
      <c r="Y65" s="6" t="str">
        <f>W65</f>
        <v>Peru</v>
      </c>
      <c r="Z65" s="6" t="str">
        <f>$W65</f>
        <v>Peru</v>
      </c>
      <c r="AA65" s="6" t="str">
        <f>$W65</f>
        <v>Peru</v>
      </c>
      <c r="AB65" s="6" t="str">
        <f>$W65</f>
        <v>Peru</v>
      </c>
      <c r="AC65" s="6" t="str">
        <f>"z "&amp;W65</f>
        <v>z Peru</v>
      </c>
      <c r="AD65" s="6" t="str">
        <f>$W65</f>
        <v>Peru</v>
      </c>
      <c r="AE65" s="6" t="str">
        <f>$W65</f>
        <v>Peru</v>
      </c>
      <c r="AF65" s="6"/>
      <c r="AG65" s="6"/>
      <c r="AH65" s="6"/>
      <c r="AI65" s="6"/>
      <c r="AJ65" s="6"/>
      <c r="AK65" s="6"/>
      <c r="AL65" s="6"/>
      <c r="AM65" s="6" t="str">
        <f>"do "&amp;W65</f>
        <v>do Peru</v>
      </c>
      <c r="AN65" s="6" t="str">
        <f>"w "&amp;W65</f>
        <v>w Peru</v>
      </c>
    </row>
    <row r="66" spans="1:40">
      <c r="A66" s="6">
        <v>259</v>
      </c>
      <c r="B66" s="6">
        <v>85</v>
      </c>
      <c r="C66" s="6">
        <v>1</v>
      </c>
      <c r="D66" s="6" t="s">
        <v>299</v>
      </c>
      <c r="E66" s="6">
        <v>10</v>
      </c>
      <c r="F66" s="6">
        <v>1</v>
      </c>
      <c r="H66" s="6" t="str">
        <f t="shared" si="2"/>
        <v>SELECT 259, 85, 1, 'Chiny', 10, 1 UNION ALL</v>
      </c>
      <c r="K66">
        <v>1</v>
      </c>
      <c r="L66">
        <v>5</v>
      </c>
      <c r="M66" s="6">
        <v>14</v>
      </c>
      <c r="N66" s="6">
        <v>15</v>
      </c>
      <c r="P66" s="6" t="str">
        <f t="shared" si="3"/>
        <v>SELECT 257, 259, 1, 1 UNION ALL</v>
      </c>
      <c r="Q66" s="6" t="str">
        <f t="shared" si="4"/>
        <v>SELECT 258, 259, 2, 5 UNION ALL</v>
      </c>
      <c r="R66" s="6" t="str">
        <f t="shared" si="5"/>
        <v>SELECT 259, 259, 3, 14 UNION ALL</v>
      </c>
      <c r="S66" s="6" t="str">
        <f t="shared" si="6"/>
        <v>SELECT 260, 259, 7, 15 UNION ALL</v>
      </c>
      <c r="V66" s="6" t="str">
        <f t="shared" ref="V66" si="59">IF(RIGHT(D66,4)="stan","stan","")</f>
        <v/>
      </c>
      <c r="W66" s="6" t="str">
        <f t="shared" si="7"/>
        <v>Chiny</v>
      </c>
    </row>
    <row r="67" spans="1:40">
      <c r="A67" s="6">
        <v>261</v>
      </c>
      <c r="B67" s="6">
        <v>86</v>
      </c>
      <c r="C67" s="6">
        <v>1</v>
      </c>
      <c r="D67" s="6" t="s">
        <v>301</v>
      </c>
      <c r="E67" s="6">
        <v>10</v>
      </c>
      <c r="F67" s="6">
        <v>1</v>
      </c>
      <c r="H67" s="6" t="str">
        <f t="shared" si="2"/>
        <v>SELECT 261, 86, 1, 'Japonia', 10, 1 UNION ALL</v>
      </c>
      <c r="K67">
        <v>2</v>
      </c>
      <c r="L67" s="6">
        <v>4</v>
      </c>
      <c r="M67" s="6">
        <v>14</v>
      </c>
      <c r="N67" s="6">
        <v>15</v>
      </c>
      <c r="P67" s="6" t="str">
        <f t="shared" si="3"/>
        <v>SELECT 261, 261, 1, 2 UNION ALL</v>
      </c>
      <c r="Q67" s="6" t="str">
        <f t="shared" si="4"/>
        <v>SELECT 262, 261, 2, 4 UNION ALL</v>
      </c>
      <c r="R67" s="6" t="str">
        <f t="shared" si="5"/>
        <v>SELECT 263, 261, 3, 14 UNION ALL</v>
      </c>
      <c r="S67" s="6" t="str">
        <f t="shared" si="6"/>
        <v>SELECT 264, 261, 7, 15 UNION ALL</v>
      </c>
      <c r="V67" s="6" t="str">
        <f t="shared" si="8"/>
        <v>ia</v>
      </c>
      <c r="W67" s="6" t="str">
        <f t="shared" si="7"/>
        <v>Japon</v>
      </c>
      <c r="Y67" s="6" t="str">
        <f>W67&amp;V67</f>
        <v>Japonia</v>
      </c>
      <c r="Z67" s="6" t="str">
        <f>W67&amp;"ii"</f>
        <v>Japonii</v>
      </c>
      <c r="AA67" s="6" t="str">
        <f>W67&amp;"ii"</f>
        <v>Japonii</v>
      </c>
      <c r="AB67" s="6" t="str">
        <f>W67&amp;"ię"</f>
        <v>Japonię</v>
      </c>
      <c r="AC67" s="6" t="str">
        <f>"z "&amp;W67&amp;"ią"</f>
        <v>z Japonią</v>
      </c>
      <c r="AD67" s="6" t="str">
        <f>""&amp;W67&amp;"ii"</f>
        <v>Japonii</v>
      </c>
      <c r="AE67" s="6" t="str">
        <f>W67&amp;"io"</f>
        <v>Japonio</v>
      </c>
      <c r="AF67" s="6"/>
      <c r="AG67" s="6"/>
      <c r="AH67" s="6"/>
      <c r="AI67" s="6"/>
      <c r="AJ67" s="6"/>
      <c r="AK67" s="6"/>
      <c r="AL67" s="6"/>
      <c r="AM67" s="6" t="str">
        <f>"do "&amp;W67&amp;"ii"</f>
        <v>do Japonii</v>
      </c>
      <c r="AN67" s="6" t="str">
        <f>"w "&amp;W67&amp;"ii"</f>
        <v>w Japonii</v>
      </c>
    </row>
    <row r="68" spans="1:40">
      <c r="A68" s="6">
        <v>263</v>
      </c>
      <c r="B68" s="6">
        <v>89</v>
      </c>
      <c r="C68" s="6">
        <v>1</v>
      </c>
      <c r="D68" s="6" t="s">
        <v>303</v>
      </c>
      <c r="E68" s="6">
        <v>10</v>
      </c>
      <c r="F68" s="6">
        <v>1</v>
      </c>
      <c r="H68" s="6" t="str">
        <f t="shared" ref="H68:H131" si="60">"SELECT "&amp;A68&amp;", "&amp;B68&amp;", "&amp;C68&amp;", '"&amp;D68&amp;"', "&amp;E68&amp;", "&amp;F68&amp;" UNION ALL"</f>
        <v>SELECT 263, 89, 1, 'Indie', 10, 1 UNION ALL</v>
      </c>
      <c r="K68">
        <v>1</v>
      </c>
      <c r="L68">
        <v>5</v>
      </c>
      <c r="M68" s="6">
        <v>14</v>
      </c>
      <c r="N68" s="6">
        <v>15</v>
      </c>
      <c r="P68" s="6" t="str">
        <f t="shared" ref="P68:P131" si="61">"SELECT "&amp;((ROW()-2)*4+COLUMN()-15)&amp;", "&amp;$A68&amp;", "&amp;P$2&amp;", "&amp;K68&amp;" UNION ALL"</f>
        <v>SELECT 265, 263, 1, 1 UNION ALL</v>
      </c>
      <c r="Q68" s="6" t="str">
        <f t="shared" ref="Q68:Q131" si="62">"SELECT "&amp;((ROW()-2)*4+COLUMN()-15)&amp;", "&amp;$A68&amp;", "&amp;Q$2&amp;", "&amp;L68&amp;" UNION ALL"</f>
        <v>SELECT 266, 263, 2, 5 UNION ALL</v>
      </c>
      <c r="R68" s="6" t="str">
        <f t="shared" ref="R68:R131" si="63">"SELECT "&amp;((ROW()-2)*4+COLUMN()-15)&amp;", "&amp;$A68&amp;", "&amp;R$2&amp;", "&amp;M68&amp;" UNION ALL"</f>
        <v>SELECT 267, 263, 3, 14 UNION ALL</v>
      </c>
      <c r="S68" s="6" t="str">
        <f t="shared" ref="S68:S131" si="64">"SELECT "&amp;((ROW()-2)*4+COLUMN()-15)&amp;", "&amp;$A68&amp;", "&amp;S$2&amp;", "&amp;N68&amp;" UNION ALL"</f>
        <v>SELECT 268, 263, 7, 15 UNION ALL</v>
      </c>
      <c r="V68" s="6" t="str">
        <f t="shared" ref="V68:V70" si="65">IF(RIGHT(D68,4)="stan","stan","")</f>
        <v/>
      </c>
      <c r="W68" s="6" t="str">
        <f t="shared" si="7"/>
        <v>Indie</v>
      </c>
    </row>
    <row r="69" spans="1:40">
      <c r="A69" s="6">
        <v>266</v>
      </c>
      <c r="B69" s="6">
        <v>182</v>
      </c>
      <c r="C69" s="6">
        <v>1</v>
      </c>
      <c r="D69" s="6" t="s">
        <v>473</v>
      </c>
      <c r="E69" s="6">
        <v>10</v>
      </c>
      <c r="F69" s="6">
        <v>1</v>
      </c>
      <c r="H69" s="6" t="str">
        <f t="shared" si="60"/>
        <v>SELECT 266, 182, 1, 'Kanada', 10, 1 UNION ALL</v>
      </c>
      <c r="K69">
        <v>2</v>
      </c>
      <c r="L69" s="6">
        <v>4</v>
      </c>
      <c r="M69" s="6">
        <v>14</v>
      </c>
      <c r="N69" s="6">
        <v>15</v>
      </c>
      <c r="P69" s="6" t="str">
        <f t="shared" si="61"/>
        <v>SELECT 269, 266, 1, 2 UNION ALL</v>
      </c>
      <c r="Q69" s="6" t="str">
        <f t="shared" si="62"/>
        <v>SELECT 270, 266, 2, 4 UNION ALL</v>
      </c>
      <c r="R69" s="6" t="str">
        <f t="shared" si="63"/>
        <v>SELECT 271, 266, 3, 14 UNION ALL</v>
      </c>
      <c r="S69" s="6" t="str">
        <f t="shared" si="64"/>
        <v>SELECT 272, 266, 7, 15 UNION ALL</v>
      </c>
      <c r="V69" s="6" t="str">
        <f t="shared" si="65"/>
        <v/>
      </c>
      <c r="W69" s="6" t="str">
        <f t="shared" si="7"/>
        <v>Kanada</v>
      </c>
    </row>
    <row r="70" spans="1:40">
      <c r="A70" s="6">
        <v>277</v>
      </c>
      <c r="B70" s="6">
        <v>198</v>
      </c>
      <c r="C70" s="6">
        <v>1</v>
      </c>
      <c r="D70" s="6" t="s">
        <v>503</v>
      </c>
      <c r="E70" s="6">
        <v>10</v>
      </c>
      <c r="F70" s="6">
        <v>1</v>
      </c>
      <c r="H70" s="6" t="str">
        <f t="shared" si="60"/>
        <v>SELECT 277, 198, 1, 'Bahamy', 10, 1 UNION ALL</v>
      </c>
      <c r="K70">
        <v>1</v>
      </c>
      <c r="L70">
        <v>5</v>
      </c>
      <c r="M70" s="6">
        <v>14</v>
      </c>
      <c r="N70" s="6">
        <v>15</v>
      </c>
      <c r="P70" s="6" t="str">
        <f t="shared" si="61"/>
        <v>SELECT 273, 277, 1, 1 UNION ALL</v>
      </c>
      <c r="Q70" s="6" t="str">
        <f t="shared" si="62"/>
        <v>SELECT 274, 277, 2, 5 UNION ALL</v>
      </c>
      <c r="R70" s="6" t="str">
        <f t="shared" si="63"/>
        <v>SELECT 275, 277, 3, 14 UNION ALL</v>
      </c>
      <c r="S70" s="6" t="str">
        <f t="shared" si="64"/>
        <v>SELECT 276, 277, 7, 15 UNION ALL</v>
      </c>
      <c r="V70" s="6" t="str">
        <f t="shared" si="65"/>
        <v/>
      </c>
      <c r="W70" s="6" t="str">
        <f t="shared" si="7"/>
        <v>Bahamy</v>
      </c>
    </row>
    <row r="71" spans="1:40">
      <c r="A71" s="6">
        <v>287</v>
      </c>
      <c r="B71" s="6">
        <v>197</v>
      </c>
      <c r="C71" s="6">
        <v>1</v>
      </c>
      <c r="D71" s="6" t="s">
        <v>501</v>
      </c>
      <c r="E71" s="6">
        <v>10</v>
      </c>
      <c r="F71" s="6">
        <v>1</v>
      </c>
      <c r="H71" s="6" t="str">
        <f t="shared" si="60"/>
        <v>SELECT 287, 197, 1, 'Belize', 10, 1 UNION ALL</v>
      </c>
      <c r="K71">
        <v>3</v>
      </c>
      <c r="L71" s="6">
        <v>4</v>
      </c>
      <c r="M71" s="6">
        <v>14</v>
      </c>
      <c r="N71" s="6">
        <v>15</v>
      </c>
      <c r="P71" s="6" t="str">
        <f t="shared" si="61"/>
        <v>SELECT 277, 287, 1, 3 UNION ALL</v>
      </c>
      <c r="Q71" s="6" t="str">
        <f t="shared" si="62"/>
        <v>SELECT 278, 287, 2, 4 UNION ALL</v>
      </c>
      <c r="R71" s="6" t="str">
        <f t="shared" si="63"/>
        <v>SELECT 279, 287, 3, 14 UNION ALL</v>
      </c>
      <c r="S71" s="6" t="str">
        <f t="shared" si="64"/>
        <v>SELECT 280, 287, 7, 15 UNION ALL</v>
      </c>
      <c r="V71" s="6" t="s">
        <v>2641</v>
      </c>
      <c r="W71" s="6" t="str">
        <f t="shared" ref="W71:W134" si="66">SUBSTITUTE(D71,V71,"")</f>
        <v>Belize</v>
      </c>
      <c r="Y71" s="6" t="str">
        <f>W71</f>
        <v>Belize</v>
      </c>
      <c r="Z71" s="6" t="str">
        <f>$W71</f>
        <v>Belize</v>
      </c>
      <c r="AA71" s="6" t="str">
        <f>$W71</f>
        <v>Belize</v>
      </c>
      <c r="AB71" s="6" t="str">
        <f>$W71</f>
        <v>Belize</v>
      </c>
      <c r="AC71" s="6" t="str">
        <f>"z "&amp;W71</f>
        <v>z Belize</v>
      </c>
      <c r="AD71" s="6" t="str">
        <f>$W71</f>
        <v>Belize</v>
      </c>
      <c r="AE71" s="6" t="str">
        <f>$W71</f>
        <v>Belize</v>
      </c>
      <c r="AF71" s="6"/>
      <c r="AG71" s="6"/>
      <c r="AH71" s="6"/>
      <c r="AI71" s="6"/>
      <c r="AJ71" s="6"/>
      <c r="AK71" s="6"/>
      <c r="AL71" s="6"/>
      <c r="AM71" s="6" t="str">
        <f>"do "&amp;W71</f>
        <v>do Belize</v>
      </c>
      <c r="AN71" s="6" t="str">
        <f>"w "&amp;W71</f>
        <v>w Belize</v>
      </c>
    </row>
    <row r="72" spans="1:40">
      <c r="A72" s="6">
        <v>288</v>
      </c>
      <c r="B72" s="6">
        <v>93</v>
      </c>
      <c r="C72" s="6">
        <v>1</v>
      </c>
      <c r="D72" s="6" t="s">
        <v>305</v>
      </c>
      <c r="E72" s="6">
        <v>10</v>
      </c>
      <c r="F72" s="6">
        <v>1</v>
      </c>
      <c r="H72" s="6" t="str">
        <f t="shared" si="60"/>
        <v>SELECT 288, 93, 1, 'Tajlandia', 10, 1 UNION ALL</v>
      </c>
      <c r="K72">
        <v>2</v>
      </c>
      <c r="L72" s="6">
        <v>4</v>
      </c>
      <c r="M72" s="6">
        <v>14</v>
      </c>
      <c r="N72" s="6">
        <v>15</v>
      </c>
      <c r="P72" s="6" t="str">
        <f t="shared" si="61"/>
        <v>SELECT 281, 288, 1, 2 UNION ALL</v>
      </c>
      <c r="Q72" s="6" t="str">
        <f t="shared" si="62"/>
        <v>SELECT 282, 288, 2, 4 UNION ALL</v>
      </c>
      <c r="R72" s="6" t="str">
        <f t="shared" si="63"/>
        <v>SELECT 283, 288, 3, 14 UNION ALL</v>
      </c>
      <c r="S72" s="6" t="str">
        <f t="shared" si="64"/>
        <v>SELECT 284, 288, 7, 15 UNION ALL</v>
      </c>
      <c r="V72" s="6" t="str">
        <f t="shared" ref="V72:V132" si="67">IF(RIGHT(D72,2)="ia","ia","")</f>
        <v>ia</v>
      </c>
      <c r="W72" s="6" t="str">
        <f t="shared" si="66"/>
        <v>Tajland</v>
      </c>
      <c r="Y72" s="6" t="str">
        <f>W72&amp;V72</f>
        <v>Tajlandia</v>
      </c>
      <c r="Z72" s="6" t="str">
        <f>W72&amp;"ii"</f>
        <v>Tajlandii</v>
      </c>
      <c r="AA72" s="6" t="str">
        <f>W72&amp;"ii"</f>
        <v>Tajlandii</v>
      </c>
      <c r="AB72" s="6" t="str">
        <f>W72&amp;"ię"</f>
        <v>Tajlandię</v>
      </c>
      <c r="AC72" s="6" t="str">
        <f>"z "&amp;W72&amp;"ią"</f>
        <v>z Tajlandią</v>
      </c>
      <c r="AD72" s="6" t="str">
        <f>""&amp;W72&amp;"ii"</f>
        <v>Tajlandii</v>
      </c>
      <c r="AE72" s="6" t="str">
        <f>W72&amp;"io"</f>
        <v>Tajlandio</v>
      </c>
      <c r="AF72" s="6"/>
      <c r="AG72" s="6"/>
      <c r="AH72" s="6"/>
      <c r="AI72" s="6"/>
      <c r="AJ72" s="6"/>
      <c r="AK72" s="6"/>
      <c r="AL72" s="6"/>
      <c r="AM72" s="6" t="str">
        <f>"do "&amp;W72&amp;"ii"</f>
        <v>do Tajlandii</v>
      </c>
      <c r="AN72" s="6" t="str">
        <f>"w "&amp;W72&amp;"ii"</f>
        <v>w Tajlandii</v>
      </c>
    </row>
    <row r="73" spans="1:40">
      <c r="A73" s="6">
        <v>290</v>
      </c>
      <c r="B73" s="6">
        <v>94</v>
      </c>
      <c r="C73" s="6">
        <v>1</v>
      </c>
      <c r="D73" s="6" t="s">
        <v>307</v>
      </c>
      <c r="E73" s="6">
        <v>10</v>
      </c>
      <c r="F73" s="6">
        <v>1</v>
      </c>
      <c r="H73" s="6" t="str">
        <f t="shared" si="60"/>
        <v>SELECT 290, 94, 1, 'Izrael', 10, 1 UNION ALL</v>
      </c>
      <c r="K73">
        <v>1</v>
      </c>
      <c r="L73" s="6">
        <v>4</v>
      </c>
      <c r="M73" s="6">
        <v>14</v>
      </c>
      <c r="N73" s="6">
        <v>15</v>
      </c>
      <c r="P73" s="6" t="str">
        <f t="shared" si="61"/>
        <v>SELECT 285, 290, 1, 1 UNION ALL</v>
      </c>
      <c r="Q73" s="6" t="str">
        <f t="shared" si="62"/>
        <v>SELECT 286, 290, 2, 4 UNION ALL</v>
      </c>
      <c r="R73" s="6" t="str">
        <f t="shared" si="63"/>
        <v>SELECT 287, 290, 3, 14 UNION ALL</v>
      </c>
      <c r="S73" s="6" t="str">
        <f t="shared" si="64"/>
        <v>SELECT 288, 290, 7, 15 UNION ALL</v>
      </c>
      <c r="V73" s="6" t="str">
        <f t="shared" ref="V73:V74" si="68">IF(RIGHT(D73,4)="stan","stan","")</f>
        <v/>
      </c>
      <c r="W73" s="6" t="str">
        <f t="shared" si="66"/>
        <v>Izrael</v>
      </c>
    </row>
    <row r="74" spans="1:40">
      <c r="A74" s="6">
        <v>292</v>
      </c>
      <c r="B74" s="6">
        <v>95</v>
      </c>
      <c r="C74" s="6">
        <v>1</v>
      </c>
      <c r="D74" s="6" t="s">
        <v>309</v>
      </c>
      <c r="E74" s="6">
        <v>10</v>
      </c>
      <c r="F74" s="6">
        <v>1</v>
      </c>
      <c r="H74" s="6" t="str">
        <f t="shared" si="60"/>
        <v>SELECT 292, 95, 1, 'Liban', 10, 1 UNION ALL</v>
      </c>
      <c r="K74">
        <v>1</v>
      </c>
      <c r="L74" s="6">
        <v>4</v>
      </c>
      <c r="M74" s="6">
        <v>14</v>
      </c>
      <c r="N74" s="6">
        <v>15</v>
      </c>
      <c r="P74" s="6" t="str">
        <f t="shared" si="61"/>
        <v>SELECT 289, 292, 1, 1 UNION ALL</v>
      </c>
      <c r="Q74" s="6" t="str">
        <f t="shared" si="62"/>
        <v>SELECT 290, 292, 2, 4 UNION ALL</v>
      </c>
      <c r="R74" s="6" t="str">
        <f t="shared" si="63"/>
        <v>SELECT 291, 292, 3, 14 UNION ALL</v>
      </c>
      <c r="S74" s="6" t="str">
        <f t="shared" si="64"/>
        <v>SELECT 292, 292, 7, 15 UNION ALL</v>
      </c>
      <c r="V74" s="6" t="str">
        <f t="shared" si="68"/>
        <v/>
      </c>
      <c r="W74" s="6" t="str">
        <f t="shared" si="66"/>
        <v>Liban</v>
      </c>
    </row>
    <row r="75" spans="1:40">
      <c r="A75" s="6">
        <v>294</v>
      </c>
      <c r="B75" s="6">
        <v>96</v>
      </c>
      <c r="C75" s="6">
        <v>1</v>
      </c>
      <c r="D75" s="6" t="s">
        <v>311</v>
      </c>
      <c r="E75" s="6">
        <v>10</v>
      </c>
      <c r="F75" s="6">
        <v>1</v>
      </c>
      <c r="H75" s="6" t="str">
        <f t="shared" si="60"/>
        <v>SELECT 294, 96, 1, 'Jordania', 10, 1 UNION ALL</v>
      </c>
      <c r="K75">
        <v>2</v>
      </c>
      <c r="L75" s="6">
        <v>4</v>
      </c>
      <c r="M75" s="6">
        <v>14</v>
      </c>
      <c r="N75" s="6">
        <v>15</v>
      </c>
      <c r="P75" s="6" t="str">
        <f t="shared" si="61"/>
        <v>SELECT 293, 294, 1, 2 UNION ALL</v>
      </c>
      <c r="Q75" s="6" t="str">
        <f t="shared" si="62"/>
        <v>SELECT 294, 294, 2, 4 UNION ALL</v>
      </c>
      <c r="R75" s="6" t="str">
        <f t="shared" si="63"/>
        <v>SELECT 295, 294, 3, 14 UNION ALL</v>
      </c>
      <c r="S75" s="6" t="str">
        <f t="shared" si="64"/>
        <v>SELECT 296, 294, 7, 15 UNION ALL</v>
      </c>
      <c r="V75" s="6" t="str">
        <f t="shared" si="67"/>
        <v>ia</v>
      </c>
      <c r="W75" s="6" t="str">
        <f t="shared" si="66"/>
        <v>Jordan</v>
      </c>
      <c r="Y75" s="6" t="str">
        <f t="shared" ref="Y75:Y76" si="69">W75&amp;V75</f>
        <v>Jordania</v>
      </c>
      <c r="Z75" s="6" t="str">
        <f t="shared" ref="Z75:Z76" si="70">W75&amp;"ii"</f>
        <v>Jordanii</v>
      </c>
      <c r="AA75" s="6" t="str">
        <f t="shared" ref="AA75:AA76" si="71">W75&amp;"ii"</f>
        <v>Jordanii</v>
      </c>
      <c r="AB75" s="6" t="str">
        <f t="shared" ref="AB75:AB76" si="72">W75&amp;"ię"</f>
        <v>Jordanię</v>
      </c>
      <c r="AC75" s="6" t="str">
        <f t="shared" ref="AC75:AC76" si="73">"z "&amp;W75&amp;"ią"</f>
        <v>z Jordanią</v>
      </c>
      <c r="AD75" s="6" t="str">
        <f>""&amp;W75&amp;"ii"</f>
        <v>Jordanii</v>
      </c>
      <c r="AE75" s="6" t="str">
        <f t="shared" ref="AE75:AE76" si="74">W75&amp;"io"</f>
        <v>Jordanio</v>
      </c>
      <c r="AF75" s="6"/>
      <c r="AG75" s="6"/>
      <c r="AH75" s="6"/>
      <c r="AI75" s="6"/>
      <c r="AJ75" s="6"/>
      <c r="AK75" s="6"/>
      <c r="AL75" s="6"/>
      <c r="AM75" s="6" t="str">
        <f t="shared" ref="AM75:AM76" si="75">"do "&amp;W75&amp;"ii"</f>
        <v>do Jordanii</v>
      </c>
      <c r="AN75" s="6" t="str">
        <f t="shared" ref="AN75:AN76" si="76">"w "&amp;W75&amp;"ii"</f>
        <v>w Jordanii</v>
      </c>
    </row>
    <row r="76" spans="1:40">
      <c r="A76" s="6">
        <v>296</v>
      </c>
      <c r="B76" s="6">
        <v>97</v>
      </c>
      <c r="C76" s="6">
        <v>1</v>
      </c>
      <c r="D76" s="6" t="s">
        <v>313</v>
      </c>
      <c r="E76" s="6">
        <v>10</v>
      </c>
      <c r="F76" s="6">
        <v>1</v>
      </c>
      <c r="H76" s="6" t="str">
        <f t="shared" si="60"/>
        <v>SELECT 296, 97, 1, 'Syria', 10, 1 UNION ALL</v>
      </c>
      <c r="K76">
        <v>2</v>
      </c>
      <c r="L76" s="6">
        <v>4</v>
      </c>
      <c r="M76" s="6">
        <v>14</v>
      </c>
      <c r="N76" s="6">
        <v>15</v>
      </c>
      <c r="P76" s="6" t="str">
        <f t="shared" si="61"/>
        <v>SELECT 297, 296, 1, 2 UNION ALL</v>
      </c>
      <c r="Q76" s="6" t="str">
        <f t="shared" si="62"/>
        <v>SELECT 298, 296, 2, 4 UNION ALL</v>
      </c>
      <c r="R76" s="6" t="str">
        <f t="shared" si="63"/>
        <v>SELECT 299, 296, 3, 14 UNION ALL</v>
      </c>
      <c r="S76" s="6" t="str">
        <f t="shared" si="64"/>
        <v>SELECT 300, 296, 7, 15 UNION ALL</v>
      </c>
      <c r="V76" s="6" t="str">
        <f t="shared" si="67"/>
        <v>ia</v>
      </c>
      <c r="W76" s="6" t="str">
        <f t="shared" si="66"/>
        <v>Syr</v>
      </c>
      <c r="Y76" s="6" t="str">
        <f t="shared" si="69"/>
        <v>Syria</v>
      </c>
      <c r="Z76" s="6" t="str">
        <f t="shared" si="70"/>
        <v>Syrii</v>
      </c>
      <c r="AA76" s="6" t="str">
        <f t="shared" si="71"/>
        <v>Syrii</v>
      </c>
      <c r="AB76" s="6" t="str">
        <f t="shared" si="72"/>
        <v>Syrię</v>
      </c>
      <c r="AC76" s="6" t="str">
        <f t="shared" si="73"/>
        <v>z Syrią</v>
      </c>
      <c r="AD76" s="6" t="str">
        <f>""&amp;W76&amp;"ii"</f>
        <v>Syrii</v>
      </c>
      <c r="AE76" s="6" t="str">
        <f t="shared" si="74"/>
        <v>Syrio</v>
      </c>
      <c r="AF76" s="6"/>
      <c r="AG76" s="6"/>
      <c r="AH76" s="6"/>
      <c r="AI76" s="6"/>
      <c r="AJ76" s="6"/>
      <c r="AK76" s="6"/>
      <c r="AL76" s="6"/>
      <c r="AM76" s="6" t="str">
        <f t="shared" si="75"/>
        <v>do Syrii</v>
      </c>
      <c r="AN76" s="6" t="str">
        <f t="shared" si="76"/>
        <v>w Syrii</v>
      </c>
    </row>
    <row r="77" spans="1:40">
      <c r="A77" s="6">
        <v>298</v>
      </c>
      <c r="B77" s="6">
        <v>98</v>
      </c>
      <c r="C77" s="6">
        <v>1</v>
      </c>
      <c r="D77" s="6" t="s">
        <v>315</v>
      </c>
      <c r="E77" s="6">
        <v>10</v>
      </c>
      <c r="F77" s="6">
        <v>1</v>
      </c>
      <c r="H77" s="6" t="str">
        <f t="shared" si="60"/>
        <v>SELECT 298, 98, 1, 'Arabia Saudyjska', 10, 1 UNION ALL</v>
      </c>
      <c r="K77">
        <v>2</v>
      </c>
      <c r="L77" s="6">
        <v>4</v>
      </c>
      <c r="M77" s="6">
        <v>14</v>
      </c>
      <c r="N77" s="6">
        <v>15</v>
      </c>
      <c r="P77" s="6" t="str">
        <f t="shared" si="61"/>
        <v>SELECT 301, 298, 1, 2 UNION ALL</v>
      </c>
      <c r="Q77" s="6" t="str">
        <f t="shared" si="62"/>
        <v>SELECT 302, 298, 2, 4 UNION ALL</v>
      </c>
      <c r="R77" s="6" t="str">
        <f t="shared" si="63"/>
        <v>SELECT 303, 298, 3, 14 UNION ALL</v>
      </c>
      <c r="S77" s="6" t="str">
        <f t="shared" si="64"/>
        <v>SELECT 304, 298, 7, 15 UNION ALL</v>
      </c>
      <c r="V77" s="6" t="str">
        <f t="shared" ref="V77:V85" si="77">IF(RIGHT(D77,4)="stan","stan","")</f>
        <v/>
      </c>
      <c r="W77" s="6" t="str">
        <f t="shared" si="66"/>
        <v>Arabia Saudyjska</v>
      </c>
    </row>
    <row r="78" spans="1:40">
      <c r="A78" s="6">
        <v>300</v>
      </c>
      <c r="B78" s="6">
        <v>99</v>
      </c>
      <c r="C78" s="6">
        <v>1</v>
      </c>
      <c r="D78" s="6" t="s">
        <v>317</v>
      </c>
      <c r="E78" s="6">
        <v>10</v>
      </c>
      <c r="F78" s="6">
        <v>1</v>
      </c>
      <c r="H78" s="6" t="str">
        <f t="shared" si="60"/>
        <v>SELECT 300, 99, 1, 'Jemen', 10, 1 UNION ALL</v>
      </c>
      <c r="K78">
        <v>1</v>
      </c>
      <c r="L78" s="6">
        <v>4</v>
      </c>
      <c r="M78" s="6">
        <v>14</v>
      </c>
      <c r="N78" s="6">
        <v>15</v>
      </c>
      <c r="P78" s="6" t="str">
        <f t="shared" si="61"/>
        <v>SELECT 305, 300, 1, 1 UNION ALL</v>
      </c>
      <c r="Q78" s="6" t="str">
        <f t="shared" si="62"/>
        <v>SELECT 306, 300, 2, 4 UNION ALL</v>
      </c>
      <c r="R78" s="6" t="str">
        <f t="shared" si="63"/>
        <v>SELECT 307, 300, 3, 14 UNION ALL</v>
      </c>
      <c r="S78" s="6" t="str">
        <f t="shared" si="64"/>
        <v>SELECT 308, 300, 7, 15 UNION ALL</v>
      </c>
      <c r="V78" s="6" t="str">
        <f t="shared" si="77"/>
        <v/>
      </c>
      <c r="W78" s="6" t="str">
        <f t="shared" si="66"/>
        <v>Jemen</v>
      </c>
    </row>
    <row r="79" spans="1:40">
      <c r="A79" s="6">
        <v>302</v>
      </c>
      <c r="B79" s="6">
        <v>100</v>
      </c>
      <c r="C79" s="6">
        <v>1</v>
      </c>
      <c r="D79" s="6" t="s">
        <v>319</v>
      </c>
      <c r="E79" s="6">
        <v>10</v>
      </c>
      <c r="F79" s="6">
        <v>1</v>
      </c>
      <c r="H79" s="6" t="str">
        <f t="shared" si="60"/>
        <v>SELECT 302, 100, 1, 'Oman', 10, 1 UNION ALL</v>
      </c>
      <c r="K79">
        <v>1</v>
      </c>
      <c r="L79" s="6">
        <v>4</v>
      </c>
      <c r="M79" s="6">
        <v>14</v>
      </c>
      <c r="N79" s="6">
        <v>15</v>
      </c>
      <c r="P79" s="6" t="str">
        <f t="shared" si="61"/>
        <v>SELECT 309, 302, 1, 1 UNION ALL</v>
      </c>
      <c r="Q79" s="6" t="str">
        <f t="shared" si="62"/>
        <v>SELECT 310, 302, 2, 4 UNION ALL</v>
      </c>
      <c r="R79" s="6" t="str">
        <f t="shared" si="63"/>
        <v>SELECT 311, 302, 3, 14 UNION ALL</v>
      </c>
      <c r="S79" s="6" t="str">
        <f t="shared" si="64"/>
        <v>SELECT 312, 302, 7, 15 UNION ALL</v>
      </c>
      <c r="V79" s="6" t="str">
        <f t="shared" si="77"/>
        <v/>
      </c>
      <c r="W79" s="6" t="str">
        <f t="shared" si="66"/>
        <v>Oman</v>
      </c>
    </row>
    <row r="80" spans="1:40">
      <c r="A80" s="6">
        <v>304</v>
      </c>
      <c r="B80" s="6">
        <v>101</v>
      </c>
      <c r="C80" s="6">
        <v>1</v>
      </c>
      <c r="D80" s="6" t="s">
        <v>321</v>
      </c>
      <c r="E80" s="6">
        <v>10</v>
      </c>
      <c r="F80" s="6">
        <v>1</v>
      </c>
      <c r="H80" s="6" t="str">
        <f t="shared" si="60"/>
        <v>SELECT 304, 101, 1, 'Zjednoczone Emiraty Arabskie', 10, 1 UNION ALL</v>
      </c>
      <c r="K80">
        <v>1</v>
      </c>
      <c r="L80">
        <v>5</v>
      </c>
      <c r="M80" s="6">
        <v>14</v>
      </c>
      <c r="N80" s="6">
        <v>15</v>
      </c>
      <c r="P80" s="6" t="str">
        <f t="shared" si="61"/>
        <v>SELECT 313, 304, 1, 1 UNION ALL</v>
      </c>
      <c r="Q80" s="6" t="str">
        <f t="shared" si="62"/>
        <v>SELECT 314, 304, 2, 5 UNION ALL</v>
      </c>
      <c r="R80" s="6" t="str">
        <f t="shared" si="63"/>
        <v>SELECT 315, 304, 3, 14 UNION ALL</v>
      </c>
      <c r="S80" s="6" t="str">
        <f t="shared" si="64"/>
        <v>SELECT 316, 304, 7, 15 UNION ALL</v>
      </c>
      <c r="V80" s="6" t="str">
        <f t="shared" si="77"/>
        <v/>
      </c>
      <c r="W80" s="6" t="str">
        <f t="shared" si="66"/>
        <v>Zjednoczone Emiraty Arabskie</v>
      </c>
    </row>
    <row r="81" spans="1:40">
      <c r="A81" s="6">
        <v>307</v>
      </c>
      <c r="B81" s="6">
        <v>102</v>
      </c>
      <c r="C81" s="6">
        <v>1</v>
      </c>
      <c r="D81" s="6" t="s">
        <v>323</v>
      </c>
      <c r="E81" s="6">
        <v>10</v>
      </c>
      <c r="F81" s="6">
        <v>1</v>
      </c>
      <c r="H81" s="6" t="str">
        <f t="shared" si="60"/>
        <v>SELECT 307, 102, 1, 'Kuwejt', 10, 1 UNION ALL</v>
      </c>
      <c r="K81">
        <v>1</v>
      </c>
      <c r="L81" s="6">
        <v>4</v>
      </c>
      <c r="M81" s="6">
        <v>14</v>
      </c>
      <c r="N81" s="6">
        <v>15</v>
      </c>
      <c r="P81" s="6" t="str">
        <f t="shared" si="61"/>
        <v>SELECT 317, 307, 1, 1 UNION ALL</v>
      </c>
      <c r="Q81" s="6" t="str">
        <f t="shared" si="62"/>
        <v>SELECT 318, 307, 2, 4 UNION ALL</v>
      </c>
      <c r="R81" s="6" t="str">
        <f t="shared" si="63"/>
        <v>SELECT 319, 307, 3, 14 UNION ALL</v>
      </c>
      <c r="S81" s="6" t="str">
        <f t="shared" si="64"/>
        <v>SELECT 320, 307, 7, 15 UNION ALL</v>
      </c>
      <c r="V81" s="6" t="str">
        <f t="shared" si="77"/>
        <v/>
      </c>
      <c r="W81" s="6" t="str">
        <f t="shared" si="66"/>
        <v>Kuwejt</v>
      </c>
    </row>
    <row r="82" spans="1:40">
      <c r="A82" s="6">
        <v>309</v>
      </c>
      <c r="B82" s="6">
        <v>193</v>
      </c>
      <c r="C82" s="6">
        <v>1</v>
      </c>
      <c r="D82" s="6" t="s">
        <v>493</v>
      </c>
      <c r="E82" s="6">
        <v>10</v>
      </c>
      <c r="F82" s="6">
        <v>1</v>
      </c>
      <c r="H82" s="6" t="str">
        <f t="shared" si="60"/>
        <v>SELECT 309, 193, 1, 'Dominikana', 10, 1 UNION ALL</v>
      </c>
      <c r="K82">
        <v>2</v>
      </c>
      <c r="L82" s="6">
        <v>4</v>
      </c>
      <c r="M82" s="6">
        <v>14</v>
      </c>
      <c r="N82" s="6">
        <v>15</v>
      </c>
      <c r="P82" s="6" t="str">
        <f t="shared" si="61"/>
        <v>SELECT 321, 309, 1, 2 UNION ALL</v>
      </c>
      <c r="Q82" s="6" t="str">
        <f t="shared" si="62"/>
        <v>SELECT 322, 309, 2, 4 UNION ALL</v>
      </c>
      <c r="R82" s="6" t="str">
        <f t="shared" si="63"/>
        <v>SELECT 323, 309, 3, 14 UNION ALL</v>
      </c>
      <c r="S82" s="6" t="str">
        <f t="shared" si="64"/>
        <v>SELECT 324, 309, 7, 15 UNION ALL</v>
      </c>
      <c r="V82" s="6" t="str">
        <f t="shared" si="77"/>
        <v/>
      </c>
      <c r="W82" s="6" t="str">
        <f t="shared" si="66"/>
        <v>Dominikana</v>
      </c>
    </row>
    <row r="83" spans="1:40">
      <c r="A83" s="6">
        <v>311</v>
      </c>
      <c r="B83" s="6">
        <v>174</v>
      </c>
      <c r="C83" s="6">
        <v>1</v>
      </c>
      <c r="D83" s="6" t="s">
        <v>459</v>
      </c>
      <c r="E83" s="6">
        <v>10</v>
      </c>
      <c r="F83" s="6">
        <v>1</v>
      </c>
      <c r="H83" s="6" t="str">
        <f t="shared" si="60"/>
        <v>SELECT 311, 174, 1, 'RPA', 10, 1 UNION ALL</v>
      </c>
      <c r="K83">
        <v>1</v>
      </c>
      <c r="L83" s="6">
        <v>4</v>
      </c>
      <c r="M83" s="6">
        <v>14</v>
      </c>
      <c r="N83" s="6">
        <v>15</v>
      </c>
      <c r="P83" s="6" t="str">
        <f t="shared" si="61"/>
        <v>SELECT 325, 311, 1, 1 UNION ALL</v>
      </c>
      <c r="Q83" s="6" t="str">
        <f t="shared" si="62"/>
        <v>SELECT 326, 311, 2, 4 UNION ALL</v>
      </c>
      <c r="R83" s="6" t="str">
        <f t="shared" si="63"/>
        <v>SELECT 327, 311, 3, 14 UNION ALL</v>
      </c>
      <c r="S83" s="6" t="str">
        <f t="shared" si="64"/>
        <v>SELECT 328, 311, 7, 15 UNION ALL</v>
      </c>
      <c r="V83" s="6" t="s">
        <v>2641</v>
      </c>
      <c r="W83" s="6" t="str">
        <f t="shared" si="66"/>
        <v>RPA</v>
      </c>
      <c r="Y83" s="6" t="str">
        <f>W83</f>
        <v>RPA</v>
      </c>
      <c r="Z83" s="6" t="str">
        <f>$W83</f>
        <v>RPA</v>
      </c>
      <c r="AA83" s="6" t="str">
        <f>$W83</f>
        <v>RPA</v>
      </c>
      <c r="AB83" s="6" t="str">
        <f>$W83</f>
        <v>RPA</v>
      </c>
      <c r="AC83" s="6" t="str">
        <f>"z "&amp;W83</f>
        <v>z RPA</v>
      </c>
      <c r="AD83" s="6" t="str">
        <f>$W83</f>
        <v>RPA</v>
      </c>
      <c r="AE83" s="6" t="str">
        <f>$W83</f>
        <v>RPA</v>
      </c>
      <c r="AF83" s="6"/>
      <c r="AG83" s="6"/>
      <c r="AH83" s="6"/>
      <c r="AI83" s="6"/>
      <c r="AJ83" s="6"/>
      <c r="AK83" s="6"/>
      <c r="AL83" s="6"/>
      <c r="AM83" s="6" t="str">
        <f>"do "&amp;W83</f>
        <v>do RPA</v>
      </c>
      <c r="AN83" s="6" t="str">
        <f>"w "&amp;W83</f>
        <v>w RPA</v>
      </c>
    </row>
    <row r="84" spans="1:40">
      <c r="A84" s="6">
        <v>312</v>
      </c>
      <c r="B84" s="6">
        <v>174</v>
      </c>
      <c r="C84" s="6">
        <v>1</v>
      </c>
      <c r="D84" s="6" t="s">
        <v>780</v>
      </c>
      <c r="E84" s="6">
        <v>7</v>
      </c>
      <c r="F84" s="6">
        <v>1</v>
      </c>
      <c r="H84" s="6" t="str">
        <f t="shared" si="60"/>
        <v>SELECT 312, 174, 1, 'Republika Południowej Afryki', 7, 1 UNION ALL</v>
      </c>
      <c r="K84">
        <v>2</v>
      </c>
      <c r="L84" s="6">
        <v>4</v>
      </c>
      <c r="M84" s="6">
        <v>14</v>
      </c>
      <c r="N84" s="6">
        <v>15</v>
      </c>
      <c r="P84" s="6" t="str">
        <f t="shared" si="61"/>
        <v>SELECT 329, 312, 1, 2 UNION ALL</v>
      </c>
      <c r="Q84" s="6" t="str">
        <f t="shared" si="62"/>
        <v>SELECT 330, 312, 2, 4 UNION ALL</v>
      </c>
      <c r="R84" s="6" t="str">
        <f t="shared" si="63"/>
        <v>SELECT 331, 312, 3, 14 UNION ALL</v>
      </c>
      <c r="S84" s="6" t="str">
        <f t="shared" si="64"/>
        <v>SELECT 332, 312, 7, 15 UNION ALL</v>
      </c>
      <c r="V84" s="6" t="str">
        <f t="shared" si="77"/>
        <v/>
      </c>
      <c r="W84" s="6" t="str">
        <f t="shared" si="66"/>
        <v>Republika Południowej Afryki</v>
      </c>
    </row>
    <row r="85" spans="1:40">
      <c r="A85" s="6">
        <v>313</v>
      </c>
      <c r="B85" s="6">
        <v>174</v>
      </c>
      <c r="C85" s="6">
        <v>1</v>
      </c>
      <c r="D85" s="6" t="s">
        <v>782</v>
      </c>
      <c r="E85" s="6">
        <v>4</v>
      </c>
      <c r="F85" s="6">
        <v>1</v>
      </c>
      <c r="H85" s="6" t="str">
        <f t="shared" si="60"/>
        <v>SELECT 313, 174, 1, 'Południowa Afryka', 4, 1 UNION ALL</v>
      </c>
      <c r="K85">
        <v>2</v>
      </c>
      <c r="L85" s="6">
        <v>4</v>
      </c>
      <c r="M85" s="6">
        <v>14</v>
      </c>
      <c r="N85" s="6">
        <v>15</v>
      </c>
      <c r="P85" s="6" t="str">
        <f t="shared" si="61"/>
        <v>SELECT 333, 313, 1, 2 UNION ALL</v>
      </c>
      <c r="Q85" s="6" t="str">
        <f t="shared" si="62"/>
        <v>SELECT 334, 313, 2, 4 UNION ALL</v>
      </c>
      <c r="R85" s="6" t="str">
        <f t="shared" si="63"/>
        <v>SELECT 335, 313, 3, 14 UNION ALL</v>
      </c>
      <c r="S85" s="6" t="str">
        <f t="shared" si="64"/>
        <v>SELECT 336, 313, 7, 15 UNION ALL</v>
      </c>
      <c r="V85" s="6" t="str">
        <f t="shared" si="77"/>
        <v/>
      </c>
      <c r="W85" s="6" t="str">
        <f t="shared" si="66"/>
        <v>Południowa Afryka</v>
      </c>
    </row>
    <row r="86" spans="1:40">
      <c r="A86" s="6">
        <v>314</v>
      </c>
      <c r="B86" s="6">
        <v>166</v>
      </c>
      <c r="C86" s="6">
        <v>1</v>
      </c>
      <c r="D86" s="6" t="s">
        <v>445</v>
      </c>
      <c r="E86" s="6">
        <v>10</v>
      </c>
      <c r="F86" s="6">
        <v>1</v>
      </c>
      <c r="H86" s="6" t="str">
        <f t="shared" si="60"/>
        <v>SELECT 314, 166, 1, 'Kenia', 10, 1 UNION ALL</v>
      </c>
      <c r="K86">
        <v>2</v>
      </c>
      <c r="L86" s="6">
        <v>4</v>
      </c>
      <c r="M86" s="6">
        <v>14</v>
      </c>
      <c r="N86" s="6">
        <v>15</v>
      </c>
      <c r="P86" s="6" t="str">
        <f t="shared" si="61"/>
        <v>SELECT 337, 314, 1, 2 UNION ALL</v>
      </c>
      <c r="Q86" s="6" t="str">
        <f t="shared" si="62"/>
        <v>SELECT 338, 314, 2, 4 UNION ALL</v>
      </c>
      <c r="R86" s="6" t="str">
        <f t="shared" si="63"/>
        <v>SELECT 339, 314, 3, 14 UNION ALL</v>
      </c>
      <c r="S86" s="6" t="str">
        <f t="shared" si="64"/>
        <v>SELECT 340, 314, 7, 15 UNION ALL</v>
      </c>
      <c r="V86" s="6" t="str">
        <f t="shared" si="67"/>
        <v>ia</v>
      </c>
      <c r="W86" s="6" t="str">
        <f t="shared" si="66"/>
        <v>Ken</v>
      </c>
      <c r="Y86" s="6" t="str">
        <f>W86&amp;V86</f>
        <v>Kenia</v>
      </c>
      <c r="Z86" s="6" t="str">
        <f>W86&amp;"ii"</f>
        <v>Kenii</v>
      </c>
      <c r="AA86" s="6" t="str">
        <f>W86&amp;"ii"</f>
        <v>Kenii</v>
      </c>
      <c r="AB86" s="6" t="str">
        <f>W86&amp;"ię"</f>
        <v>Kenię</v>
      </c>
      <c r="AC86" s="6" t="str">
        <f>"z "&amp;W86&amp;"ią"</f>
        <v>z Kenią</v>
      </c>
      <c r="AD86" s="6" t="str">
        <f>""&amp;W86&amp;"ii"</f>
        <v>Kenii</v>
      </c>
      <c r="AE86" s="6" t="str">
        <f>W86&amp;"io"</f>
        <v>Kenio</v>
      </c>
      <c r="AF86" s="6"/>
      <c r="AG86" s="6"/>
      <c r="AH86" s="6"/>
      <c r="AI86" s="6"/>
      <c r="AJ86" s="6"/>
      <c r="AK86" s="6"/>
      <c r="AL86" s="6"/>
      <c r="AM86" s="6" t="str">
        <f>"do "&amp;W86&amp;"ii"</f>
        <v>do Kenii</v>
      </c>
      <c r="AN86" s="6" t="str">
        <f>"w "&amp;W86&amp;"ii"</f>
        <v>w Kenii</v>
      </c>
    </row>
    <row r="87" spans="1:40">
      <c r="A87" s="6">
        <v>315</v>
      </c>
      <c r="B87" s="6">
        <v>159</v>
      </c>
      <c r="C87" s="6">
        <v>1</v>
      </c>
      <c r="D87" s="6" t="s">
        <v>433</v>
      </c>
      <c r="E87" s="6">
        <v>10</v>
      </c>
      <c r="F87" s="6">
        <v>1</v>
      </c>
      <c r="H87" s="6" t="str">
        <f t="shared" si="60"/>
        <v>SELECT 315, 159, 1, 'Kamerun', 10, 1 UNION ALL</v>
      </c>
      <c r="K87">
        <v>1</v>
      </c>
      <c r="L87" s="6">
        <v>4</v>
      </c>
      <c r="M87" s="6">
        <v>14</v>
      </c>
      <c r="N87" s="6">
        <v>15</v>
      </c>
      <c r="P87" s="6" t="str">
        <f t="shared" si="61"/>
        <v>SELECT 341, 315, 1, 1 UNION ALL</v>
      </c>
      <c r="Q87" s="6" t="str">
        <f t="shared" si="62"/>
        <v>SELECT 342, 315, 2, 4 UNION ALL</v>
      </c>
      <c r="R87" s="6" t="str">
        <f t="shared" si="63"/>
        <v>SELECT 343, 315, 3, 14 UNION ALL</v>
      </c>
      <c r="S87" s="6" t="str">
        <f t="shared" si="64"/>
        <v>SELECT 344, 315, 7, 15 UNION ALL</v>
      </c>
      <c r="V87" s="6" t="str">
        <f>IF(RIGHT(D87,4)="stan","stan","")</f>
        <v/>
      </c>
      <c r="W87" s="6" t="str">
        <f t="shared" si="66"/>
        <v>Kamerun</v>
      </c>
    </row>
    <row r="88" spans="1:40">
      <c r="A88" s="6">
        <v>317</v>
      </c>
      <c r="B88" s="6">
        <v>158</v>
      </c>
      <c r="C88" s="6">
        <v>1</v>
      </c>
      <c r="D88" s="6" t="s">
        <v>431</v>
      </c>
      <c r="E88" s="6">
        <v>10</v>
      </c>
      <c r="F88" s="6">
        <v>1</v>
      </c>
      <c r="H88" s="6" t="str">
        <f t="shared" si="60"/>
        <v>SELECT 317, 158, 1, 'Nigeria', 10, 1 UNION ALL</v>
      </c>
      <c r="K88">
        <v>2</v>
      </c>
      <c r="L88" s="6">
        <v>4</v>
      </c>
      <c r="M88" s="6">
        <v>14</v>
      </c>
      <c r="N88" s="6">
        <v>15</v>
      </c>
      <c r="P88" s="6" t="str">
        <f t="shared" si="61"/>
        <v>SELECT 345, 317, 1, 2 UNION ALL</v>
      </c>
      <c r="Q88" s="6" t="str">
        <f t="shared" si="62"/>
        <v>SELECT 346, 317, 2, 4 UNION ALL</v>
      </c>
      <c r="R88" s="6" t="str">
        <f t="shared" si="63"/>
        <v>SELECT 347, 317, 3, 14 UNION ALL</v>
      </c>
      <c r="S88" s="6" t="str">
        <f t="shared" si="64"/>
        <v>SELECT 348, 317, 7, 15 UNION ALL</v>
      </c>
      <c r="V88" s="6" t="str">
        <f t="shared" si="67"/>
        <v>ia</v>
      </c>
      <c r="W88" s="6" t="str">
        <f t="shared" si="66"/>
        <v>Niger</v>
      </c>
      <c r="Y88" s="6" t="str">
        <f t="shared" ref="Y88:Y94" si="78">W88&amp;V88</f>
        <v>Nigeria</v>
      </c>
      <c r="Z88" s="6" t="str">
        <f t="shared" ref="Z88:Z94" si="79">W88&amp;"ii"</f>
        <v>Nigerii</v>
      </c>
      <c r="AA88" s="6" t="str">
        <f t="shared" ref="AA88:AA94" si="80">W88&amp;"ii"</f>
        <v>Nigerii</v>
      </c>
      <c r="AB88" s="6" t="str">
        <f t="shared" ref="AB88:AB94" si="81">W88&amp;"ię"</f>
        <v>Nigerię</v>
      </c>
      <c r="AC88" s="6" t="str">
        <f t="shared" ref="AC88:AC94" si="82">"z "&amp;W88&amp;"ią"</f>
        <v>z Nigerią</v>
      </c>
      <c r="AD88" s="6" t="str">
        <f t="shared" ref="AD88:AD94" si="83">""&amp;W88&amp;"ii"</f>
        <v>Nigerii</v>
      </c>
      <c r="AE88" s="6" t="str">
        <f t="shared" ref="AE88:AE94" si="84">W88&amp;"io"</f>
        <v>Nigerio</v>
      </c>
      <c r="AF88" s="6"/>
      <c r="AG88" s="6"/>
      <c r="AH88" s="6"/>
      <c r="AI88" s="6"/>
      <c r="AJ88" s="6"/>
      <c r="AK88" s="6"/>
      <c r="AL88" s="6"/>
      <c r="AM88" s="6" t="str">
        <f t="shared" ref="AM88:AM94" si="85">"do "&amp;W88&amp;"ii"</f>
        <v>do Nigerii</v>
      </c>
      <c r="AN88" s="6" t="str">
        <f t="shared" ref="AN88:AN94" si="86">"w "&amp;W88&amp;"ii"</f>
        <v>w Nigerii</v>
      </c>
    </row>
    <row r="89" spans="1:40">
      <c r="A89" s="6">
        <v>319</v>
      </c>
      <c r="B89" s="6">
        <v>139</v>
      </c>
      <c r="C89" s="6">
        <v>1</v>
      </c>
      <c r="D89" s="6" t="s">
        <v>393</v>
      </c>
      <c r="E89" s="6">
        <v>10</v>
      </c>
      <c r="F89" s="6">
        <v>1</v>
      </c>
      <c r="H89" s="6" t="str">
        <f t="shared" si="60"/>
        <v>SELECT 319, 139, 1, 'Algieria', 10, 1 UNION ALL</v>
      </c>
      <c r="K89">
        <v>2</v>
      </c>
      <c r="L89" s="6">
        <v>4</v>
      </c>
      <c r="M89" s="6">
        <v>14</v>
      </c>
      <c r="N89" s="6">
        <v>15</v>
      </c>
      <c r="P89" s="6" t="str">
        <f t="shared" si="61"/>
        <v>SELECT 349, 319, 1, 2 UNION ALL</v>
      </c>
      <c r="Q89" s="6" t="str">
        <f t="shared" si="62"/>
        <v>SELECT 350, 319, 2, 4 UNION ALL</v>
      </c>
      <c r="R89" s="6" t="str">
        <f t="shared" si="63"/>
        <v>SELECT 351, 319, 3, 14 UNION ALL</v>
      </c>
      <c r="S89" s="6" t="str">
        <f t="shared" si="64"/>
        <v>SELECT 352, 319, 7, 15 UNION ALL</v>
      </c>
      <c r="V89" s="6" t="str">
        <f t="shared" si="67"/>
        <v>ia</v>
      </c>
      <c r="W89" s="6" t="str">
        <f t="shared" si="66"/>
        <v>Algier</v>
      </c>
      <c r="Y89" s="6" t="str">
        <f t="shared" si="78"/>
        <v>Algieria</v>
      </c>
      <c r="Z89" s="6" t="str">
        <f t="shared" si="79"/>
        <v>Algierii</v>
      </c>
      <c r="AA89" s="6" t="str">
        <f t="shared" si="80"/>
        <v>Algierii</v>
      </c>
      <c r="AB89" s="6" t="str">
        <f t="shared" si="81"/>
        <v>Algierię</v>
      </c>
      <c r="AC89" s="6" t="str">
        <f t="shared" si="82"/>
        <v>z Algierią</v>
      </c>
      <c r="AD89" s="6" t="str">
        <f t="shared" si="83"/>
        <v>Algierii</v>
      </c>
      <c r="AE89" s="6" t="str">
        <f t="shared" si="84"/>
        <v>Algierio</v>
      </c>
      <c r="AF89" s="6"/>
      <c r="AG89" s="6"/>
      <c r="AH89" s="6"/>
      <c r="AI89" s="6"/>
      <c r="AJ89" s="6"/>
      <c r="AK89" s="6"/>
      <c r="AL89" s="6"/>
      <c r="AM89" s="6" t="str">
        <f t="shared" si="85"/>
        <v>do Algierii</v>
      </c>
      <c r="AN89" s="6" t="str">
        <f t="shared" si="86"/>
        <v>w Algierii</v>
      </c>
    </row>
    <row r="90" spans="1:40">
      <c r="A90" s="6">
        <v>321</v>
      </c>
      <c r="B90" s="6">
        <v>184</v>
      </c>
      <c r="C90" s="6">
        <v>1</v>
      </c>
      <c r="D90" s="6" t="s">
        <v>477</v>
      </c>
      <c r="E90" s="6">
        <v>10</v>
      </c>
      <c r="F90" s="6">
        <v>1</v>
      </c>
      <c r="H90" s="6" t="str">
        <f t="shared" si="60"/>
        <v>SELECT 321, 184, 1, 'Grenlandia', 10, 1 UNION ALL</v>
      </c>
      <c r="K90">
        <v>2</v>
      </c>
      <c r="L90" s="6">
        <v>4</v>
      </c>
      <c r="M90" s="6">
        <v>14</v>
      </c>
      <c r="N90" s="6">
        <v>15</v>
      </c>
      <c r="P90" s="6" t="str">
        <f t="shared" si="61"/>
        <v>SELECT 353, 321, 1, 2 UNION ALL</v>
      </c>
      <c r="Q90" s="6" t="str">
        <f t="shared" si="62"/>
        <v>SELECT 354, 321, 2, 4 UNION ALL</v>
      </c>
      <c r="R90" s="6" t="str">
        <f t="shared" si="63"/>
        <v>SELECT 355, 321, 3, 14 UNION ALL</v>
      </c>
      <c r="S90" s="6" t="str">
        <f t="shared" si="64"/>
        <v>SELECT 356, 321, 7, 15 UNION ALL</v>
      </c>
      <c r="V90" s="6" t="str">
        <f t="shared" si="67"/>
        <v>ia</v>
      </c>
      <c r="W90" s="6" t="str">
        <f t="shared" si="66"/>
        <v>Grenland</v>
      </c>
      <c r="Y90" s="6" t="str">
        <f t="shared" si="78"/>
        <v>Grenlandia</v>
      </c>
      <c r="Z90" s="6" t="str">
        <f t="shared" si="79"/>
        <v>Grenlandii</v>
      </c>
      <c r="AA90" s="6" t="str">
        <f t="shared" si="80"/>
        <v>Grenlandii</v>
      </c>
      <c r="AB90" s="6" t="str">
        <f t="shared" si="81"/>
        <v>Grenlandię</v>
      </c>
      <c r="AC90" s="6" t="str">
        <f t="shared" si="82"/>
        <v>z Grenlandią</v>
      </c>
      <c r="AD90" s="6" t="str">
        <f t="shared" si="83"/>
        <v>Grenlandii</v>
      </c>
      <c r="AE90" s="6" t="str">
        <f t="shared" si="84"/>
        <v>Grenlandio</v>
      </c>
      <c r="AF90" s="6"/>
      <c r="AG90" s="6"/>
      <c r="AH90" s="6"/>
      <c r="AI90" s="6"/>
      <c r="AJ90" s="6"/>
      <c r="AK90" s="6"/>
      <c r="AL90" s="6"/>
      <c r="AM90" s="6" t="s">
        <v>2635</v>
      </c>
      <c r="AN90" s="6" t="s">
        <v>2636</v>
      </c>
    </row>
    <row r="91" spans="1:40">
      <c r="A91" s="6">
        <v>322</v>
      </c>
      <c r="B91" s="6">
        <v>167</v>
      </c>
      <c r="C91" s="6">
        <v>1</v>
      </c>
      <c r="D91" s="6" t="s">
        <v>447</v>
      </c>
      <c r="E91" s="6">
        <v>10</v>
      </c>
      <c r="F91" s="6">
        <v>1</v>
      </c>
      <c r="H91" s="6" t="str">
        <f t="shared" si="60"/>
        <v>SELECT 322, 167, 1, 'Tanzania', 10, 1 UNION ALL</v>
      </c>
      <c r="K91">
        <v>2</v>
      </c>
      <c r="L91" s="6">
        <v>4</v>
      </c>
      <c r="M91" s="6">
        <v>14</v>
      </c>
      <c r="N91" s="6">
        <v>15</v>
      </c>
      <c r="P91" s="6" t="str">
        <f t="shared" si="61"/>
        <v>SELECT 357, 322, 1, 2 UNION ALL</v>
      </c>
      <c r="Q91" s="6" t="str">
        <f t="shared" si="62"/>
        <v>SELECT 358, 322, 2, 4 UNION ALL</v>
      </c>
      <c r="R91" s="6" t="str">
        <f t="shared" si="63"/>
        <v>SELECT 359, 322, 3, 14 UNION ALL</v>
      </c>
      <c r="S91" s="6" t="str">
        <f t="shared" si="64"/>
        <v>SELECT 360, 322, 7, 15 UNION ALL</v>
      </c>
      <c r="V91" s="6" t="str">
        <f t="shared" si="67"/>
        <v>ia</v>
      </c>
      <c r="W91" s="6" t="str">
        <f t="shared" si="66"/>
        <v>Tanzan</v>
      </c>
      <c r="Y91" s="6" t="str">
        <f t="shared" si="78"/>
        <v>Tanzania</v>
      </c>
      <c r="Z91" s="6" t="str">
        <f t="shared" si="79"/>
        <v>Tanzanii</v>
      </c>
      <c r="AA91" s="6" t="str">
        <f t="shared" si="80"/>
        <v>Tanzanii</v>
      </c>
      <c r="AB91" s="6" t="str">
        <f t="shared" si="81"/>
        <v>Tanzanię</v>
      </c>
      <c r="AC91" s="6" t="str">
        <f t="shared" si="82"/>
        <v>z Tanzanią</v>
      </c>
      <c r="AD91" s="6" t="str">
        <f t="shared" si="83"/>
        <v>Tanzanii</v>
      </c>
      <c r="AE91" s="6" t="str">
        <f t="shared" si="84"/>
        <v>Tanzanio</v>
      </c>
      <c r="AF91" s="6"/>
      <c r="AG91" s="6"/>
      <c r="AH91" s="6"/>
      <c r="AI91" s="6"/>
      <c r="AJ91" s="6"/>
      <c r="AK91" s="6"/>
      <c r="AL91" s="6"/>
      <c r="AM91" s="6" t="str">
        <f t="shared" si="85"/>
        <v>do Tanzanii</v>
      </c>
      <c r="AN91" s="6" t="str">
        <f t="shared" si="86"/>
        <v>w Tanzanii</v>
      </c>
    </row>
    <row r="92" spans="1:40">
      <c r="A92" s="6">
        <v>323</v>
      </c>
      <c r="B92" s="6">
        <v>152</v>
      </c>
      <c r="C92" s="6">
        <v>1</v>
      </c>
      <c r="D92" s="6" t="s">
        <v>419</v>
      </c>
      <c r="E92" s="6">
        <v>10</v>
      </c>
      <c r="F92" s="6">
        <v>0</v>
      </c>
      <c r="H92" s="6" t="str">
        <f t="shared" si="60"/>
        <v>SELECT 323, 152, 1, 'Somalia', 10, 0 UNION ALL</v>
      </c>
      <c r="K92">
        <v>2</v>
      </c>
      <c r="L92" s="6">
        <v>4</v>
      </c>
      <c r="M92" s="6">
        <v>14</v>
      </c>
      <c r="N92" s="6">
        <v>15</v>
      </c>
      <c r="P92" s="6" t="str">
        <f t="shared" si="61"/>
        <v>SELECT 361, 323, 1, 2 UNION ALL</v>
      </c>
      <c r="Q92" s="6" t="str">
        <f t="shared" si="62"/>
        <v>SELECT 362, 323, 2, 4 UNION ALL</v>
      </c>
      <c r="R92" s="6" t="str">
        <f t="shared" si="63"/>
        <v>SELECT 363, 323, 3, 14 UNION ALL</v>
      </c>
      <c r="S92" s="6" t="str">
        <f t="shared" si="64"/>
        <v>SELECT 364, 323, 7, 15 UNION ALL</v>
      </c>
      <c r="V92" s="6" t="str">
        <f t="shared" si="67"/>
        <v>ia</v>
      </c>
      <c r="W92" s="6" t="str">
        <f t="shared" si="66"/>
        <v>Somal</v>
      </c>
      <c r="Y92" s="6" t="str">
        <f t="shared" si="78"/>
        <v>Somalia</v>
      </c>
      <c r="Z92" s="6" t="str">
        <f t="shared" si="79"/>
        <v>Somalii</v>
      </c>
      <c r="AA92" s="6" t="str">
        <f t="shared" si="80"/>
        <v>Somalii</v>
      </c>
      <c r="AB92" s="6" t="str">
        <f t="shared" si="81"/>
        <v>Somalię</v>
      </c>
      <c r="AC92" s="6" t="str">
        <f t="shared" si="82"/>
        <v>z Somalią</v>
      </c>
      <c r="AD92" s="6" t="str">
        <f t="shared" si="83"/>
        <v>Somalii</v>
      </c>
      <c r="AE92" s="6" t="str">
        <f t="shared" si="84"/>
        <v>Somalio</v>
      </c>
      <c r="AF92" s="6"/>
      <c r="AG92" s="6"/>
      <c r="AH92" s="6"/>
      <c r="AI92" s="6"/>
      <c r="AJ92" s="6"/>
      <c r="AK92" s="6"/>
      <c r="AL92" s="6"/>
      <c r="AM92" s="6" t="str">
        <f t="shared" si="85"/>
        <v>do Somalii</v>
      </c>
      <c r="AN92" s="6" t="str">
        <f t="shared" si="86"/>
        <v>w Somalii</v>
      </c>
    </row>
    <row r="93" spans="1:40">
      <c r="A93" s="6">
        <v>324</v>
      </c>
      <c r="B93" s="6">
        <v>149</v>
      </c>
      <c r="C93" s="6">
        <v>1</v>
      </c>
      <c r="D93" s="6" t="s">
        <v>413</v>
      </c>
      <c r="E93" s="6">
        <v>10</v>
      </c>
      <c r="F93" s="6">
        <v>1</v>
      </c>
      <c r="H93" s="6" t="str">
        <f t="shared" si="60"/>
        <v>SELECT 324, 149, 1, 'Gambia', 10, 1 UNION ALL</v>
      </c>
      <c r="K93">
        <v>2</v>
      </c>
      <c r="L93" s="6">
        <v>4</v>
      </c>
      <c r="M93" s="6">
        <v>14</v>
      </c>
      <c r="N93" s="6">
        <v>15</v>
      </c>
      <c r="P93" s="6" t="str">
        <f t="shared" si="61"/>
        <v>SELECT 365, 324, 1, 2 UNION ALL</v>
      </c>
      <c r="Q93" s="6" t="str">
        <f t="shared" si="62"/>
        <v>SELECT 366, 324, 2, 4 UNION ALL</v>
      </c>
      <c r="R93" s="6" t="str">
        <f t="shared" si="63"/>
        <v>SELECT 367, 324, 3, 14 UNION ALL</v>
      </c>
      <c r="S93" s="6" t="str">
        <f t="shared" si="64"/>
        <v>SELECT 368, 324, 7, 15 UNION ALL</v>
      </c>
      <c r="V93" s="6" t="str">
        <f t="shared" si="67"/>
        <v>ia</v>
      </c>
      <c r="W93" s="6" t="str">
        <f t="shared" si="66"/>
        <v>Gamb</v>
      </c>
      <c r="Y93" s="6" t="str">
        <f t="shared" si="78"/>
        <v>Gambia</v>
      </c>
      <c r="Z93" s="6" t="str">
        <f t="shared" si="79"/>
        <v>Gambii</v>
      </c>
      <c r="AA93" s="6" t="str">
        <f t="shared" si="80"/>
        <v>Gambii</v>
      </c>
      <c r="AB93" s="6" t="str">
        <f t="shared" si="81"/>
        <v>Gambię</v>
      </c>
      <c r="AC93" s="6" t="str">
        <f t="shared" si="82"/>
        <v>z Gambią</v>
      </c>
      <c r="AD93" s="6" t="str">
        <f t="shared" si="83"/>
        <v>Gambii</v>
      </c>
      <c r="AE93" s="6" t="str">
        <f t="shared" si="84"/>
        <v>Gambio</v>
      </c>
      <c r="AF93" s="6"/>
      <c r="AG93" s="6"/>
      <c r="AH93" s="6"/>
      <c r="AI93" s="6"/>
      <c r="AJ93" s="6"/>
      <c r="AK93" s="6"/>
      <c r="AL93" s="6"/>
      <c r="AM93" s="6" t="str">
        <f t="shared" si="85"/>
        <v>do Gambii</v>
      </c>
      <c r="AN93" s="6" t="str">
        <f t="shared" si="86"/>
        <v>w Gambii</v>
      </c>
    </row>
    <row r="94" spans="1:40">
      <c r="A94" s="6">
        <v>325</v>
      </c>
      <c r="B94" s="6">
        <v>132</v>
      </c>
      <c r="C94" s="6">
        <v>1</v>
      </c>
      <c r="D94" s="6" t="s">
        <v>379</v>
      </c>
      <c r="E94" s="6">
        <v>10</v>
      </c>
      <c r="F94" s="6">
        <v>1</v>
      </c>
      <c r="H94" s="6" t="str">
        <f t="shared" si="60"/>
        <v>SELECT 325, 132, 1, 'Australia', 10, 1 UNION ALL</v>
      </c>
      <c r="K94">
        <v>2</v>
      </c>
      <c r="L94" s="6">
        <v>4</v>
      </c>
      <c r="M94" s="6">
        <v>14</v>
      </c>
      <c r="N94" s="6">
        <v>15</v>
      </c>
      <c r="P94" s="6" t="str">
        <f t="shared" si="61"/>
        <v>SELECT 369, 325, 1, 2 UNION ALL</v>
      </c>
      <c r="Q94" s="6" t="str">
        <f t="shared" si="62"/>
        <v>SELECT 370, 325, 2, 4 UNION ALL</v>
      </c>
      <c r="R94" s="6" t="str">
        <f t="shared" si="63"/>
        <v>SELECT 371, 325, 3, 14 UNION ALL</v>
      </c>
      <c r="S94" s="6" t="str">
        <f t="shared" si="64"/>
        <v>SELECT 372, 325, 7, 15 UNION ALL</v>
      </c>
      <c r="V94" s="6" t="str">
        <f t="shared" si="67"/>
        <v>ia</v>
      </c>
      <c r="W94" s="6" t="str">
        <f t="shared" si="66"/>
        <v>Austral</v>
      </c>
      <c r="Y94" s="6" t="str">
        <f t="shared" si="78"/>
        <v>Australia</v>
      </c>
      <c r="Z94" s="6" t="str">
        <f t="shared" si="79"/>
        <v>Australii</v>
      </c>
      <c r="AA94" s="6" t="str">
        <f t="shared" si="80"/>
        <v>Australii</v>
      </c>
      <c r="AB94" s="6" t="str">
        <f t="shared" si="81"/>
        <v>Australię</v>
      </c>
      <c r="AC94" s="6" t="str">
        <f t="shared" si="82"/>
        <v>z Australią</v>
      </c>
      <c r="AD94" s="6" t="str">
        <f t="shared" si="83"/>
        <v>Australii</v>
      </c>
      <c r="AE94" s="6" t="str">
        <f t="shared" si="84"/>
        <v>Australio</v>
      </c>
      <c r="AF94" s="6"/>
      <c r="AG94" s="6"/>
      <c r="AH94" s="6"/>
      <c r="AI94" s="6"/>
      <c r="AJ94" s="6"/>
      <c r="AK94" s="6"/>
      <c r="AL94" s="6"/>
      <c r="AM94" s="6" t="str">
        <f t="shared" si="85"/>
        <v>do Australii</v>
      </c>
      <c r="AN94" s="6" t="str">
        <f t="shared" si="86"/>
        <v>w Australii</v>
      </c>
    </row>
    <row r="95" spans="1:40">
      <c r="A95" s="6">
        <v>326</v>
      </c>
      <c r="B95" s="6">
        <v>194</v>
      </c>
      <c r="C95" s="6">
        <v>1</v>
      </c>
      <c r="D95" s="6" t="s">
        <v>495</v>
      </c>
      <c r="E95" s="6">
        <v>10</v>
      </c>
      <c r="F95" s="6">
        <v>1</v>
      </c>
      <c r="H95" s="6" t="str">
        <f t="shared" si="60"/>
        <v>SELECT 326, 194, 1, 'Haiti', 10, 1 UNION ALL</v>
      </c>
      <c r="K95">
        <v>3</v>
      </c>
      <c r="L95" s="6">
        <v>4</v>
      </c>
      <c r="M95" s="6">
        <v>14</v>
      </c>
      <c r="N95" s="6">
        <v>15</v>
      </c>
      <c r="P95" s="6" t="str">
        <f t="shared" si="61"/>
        <v>SELECT 373, 326, 1, 3 UNION ALL</v>
      </c>
      <c r="Q95" s="6" t="str">
        <f t="shared" si="62"/>
        <v>SELECT 374, 326, 2, 4 UNION ALL</v>
      </c>
      <c r="R95" s="6" t="str">
        <f t="shared" si="63"/>
        <v>SELECT 375, 326, 3, 14 UNION ALL</v>
      </c>
      <c r="S95" s="6" t="str">
        <f t="shared" si="64"/>
        <v>SELECT 376, 326, 7, 15 UNION ALL</v>
      </c>
      <c r="V95" s="6" t="s">
        <v>2641</v>
      </c>
      <c r="W95" s="6" t="str">
        <f t="shared" si="66"/>
        <v>Haiti</v>
      </c>
      <c r="Y95" s="6" t="str">
        <f t="shared" ref="Y95:Y97" si="87">W95</f>
        <v>Haiti</v>
      </c>
      <c r="Z95" s="6" t="str">
        <f t="shared" ref="Z95:AB97" si="88">$W95</f>
        <v>Haiti</v>
      </c>
      <c r="AA95" s="6" t="str">
        <f t="shared" si="88"/>
        <v>Haiti</v>
      </c>
      <c r="AB95" s="6" t="str">
        <f t="shared" si="88"/>
        <v>Haiti</v>
      </c>
      <c r="AC95" s="6" t="str">
        <f t="shared" ref="AC95:AC97" si="89">"z "&amp;W95</f>
        <v>z Haiti</v>
      </c>
      <c r="AD95" s="6" t="str">
        <f t="shared" ref="AD95:AE97" si="90">$W95</f>
        <v>Haiti</v>
      </c>
      <c r="AE95" s="6" t="str">
        <f t="shared" si="90"/>
        <v>Haiti</v>
      </c>
      <c r="AF95" s="6"/>
      <c r="AG95" s="6"/>
      <c r="AH95" s="6"/>
      <c r="AI95" s="6"/>
      <c r="AJ95" s="6"/>
      <c r="AK95" s="6"/>
      <c r="AL95" s="6"/>
      <c r="AM95" s="6" t="s">
        <v>2642</v>
      </c>
      <c r="AN95" s="6" t="s">
        <v>2642</v>
      </c>
    </row>
    <row r="96" spans="1:40">
      <c r="A96" s="6">
        <v>327</v>
      </c>
      <c r="B96" s="6">
        <v>195</v>
      </c>
      <c r="C96" s="6">
        <v>1</v>
      </c>
      <c r="D96" s="6" t="s">
        <v>497</v>
      </c>
      <c r="E96" s="6">
        <v>10</v>
      </c>
      <c r="F96" s="6">
        <v>1</v>
      </c>
      <c r="H96" s="6" t="str">
        <f t="shared" si="60"/>
        <v>SELECT 327, 195, 1, 'Portoryko', 10, 1 UNION ALL</v>
      </c>
      <c r="K96">
        <v>3</v>
      </c>
      <c r="L96" s="6">
        <v>4</v>
      </c>
      <c r="M96" s="6">
        <v>14</v>
      </c>
      <c r="N96" s="6">
        <v>15</v>
      </c>
      <c r="P96" s="6" t="str">
        <f t="shared" si="61"/>
        <v>SELECT 377, 327, 1, 3 UNION ALL</v>
      </c>
      <c r="Q96" s="6" t="str">
        <f t="shared" si="62"/>
        <v>SELECT 378, 327, 2, 4 UNION ALL</v>
      </c>
      <c r="R96" s="6" t="str">
        <f t="shared" si="63"/>
        <v>SELECT 379, 327, 3, 14 UNION ALL</v>
      </c>
      <c r="S96" s="6" t="str">
        <f t="shared" si="64"/>
        <v>SELECT 380, 327, 7, 15 UNION ALL</v>
      </c>
      <c r="V96" s="6" t="s">
        <v>2641</v>
      </c>
      <c r="W96" s="6" t="str">
        <f t="shared" si="66"/>
        <v>Portoryko</v>
      </c>
      <c r="Y96" s="6" t="str">
        <f t="shared" si="87"/>
        <v>Portoryko</v>
      </c>
      <c r="Z96" s="6" t="str">
        <f t="shared" si="88"/>
        <v>Portoryko</v>
      </c>
      <c r="AA96" s="6" t="str">
        <f t="shared" si="88"/>
        <v>Portoryko</v>
      </c>
      <c r="AB96" s="6" t="str">
        <f t="shared" si="88"/>
        <v>Portoryko</v>
      </c>
      <c r="AC96" s="6" t="str">
        <f t="shared" si="89"/>
        <v>z Portoryko</v>
      </c>
      <c r="AD96" s="6" t="str">
        <f t="shared" si="90"/>
        <v>Portoryko</v>
      </c>
      <c r="AE96" s="6" t="str">
        <f t="shared" si="90"/>
        <v>Portoryko</v>
      </c>
      <c r="AF96" s="6"/>
      <c r="AG96" s="6"/>
      <c r="AH96" s="6"/>
      <c r="AI96" s="6"/>
      <c r="AJ96" s="6"/>
      <c r="AK96" s="6"/>
      <c r="AL96" s="6"/>
      <c r="AM96" s="6" t="str">
        <f t="shared" ref="AM96:AM97" si="91">"do "&amp;W96</f>
        <v>do Portoryko</v>
      </c>
      <c r="AN96" s="6" t="str">
        <f t="shared" ref="AN96:AN97" si="92">"w "&amp;W96</f>
        <v>w Portoryko</v>
      </c>
    </row>
    <row r="97" spans="1:40">
      <c r="A97" s="6">
        <v>328</v>
      </c>
      <c r="B97" s="6">
        <v>195</v>
      </c>
      <c r="C97" s="6">
        <v>1</v>
      </c>
      <c r="D97" s="6" t="s">
        <v>800</v>
      </c>
      <c r="E97" s="6">
        <v>5</v>
      </c>
      <c r="F97" s="6">
        <v>1</v>
      </c>
      <c r="H97" s="6" t="str">
        <f t="shared" si="60"/>
        <v>SELECT 328, 195, 1, 'Puerto Rico', 5, 1 UNION ALL</v>
      </c>
      <c r="K97">
        <v>3</v>
      </c>
      <c r="L97" s="6">
        <v>4</v>
      </c>
      <c r="M97" s="6">
        <v>14</v>
      </c>
      <c r="N97" s="6">
        <v>15</v>
      </c>
      <c r="P97" s="6" t="str">
        <f t="shared" si="61"/>
        <v>SELECT 381, 328, 1, 3 UNION ALL</v>
      </c>
      <c r="Q97" s="6" t="str">
        <f t="shared" si="62"/>
        <v>SELECT 382, 328, 2, 4 UNION ALL</v>
      </c>
      <c r="R97" s="6" t="str">
        <f t="shared" si="63"/>
        <v>SELECT 383, 328, 3, 14 UNION ALL</v>
      </c>
      <c r="S97" s="6" t="str">
        <f t="shared" si="64"/>
        <v>SELECT 384, 328, 7, 15 UNION ALL</v>
      </c>
      <c r="V97" s="6" t="s">
        <v>2641</v>
      </c>
      <c r="W97" s="6" t="str">
        <f t="shared" si="66"/>
        <v>Puerto Rico</v>
      </c>
      <c r="Y97" s="6" t="str">
        <f t="shared" si="87"/>
        <v>Puerto Rico</v>
      </c>
      <c r="Z97" s="6" t="str">
        <f t="shared" si="88"/>
        <v>Puerto Rico</v>
      </c>
      <c r="AA97" s="6" t="str">
        <f t="shared" si="88"/>
        <v>Puerto Rico</v>
      </c>
      <c r="AB97" s="6" t="str">
        <f t="shared" si="88"/>
        <v>Puerto Rico</v>
      </c>
      <c r="AC97" s="6" t="str">
        <f t="shared" si="89"/>
        <v>z Puerto Rico</v>
      </c>
      <c r="AD97" s="6" t="str">
        <f t="shared" si="90"/>
        <v>Puerto Rico</v>
      </c>
      <c r="AE97" s="6" t="str">
        <f t="shared" si="90"/>
        <v>Puerto Rico</v>
      </c>
      <c r="AF97" s="6"/>
      <c r="AG97" s="6"/>
      <c r="AH97" s="6"/>
      <c r="AI97" s="6"/>
      <c r="AJ97" s="6"/>
      <c r="AK97" s="6"/>
      <c r="AL97" s="6"/>
      <c r="AM97" s="6" t="str">
        <f t="shared" si="91"/>
        <v>do Puerto Rico</v>
      </c>
      <c r="AN97" s="6" t="str">
        <f t="shared" si="92"/>
        <v>w Puerto Rico</v>
      </c>
    </row>
    <row r="98" spans="1:40">
      <c r="A98" s="6">
        <v>329</v>
      </c>
      <c r="B98" s="6">
        <v>196</v>
      </c>
      <c r="C98" s="6">
        <v>1</v>
      </c>
      <c r="D98" s="6" t="s">
        <v>499</v>
      </c>
      <c r="E98" s="6">
        <v>10</v>
      </c>
      <c r="F98" s="6">
        <v>1</v>
      </c>
      <c r="H98" s="6" t="str">
        <f t="shared" si="60"/>
        <v>SELECT 329, 196, 1, 'Kostaryka', 10, 1 UNION ALL</v>
      </c>
      <c r="K98">
        <v>2</v>
      </c>
      <c r="L98" s="6">
        <v>4</v>
      </c>
      <c r="M98" s="6">
        <v>14</v>
      </c>
      <c r="N98" s="6">
        <v>15</v>
      </c>
      <c r="P98" s="6" t="str">
        <f t="shared" si="61"/>
        <v>SELECT 385, 329, 1, 2 UNION ALL</v>
      </c>
      <c r="Q98" s="6" t="str">
        <f t="shared" si="62"/>
        <v>SELECT 386, 329, 2, 4 UNION ALL</v>
      </c>
      <c r="R98" s="6" t="str">
        <f t="shared" si="63"/>
        <v>SELECT 387, 329, 3, 14 UNION ALL</v>
      </c>
      <c r="S98" s="6" t="str">
        <f t="shared" si="64"/>
        <v>SELECT 388, 329, 7, 15 UNION ALL</v>
      </c>
      <c r="V98" s="6" t="str">
        <f t="shared" ref="V98" si="93">IF(RIGHT(D98,4)="stan","stan","")</f>
        <v/>
      </c>
      <c r="W98" s="6" t="str">
        <f t="shared" si="66"/>
        <v>Kostaryka</v>
      </c>
    </row>
    <row r="99" spans="1:40">
      <c r="A99" s="6">
        <v>330</v>
      </c>
      <c r="B99" s="6">
        <v>172</v>
      </c>
      <c r="C99" s="6">
        <v>1</v>
      </c>
      <c r="D99" s="6" t="s">
        <v>457</v>
      </c>
      <c r="E99" s="6">
        <v>10</v>
      </c>
      <c r="F99" s="6">
        <v>1</v>
      </c>
      <c r="H99" s="6" t="str">
        <f t="shared" si="60"/>
        <v>SELECT 330, 172, 1, 'Namibia', 10, 1 UNION ALL</v>
      </c>
      <c r="K99">
        <v>2</v>
      </c>
      <c r="L99" s="6">
        <v>4</v>
      </c>
      <c r="M99" s="6">
        <v>14</v>
      </c>
      <c r="N99" s="6">
        <v>15</v>
      </c>
      <c r="P99" s="6" t="str">
        <f t="shared" si="61"/>
        <v>SELECT 389, 330, 1, 2 UNION ALL</v>
      </c>
      <c r="Q99" s="6" t="str">
        <f t="shared" si="62"/>
        <v>SELECT 390, 330, 2, 4 UNION ALL</v>
      </c>
      <c r="R99" s="6" t="str">
        <f t="shared" si="63"/>
        <v>SELECT 391, 330, 3, 14 UNION ALL</v>
      </c>
      <c r="S99" s="6" t="str">
        <f t="shared" si="64"/>
        <v>SELECT 392, 330, 7, 15 UNION ALL</v>
      </c>
      <c r="V99" s="6" t="str">
        <f t="shared" si="67"/>
        <v>ia</v>
      </c>
      <c r="W99" s="6" t="str">
        <f t="shared" si="66"/>
        <v>Namib</v>
      </c>
      <c r="Y99" s="6" t="str">
        <f>W99&amp;V99</f>
        <v>Namibia</v>
      </c>
      <c r="Z99" s="6" t="str">
        <f>W99&amp;"ii"</f>
        <v>Namibii</v>
      </c>
      <c r="AA99" s="6" t="str">
        <f>W99&amp;"ii"</f>
        <v>Namibii</v>
      </c>
      <c r="AB99" s="6" t="str">
        <f>W99&amp;"ię"</f>
        <v>Namibię</v>
      </c>
      <c r="AC99" s="6" t="str">
        <f>"z "&amp;W99&amp;"ią"</f>
        <v>z Namibią</v>
      </c>
      <c r="AD99" s="6" t="str">
        <f>""&amp;W99&amp;"ii"</f>
        <v>Namibii</v>
      </c>
      <c r="AE99" s="6" t="str">
        <f>W99&amp;"io"</f>
        <v>Namibio</v>
      </c>
      <c r="AF99" s="6"/>
      <c r="AG99" s="6"/>
      <c r="AH99" s="6"/>
      <c r="AI99" s="6"/>
      <c r="AJ99" s="6"/>
      <c r="AK99" s="6"/>
      <c r="AL99" s="6"/>
      <c r="AM99" s="6" t="str">
        <f>"do "&amp;W99&amp;"ii"</f>
        <v>do Namibii</v>
      </c>
      <c r="AN99" s="6" t="str">
        <f>"w "&amp;W99&amp;"ii"</f>
        <v>w Namibii</v>
      </c>
    </row>
    <row r="100" spans="1:40">
      <c r="A100" s="6">
        <v>331</v>
      </c>
      <c r="B100" s="6">
        <v>191</v>
      </c>
      <c r="C100" s="6">
        <v>1</v>
      </c>
      <c r="D100" s="6" t="s">
        <v>491</v>
      </c>
      <c r="E100" s="6">
        <v>10</v>
      </c>
      <c r="F100" s="6">
        <v>1</v>
      </c>
      <c r="H100" s="6" t="str">
        <f t="shared" si="60"/>
        <v>SELECT 331, 191, 1, 'Panama', 10, 1 UNION ALL</v>
      </c>
      <c r="K100">
        <v>2</v>
      </c>
      <c r="L100" s="6">
        <v>4</v>
      </c>
      <c r="M100" s="6">
        <v>14</v>
      </c>
      <c r="N100" s="6">
        <v>15</v>
      </c>
      <c r="P100" s="6" t="str">
        <f t="shared" si="61"/>
        <v>SELECT 393, 331, 1, 2 UNION ALL</v>
      </c>
      <c r="Q100" s="6" t="str">
        <f t="shared" si="62"/>
        <v>SELECT 394, 331, 2, 4 UNION ALL</v>
      </c>
      <c r="R100" s="6" t="str">
        <f t="shared" si="63"/>
        <v>SELECT 395, 331, 3, 14 UNION ALL</v>
      </c>
      <c r="S100" s="6" t="str">
        <f t="shared" si="64"/>
        <v>SELECT 396, 331, 7, 15 UNION ALL</v>
      </c>
      <c r="V100" s="6" t="str">
        <f t="shared" ref="V100:V101" si="94">IF(RIGHT(D100,4)="stan","stan","")</f>
        <v/>
      </c>
      <c r="W100" s="6" t="str">
        <f t="shared" si="66"/>
        <v>Panama</v>
      </c>
    </row>
    <row r="101" spans="1:40">
      <c r="A101" s="6">
        <v>332</v>
      </c>
      <c r="B101" s="6">
        <v>190</v>
      </c>
      <c r="C101" s="6">
        <v>1</v>
      </c>
      <c r="D101" s="6" t="s">
        <v>489</v>
      </c>
      <c r="E101" s="6">
        <v>10</v>
      </c>
      <c r="F101" s="6">
        <v>1</v>
      </c>
      <c r="H101" s="6" t="str">
        <f t="shared" si="60"/>
        <v>SELECT 332, 190, 1, 'Nikaragua', 10, 1 UNION ALL</v>
      </c>
      <c r="K101">
        <v>2</v>
      </c>
      <c r="L101" s="6">
        <v>4</v>
      </c>
      <c r="M101" s="6">
        <v>14</v>
      </c>
      <c r="N101" s="6">
        <v>15</v>
      </c>
      <c r="P101" s="6" t="str">
        <f t="shared" si="61"/>
        <v>SELECT 397, 332, 1, 2 UNION ALL</v>
      </c>
      <c r="Q101" s="6" t="str">
        <f t="shared" si="62"/>
        <v>SELECT 398, 332, 2, 4 UNION ALL</v>
      </c>
      <c r="R101" s="6" t="str">
        <f t="shared" si="63"/>
        <v>SELECT 399, 332, 3, 14 UNION ALL</v>
      </c>
      <c r="S101" s="6" t="str">
        <f t="shared" si="64"/>
        <v>SELECT 400, 332, 7, 15 UNION ALL</v>
      </c>
      <c r="V101" s="6" t="str">
        <f t="shared" si="94"/>
        <v/>
      </c>
      <c r="W101" s="6" t="str">
        <f t="shared" si="66"/>
        <v>Nikaragua</v>
      </c>
    </row>
    <row r="102" spans="1:40">
      <c r="A102" s="6">
        <v>333</v>
      </c>
      <c r="B102" s="6">
        <v>175</v>
      </c>
      <c r="C102" s="6">
        <v>1</v>
      </c>
      <c r="D102" s="6" t="s">
        <v>461</v>
      </c>
      <c r="E102" s="6">
        <v>10</v>
      </c>
      <c r="F102" s="6">
        <v>1</v>
      </c>
      <c r="H102" s="6" t="str">
        <f t="shared" si="60"/>
        <v>SELECT 333, 175, 1, 'Zambia', 10, 1 UNION ALL</v>
      </c>
      <c r="K102">
        <v>2</v>
      </c>
      <c r="L102" s="6">
        <v>4</v>
      </c>
      <c r="M102" s="6">
        <v>14</v>
      </c>
      <c r="N102" s="6">
        <v>15</v>
      </c>
      <c r="P102" s="6" t="str">
        <f t="shared" si="61"/>
        <v>SELECT 401, 333, 1, 2 UNION ALL</v>
      </c>
      <c r="Q102" s="6" t="str">
        <f t="shared" si="62"/>
        <v>SELECT 402, 333, 2, 4 UNION ALL</v>
      </c>
      <c r="R102" s="6" t="str">
        <f t="shared" si="63"/>
        <v>SELECT 403, 333, 3, 14 UNION ALL</v>
      </c>
      <c r="S102" s="6" t="str">
        <f t="shared" si="64"/>
        <v>SELECT 404, 333, 7, 15 UNION ALL</v>
      </c>
      <c r="V102" s="6" t="str">
        <f t="shared" si="67"/>
        <v>ia</v>
      </c>
      <c r="W102" s="6" t="str">
        <f t="shared" si="66"/>
        <v>Zamb</v>
      </c>
      <c r="Y102" s="6" t="str">
        <f>W102&amp;V102</f>
        <v>Zambia</v>
      </c>
      <c r="Z102" s="6" t="str">
        <f>W102&amp;"ii"</f>
        <v>Zambii</v>
      </c>
      <c r="AA102" s="6" t="str">
        <f>W102&amp;"ii"</f>
        <v>Zambii</v>
      </c>
      <c r="AB102" s="6" t="str">
        <f>W102&amp;"ię"</f>
        <v>Zambię</v>
      </c>
      <c r="AC102" s="6" t="str">
        <f>"z "&amp;W102&amp;"ią"</f>
        <v>z Zambią</v>
      </c>
      <c r="AD102" s="6" t="str">
        <f>""&amp;W102&amp;"ii"</f>
        <v>Zambii</v>
      </c>
      <c r="AE102" s="6" t="str">
        <f>W102&amp;"io"</f>
        <v>Zambio</v>
      </c>
      <c r="AF102" s="6"/>
      <c r="AG102" s="6"/>
      <c r="AH102" s="6"/>
      <c r="AI102" s="6"/>
      <c r="AJ102" s="6"/>
      <c r="AK102" s="6"/>
      <c r="AL102" s="6"/>
      <c r="AM102" s="6" t="str">
        <f>"do "&amp;W102&amp;"ii"</f>
        <v>do Zambii</v>
      </c>
      <c r="AN102" s="6" t="str">
        <f>"w "&amp;W102&amp;"ii"</f>
        <v>w Zambii</v>
      </c>
    </row>
    <row r="103" spans="1:40">
      <c r="A103" s="6">
        <v>334</v>
      </c>
      <c r="B103" s="6">
        <v>177</v>
      </c>
      <c r="C103" s="6">
        <v>1</v>
      </c>
      <c r="D103" s="6" t="s">
        <v>465</v>
      </c>
      <c r="E103" s="6">
        <v>10</v>
      </c>
      <c r="F103" s="6">
        <v>1</v>
      </c>
      <c r="H103" s="6" t="str">
        <f t="shared" si="60"/>
        <v>SELECT 334, 177, 1, 'Botswana', 10, 1 UNION ALL</v>
      </c>
      <c r="K103">
        <v>2</v>
      </c>
      <c r="L103" s="6">
        <v>4</v>
      </c>
      <c r="M103" s="6">
        <v>14</v>
      </c>
      <c r="N103" s="6">
        <v>15</v>
      </c>
      <c r="P103" s="6" t="str">
        <f t="shared" si="61"/>
        <v>SELECT 405, 334, 1, 2 UNION ALL</v>
      </c>
      <c r="Q103" s="6" t="str">
        <f t="shared" si="62"/>
        <v>SELECT 406, 334, 2, 4 UNION ALL</v>
      </c>
      <c r="R103" s="6" t="str">
        <f t="shared" si="63"/>
        <v>SELECT 407, 334, 3, 14 UNION ALL</v>
      </c>
      <c r="S103" s="6" t="str">
        <f t="shared" si="64"/>
        <v>SELECT 408, 334, 7, 15 UNION ALL</v>
      </c>
      <c r="V103" s="6" t="str">
        <f t="shared" ref="V103:V114" si="95">IF(RIGHT(D103,4)="stan","stan","")</f>
        <v/>
      </c>
      <c r="W103" s="6" t="str">
        <f t="shared" si="66"/>
        <v>Botswana</v>
      </c>
    </row>
    <row r="104" spans="1:40">
      <c r="A104" s="6">
        <v>335</v>
      </c>
      <c r="B104" s="6">
        <v>103</v>
      </c>
      <c r="C104" s="6">
        <v>1</v>
      </c>
      <c r="D104" s="6" t="s">
        <v>325</v>
      </c>
      <c r="E104" s="6">
        <v>10</v>
      </c>
      <c r="F104" s="6">
        <v>1</v>
      </c>
      <c r="H104" s="6" t="str">
        <f t="shared" si="60"/>
        <v>SELECT 335, 103, 1, 'Bahrajn', 10, 1 UNION ALL</v>
      </c>
      <c r="K104">
        <v>1</v>
      </c>
      <c r="L104" s="6">
        <v>4</v>
      </c>
      <c r="M104" s="6">
        <v>14</v>
      </c>
      <c r="N104" s="6">
        <v>15</v>
      </c>
      <c r="P104" s="6" t="str">
        <f t="shared" si="61"/>
        <v>SELECT 409, 335, 1, 1 UNION ALL</v>
      </c>
      <c r="Q104" s="6" t="str">
        <f t="shared" si="62"/>
        <v>SELECT 410, 335, 2, 4 UNION ALL</v>
      </c>
      <c r="R104" s="6" t="str">
        <f t="shared" si="63"/>
        <v>SELECT 411, 335, 3, 14 UNION ALL</v>
      </c>
      <c r="S104" s="6" t="str">
        <f t="shared" si="64"/>
        <v>SELECT 412, 335, 7, 15 UNION ALL</v>
      </c>
      <c r="V104" s="6" t="str">
        <f t="shared" si="95"/>
        <v/>
      </c>
      <c r="W104" s="6" t="str">
        <f t="shared" si="66"/>
        <v>Bahrajn</v>
      </c>
    </row>
    <row r="105" spans="1:40">
      <c r="A105" s="6">
        <v>336</v>
      </c>
      <c r="B105" s="6">
        <v>104</v>
      </c>
      <c r="C105" s="6">
        <v>1</v>
      </c>
      <c r="D105" s="6" t="s">
        <v>327</v>
      </c>
      <c r="E105" s="6">
        <v>10</v>
      </c>
      <c r="F105" s="6">
        <v>1</v>
      </c>
      <c r="H105" s="6" t="str">
        <f t="shared" si="60"/>
        <v>SELECT 336, 104, 1, 'Katar', 10, 1 UNION ALL</v>
      </c>
      <c r="K105">
        <v>1</v>
      </c>
      <c r="L105" s="6">
        <v>4</v>
      </c>
      <c r="M105" s="6">
        <v>14</v>
      </c>
      <c r="N105" s="6">
        <v>15</v>
      </c>
      <c r="P105" s="6" t="str">
        <f t="shared" si="61"/>
        <v>SELECT 413, 336, 1, 1 UNION ALL</v>
      </c>
      <c r="Q105" s="6" t="str">
        <f t="shared" si="62"/>
        <v>SELECT 414, 336, 2, 4 UNION ALL</v>
      </c>
      <c r="R105" s="6" t="str">
        <f t="shared" si="63"/>
        <v>SELECT 415, 336, 3, 14 UNION ALL</v>
      </c>
      <c r="S105" s="6" t="str">
        <f t="shared" si="64"/>
        <v>SELECT 416, 336, 7, 15 UNION ALL</v>
      </c>
      <c r="V105" s="6" t="str">
        <f t="shared" si="95"/>
        <v/>
      </c>
      <c r="W105" s="6" t="str">
        <f t="shared" si="66"/>
        <v>Katar</v>
      </c>
    </row>
    <row r="106" spans="1:40">
      <c r="A106" s="6">
        <v>337</v>
      </c>
      <c r="B106" s="6">
        <v>105</v>
      </c>
      <c r="C106" s="6">
        <v>1</v>
      </c>
      <c r="D106" s="6" t="s">
        <v>329</v>
      </c>
      <c r="E106" s="6">
        <v>10</v>
      </c>
      <c r="F106" s="6">
        <v>1</v>
      </c>
      <c r="H106" s="6" t="str">
        <f t="shared" si="60"/>
        <v>SELECT 337, 105, 1, 'Irak', 10, 1 UNION ALL</v>
      </c>
      <c r="K106">
        <v>1</v>
      </c>
      <c r="L106" s="6">
        <v>4</v>
      </c>
      <c r="M106" s="6">
        <v>14</v>
      </c>
      <c r="N106" s="6">
        <v>15</v>
      </c>
      <c r="P106" s="6" t="str">
        <f t="shared" si="61"/>
        <v>SELECT 417, 337, 1, 1 UNION ALL</v>
      </c>
      <c r="Q106" s="6" t="str">
        <f t="shared" si="62"/>
        <v>SELECT 418, 337, 2, 4 UNION ALL</v>
      </c>
      <c r="R106" s="6" t="str">
        <f t="shared" si="63"/>
        <v>SELECT 419, 337, 3, 14 UNION ALL</v>
      </c>
      <c r="S106" s="6" t="str">
        <f t="shared" si="64"/>
        <v>SELECT 420, 337, 7, 15 UNION ALL</v>
      </c>
      <c r="V106" s="6" t="str">
        <f t="shared" si="95"/>
        <v/>
      </c>
      <c r="W106" s="6" t="str">
        <f t="shared" si="66"/>
        <v>Irak</v>
      </c>
    </row>
    <row r="107" spans="1:40">
      <c r="A107" s="6">
        <v>338</v>
      </c>
      <c r="B107" s="6">
        <v>106</v>
      </c>
      <c r="C107" s="6">
        <v>1</v>
      </c>
      <c r="D107" s="6" t="s">
        <v>331</v>
      </c>
      <c r="E107" s="6">
        <v>10</v>
      </c>
      <c r="F107" s="6">
        <v>1</v>
      </c>
      <c r="H107" s="6" t="str">
        <f t="shared" si="60"/>
        <v>SELECT 338, 106, 1, 'Iran', 10, 1 UNION ALL</v>
      </c>
      <c r="K107">
        <v>1</v>
      </c>
      <c r="L107" s="6">
        <v>4</v>
      </c>
      <c r="M107" s="6">
        <v>14</v>
      </c>
      <c r="N107" s="6">
        <v>15</v>
      </c>
      <c r="P107" s="6" t="str">
        <f t="shared" si="61"/>
        <v>SELECT 421, 338, 1, 1 UNION ALL</v>
      </c>
      <c r="Q107" s="6" t="str">
        <f t="shared" si="62"/>
        <v>SELECT 422, 338, 2, 4 UNION ALL</v>
      </c>
      <c r="R107" s="6" t="str">
        <f t="shared" si="63"/>
        <v>SELECT 423, 338, 3, 14 UNION ALL</v>
      </c>
      <c r="S107" s="6" t="str">
        <f t="shared" si="64"/>
        <v>SELECT 424, 338, 7, 15 UNION ALL</v>
      </c>
      <c r="V107" s="6" t="str">
        <f t="shared" si="95"/>
        <v/>
      </c>
      <c r="W107" s="6" t="str">
        <f t="shared" si="66"/>
        <v>Iran</v>
      </c>
    </row>
    <row r="108" spans="1:40">
      <c r="A108" s="6">
        <v>339</v>
      </c>
      <c r="B108" s="6">
        <v>107</v>
      </c>
      <c r="C108" s="6">
        <v>1</v>
      </c>
      <c r="D108" s="6" t="s">
        <v>333</v>
      </c>
      <c r="E108" s="6">
        <v>10</v>
      </c>
      <c r="F108" s="6">
        <v>1</v>
      </c>
      <c r="H108" s="6" t="str">
        <f t="shared" si="60"/>
        <v>SELECT 339, 107, 1, 'Afganistan', 10, 1 UNION ALL</v>
      </c>
      <c r="K108">
        <v>1</v>
      </c>
      <c r="L108" s="6">
        <v>4</v>
      </c>
      <c r="M108" s="6">
        <v>14</v>
      </c>
      <c r="N108" s="6">
        <v>15</v>
      </c>
      <c r="P108" s="6" t="str">
        <f t="shared" si="61"/>
        <v>SELECT 425, 339, 1, 1 UNION ALL</v>
      </c>
      <c r="Q108" s="6" t="str">
        <f t="shared" si="62"/>
        <v>SELECT 426, 339, 2, 4 UNION ALL</v>
      </c>
      <c r="R108" s="6" t="str">
        <f t="shared" si="63"/>
        <v>SELECT 427, 339, 3, 14 UNION ALL</v>
      </c>
      <c r="S108" s="6" t="str">
        <f t="shared" si="64"/>
        <v>SELECT 428, 339, 7, 15 UNION ALL</v>
      </c>
      <c r="V108" s="6" t="str">
        <f t="shared" si="95"/>
        <v>stan</v>
      </c>
      <c r="W108" s="6" t="str">
        <f t="shared" si="66"/>
        <v>Afgani</v>
      </c>
      <c r="Y108" s="6" t="str">
        <f t="shared" ref="Y108:Y113" si="96">W108&amp;"stan"</f>
        <v>Afganistan</v>
      </c>
      <c r="Z108" s="6" t="str">
        <f t="shared" ref="Z108:Z113" si="97">W108&amp;"stanu"</f>
        <v>Afganistanu</v>
      </c>
      <c r="AA108" s="6" t="str">
        <f t="shared" ref="AA108:AA113" si="98">W108&amp;"stanowi"</f>
        <v>Afganistanowi</v>
      </c>
      <c r="AB108" s="6" t="str">
        <f t="shared" ref="AB108:AB113" si="99">W108&amp;"stan"</f>
        <v>Afganistan</v>
      </c>
      <c r="AC108" s="6" t="str">
        <f t="shared" ref="AC108:AC113" si="100">"z "&amp;W108&amp;"stanem"</f>
        <v>z Afganistanem</v>
      </c>
      <c r="AD108" s="6" t="str">
        <f t="shared" ref="AD108:AD113" si="101">W108&amp;"stanie"</f>
        <v>Afganistanie</v>
      </c>
      <c r="AE108" s="6" t="str">
        <f t="shared" ref="AE108:AE113" si="102">W108&amp;"stanie"</f>
        <v>Afganistanie</v>
      </c>
      <c r="AF108" s="6"/>
      <c r="AG108" s="6"/>
      <c r="AH108" s="6"/>
      <c r="AI108" s="6"/>
      <c r="AJ108" s="6"/>
      <c r="AK108" s="6"/>
      <c r="AL108" s="6"/>
      <c r="AM108" s="6" t="str">
        <f t="shared" ref="AM108:AM113" si="103">"do "&amp;W108&amp;"stanu"</f>
        <v>do Afganistanu</v>
      </c>
      <c r="AN108" s="6" t="str">
        <f t="shared" ref="AN108:AN113" si="104">"w "&amp;W108&amp;"stanie"</f>
        <v>w Afganistanie</v>
      </c>
    </row>
    <row r="109" spans="1:40">
      <c r="A109" s="6">
        <v>340</v>
      </c>
      <c r="B109" s="6">
        <v>109</v>
      </c>
      <c r="C109" s="6">
        <v>1</v>
      </c>
      <c r="D109" s="6" t="s">
        <v>335</v>
      </c>
      <c r="E109" s="6">
        <v>10</v>
      </c>
      <c r="F109" s="6">
        <v>1</v>
      </c>
      <c r="H109" s="6" t="str">
        <f t="shared" si="60"/>
        <v>SELECT 340, 109, 1, 'Pakistan', 10, 1 UNION ALL</v>
      </c>
      <c r="K109">
        <v>1</v>
      </c>
      <c r="L109" s="6">
        <v>4</v>
      </c>
      <c r="M109" s="6">
        <v>14</v>
      </c>
      <c r="N109" s="6">
        <v>15</v>
      </c>
      <c r="P109" s="6" t="str">
        <f t="shared" si="61"/>
        <v>SELECT 429, 340, 1, 1 UNION ALL</v>
      </c>
      <c r="Q109" s="6" t="str">
        <f t="shared" si="62"/>
        <v>SELECT 430, 340, 2, 4 UNION ALL</v>
      </c>
      <c r="R109" s="6" t="str">
        <f t="shared" si="63"/>
        <v>SELECT 431, 340, 3, 14 UNION ALL</v>
      </c>
      <c r="S109" s="6" t="str">
        <f t="shared" si="64"/>
        <v>SELECT 432, 340, 7, 15 UNION ALL</v>
      </c>
      <c r="V109" s="6" t="str">
        <f t="shared" si="95"/>
        <v>stan</v>
      </c>
      <c r="W109" s="6" t="str">
        <f t="shared" si="66"/>
        <v>Paki</v>
      </c>
      <c r="Y109" s="6" t="str">
        <f t="shared" si="96"/>
        <v>Pakistan</v>
      </c>
      <c r="Z109" s="6" t="str">
        <f t="shared" si="97"/>
        <v>Pakistanu</v>
      </c>
      <c r="AA109" s="6" t="str">
        <f t="shared" si="98"/>
        <v>Pakistanowi</v>
      </c>
      <c r="AB109" s="6" t="str">
        <f t="shared" si="99"/>
        <v>Pakistan</v>
      </c>
      <c r="AC109" s="6" t="str">
        <f t="shared" si="100"/>
        <v>z Pakistanem</v>
      </c>
      <c r="AD109" s="6" t="str">
        <f t="shared" si="101"/>
        <v>Pakistanie</v>
      </c>
      <c r="AE109" s="6" t="str">
        <f t="shared" si="102"/>
        <v>Pakistanie</v>
      </c>
      <c r="AF109" s="6"/>
      <c r="AG109" s="6"/>
      <c r="AH109" s="6"/>
      <c r="AI109" s="6"/>
      <c r="AJ109" s="6"/>
      <c r="AK109" s="6"/>
      <c r="AL109" s="6"/>
      <c r="AM109" s="6" t="str">
        <f t="shared" si="103"/>
        <v>do Pakistanu</v>
      </c>
      <c r="AN109" s="6" t="str">
        <f t="shared" si="104"/>
        <v>w Pakistanie</v>
      </c>
    </row>
    <row r="110" spans="1:40">
      <c r="A110" s="6">
        <v>341</v>
      </c>
      <c r="B110" s="6">
        <v>110</v>
      </c>
      <c r="C110" s="6">
        <v>1</v>
      </c>
      <c r="D110" s="6" t="s">
        <v>337</v>
      </c>
      <c r="E110" s="6">
        <v>10</v>
      </c>
      <c r="F110" s="6">
        <v>1</v>
      </c>
      <c r="H110" s="6" t="str">
        <f t="shared" si="60"/>
        <v>SELECT 341, 110, 1, 'Uzbekistan', 10, 1 UNION ALL</v>
      </c>
      <c r="K110">
        <v>1</v>
      </c>
      <c r="L110" s="6">
        <v>4</v>
      </c>
      <c r="M110" s="6">
        <v>14</v>
      </c>
      <c r="N110" s="6">
        <v>15</v>
      </c>
      <c r="P110" s="6" t="str">
        <f t="shared" si="61"/>
        <v>SELECT 433, 341, 1, 1 UNION ALL</v>
      </c>
      <c r="Q110" s="6" t="str">
        <f t="shared" si="62"/>
        <v>SELECT 434, 341, 2, 4 UNION ALL</v>
      </c>
      <c r="R110" s="6" t="str">
        <f t="shared" si="63"/>
        <v>SELECT 435, 341, 3, 14 UNION ALL</v>
      </c>
      <c r="S110" s="6" t="str">
        <f t="shared" si="64"/>
        <v>SELECT 436, 341, 7, 15 UNION ALL</v>
      </c>
      <c r="V110" s="6" t="str">
        <f t="shared" si="95"/>
        <v>stan</v>
      </c>
      <c r="W110" s="6" t="str">
        <f t="shared" si="66"/>
        <v>Uzbeki</v>
      </c>
      <c r="Y110" s="6" t="str">
        <f t="shared" si="96"/>
        <v>Uzbekistan</v>
      </c>
      <c r="Z110" s="6" t="str">
        <f t="shared" si="97"/>
        <v>Uzbekistanu</v>
      </c>
      <c r="AA110" s="6" t="str">
        <f t="shared" si="98"/>
        <v>Uzbekistanowi</v>
      </c>
      <c r="AB110" s="6" t="str">
        <f t="shared" si="99"/>
        <v>Uzbekistan</v>
      </c>
      <c r="AC110" s="6" t="str">
        <f t="shared" si="100"/>
        <v>z Uzbekistanem</v>
      </c>
      <c r="AD110" s="6" t="str">
        <f t="shared" si="101"/>
        <v>Uzbekistanie</v>
      </c>
      <c r="AE110" s="6" t="str">
        <f t="shared" si="102"/>
        <v>Uzbekistanie</v>
      </c>
      <c r="AF110" s="6"/>
      <c r="AG110" s="6"/>
      <c r="AH110" s="6"/>
      <c r="AI110" s="6"/>
      <c r="AJ110" s="6"/>
      <c r="AK110" s="6"/>
      <c r="AL110" s="6"/>
      <c r="AM110" s="6" t="str">
        <f t="shared" si="103"/>
        <v>do Uzbekistanu</v>
      </c>
      <c r="AN110" s="6" t="str">
        <f t="shared" si="104"/>
        <v>w Uzbekistanie</v>
      </c>
    </row>
    <row r="111" spans="1:40">
      <c r="A111" s="6">
        <v>342</v>
      </c>
      <c r="B111" s="6">
        <v>111</v>
      </c>
      <c r="C111" s="6">
        <v>1</v>
      </c>
      <c r="D111" s="6" t="s">
        <v>339</v>
      </c>
      <c r="E111" s="6">
        <v>10</v>
      </c>
      <c r="F111" s="6">
        <v>1</v>
      </c>
      <c r="H111" s="6" t="str">
        <f t="shared" si="60"/>
        <v>SELECT 342, 111, 1, 'Turkmenistan', 10, 1 UNION ALL</v>
      </c>
      <c r="K111">
        <v>1</v>
      </c>
      <c r="L111" s="6">
        <v>4</v>
      </c>
      <c r="M111" s="6">
        <v>14</v>
      </c>
      <c r="N111" s="6">
        <v>15</v>
      </c>
      <c r="P111" s="6" t="str">
        <f t="shared" si="61"/>
        <v>SELECT 437, 342, 1, 1 UNION ALL</v>
      </c>
      <c r="Q111" s="6" t="str">
        <f t="shared" si="62"/>
        <v>SELECT 438, 342, 2, 4 UNION ALL</v>
      </c>
      <c r="R111" s="6" t="str">
        <f t="shared" si="63"/>
        <v>SELECT 439, 342, 3, 14 UNION ALL</v>
      </c>
      <c r="S111" s="6" t="str">
        <f t="shared" si="64"/>
        <v>SELECT 440, 342, 7, 15 UNION ALL</v>
      </c>
      <c r="V111" s="6" t="str">
        <f t="shared" si="95"/>
        <v>stan</v>
      </c>
      <c r="W111" s="6" t="str">
        <f t="shared" si="66"/>
        <v>Turkmeni</v>
      </c>
      <c r="Y111" s="6" t="str">
        <f t="shared" si="96"/>
        <v>Turkmenistan</v>
      </c>
      <c r="Z111" s="6" t="str">
        <f t="shared" si="97"/>
        <v>Turkmenistanu</v>
      </c>
      <c r="AA111" s="6" t="str">
        <f t="shared" si="98"/>
        <v>Turkmenistanowi</v>
      </c>
      <c r="AB111" s="6" t="str">
        <f t="shared" si="99"/>
        <v>Turkmenistan</v>
      </c>
      <c r="AC111" s="6" t="str">
        <f t="shared" si="100"/>
        <v>z Turkmenistanem</v>
      </c>
      <c r="AD111" s="6" t="str">
        <f t="shared" si="101"/>
        <v>Turkmenistanie</v>
      </c>
      <c r="AE111" s="6" t="str">
        <f t="shared" si="102"/>
        <v>Turkmenistanie</v>
      </c>
      <c r="AF111" s="6"/>
      <c r="AG111" s="6"/>
      <c r="AH111" s="6"/>
      <c r="AI111" s="6"/>
      <c r="AJ111" s="6"/>
      <c r="AK111" s="6"/>
      <c r="AL111" s="6"/>
      <c r="AM111" s="6" t="str">
        <f t="shared" si="103"/>
        <v>do Turkmenistanu</v>
      </c>
      <c r="AN111" s="6" t="str">
        <f t="shared" si="104"/>
        <v>w Turkmenistanie</v>
      </c>
    </row>
    <row r="112" spans="1:40">
      <c r="A112" s="6">
        <v>343</v>
      </c>
      <c r="B112" s="6">
        <v>112</v>
      </c>
      <c r="C112" s="6">
        <v>1</v>
      </c>
      <c r="D112" s="6" t="s">
        <v>341</v>
      </c>
      <c r="E112" s="6">
        <v>10</v>
      </c>
      <c r="F112" s="6">
        <v>1</v>
      </c>
      <c r="H112" s="6" t="str">
        <f t="shared" si="60"/>
        <v>SELECT 343, 112, 1, 'Tadżykistan', 10, 1 UNION ALL</v>
      </c>
      <c r="K112">
        <v>1</v>
      </c>
      <c r="L112" s="6">
        <v>4</v>
      </c>
      <c r="M112" s="6">
        <v>14</v>
      </c>
      <c r="N112" s="6">
        <v>15</v>
      </c>
      <c r="P112" s="6" t="str">
        <f t="shared" si="61"/>
        <v>SELECT 441, 343, 1, 1 UNION ALL</v>
      </c>
      <c r="Q112" s="6" t="str">
        <f t="shared" si="62"/>
        <v>SELECT 442, 343, 2, 4 UNION ALL</v>
      </c>
      <c r="R112" s="6" t="str">
        <f t="shared" si="63"/>
        <v>SELECT 443, 343, 3, 14 UNION ALL</v>
      </c>
      <c r="S112" s="6" t="str">
        <f t="shared" si="64"/>
        <v>SELECT 444, 343, 7, 15 UNION ALL</v>
      </c>
      <c r="V112" s="6" t="str">
        <f t="shared" si="95"/>
        <v>stan</v>
      </c>
      <c r="W112" s="6" t="str">
        <f t="shared" si="66"/>
        <v>Tadżyki</v>
      </c>
      <c r="Y112" s="6" t="str">
        <f t="shared" si="96"/>
        <v>Tadżykistan</v>
      </c>
      <c r="Z112" s="6" t="str">
        <f t="shared" si="97"/>
        <v>Tadżykistanu</v>
      </c>
      <c r="AA112" s="6" t="str">
        <f t="shared" si="98"/>
        <v>Tadżykistanowi</v>
      </c>
      <c r="AB112" s="6" t="str">
        <f t="shared" si="99"/>
        <v>Tadżykistan</v>
      </c>
      <c r="AC112" s="6" t="str">
        <f t="shared" si="100"/>
        <v>z Tadżykistanem</v>
      </c>
      <c r="AD112" s="6" t="str">
        <f t="shared" si="101"/>
        <v>Tadżykistanie</v>
      </c>
      <c r="AE112" s="6" t="str">
        <f t="shared" si="102"/>
        <v>Tadżykistanie</v>
      </c>
      <c r="AF112" s="6"/>
      <c r="AG112" s="6"/>
      <c r="AH112" s="6"/>
      <c r="AI112" s="6"/>
      <c r="AJ112" s="6"/>
      <c r="AK112" s="6"/>
      <c r="AL112" s="6"/>
      <c r="AM112" s="6" t="str">
        <f t="shared" si="103"/>
        <v>do Tadżykistanu</v>
      </c>
      <c r="AN112" s="6" t="str">
        <f t="shared" si="104"/>
        <v>w Tadżykistanie</v>
      </c>
    </row>
    <row r="113" spans="1:40">
      <c r="A113" s="6">
        <v>344</v>
      </c>
      <c r="B113" s="6">
        <v>113</v>
      </c>
      <c r="C113" s="6">
        <v>1</v>
      </c>
      <c r="D113" s="6" t="s">
        <v>343</v>
      </c>
      <c r="E113" s="6">
        <v>10</v>
      </c>
      <c r="F113" s="6">
        <v>1</v>
      </c>
      <c r="H113" s="6" t="str">
        <f t="shared" si="60"/>
        <v>SELECT 344, 113, 1, 'Kirgistan', 10, 1 UNION ALL</v>
      </c>
      <c r="K113">
        <v>1</v>
      </c>
      <c r="L113" s="6">
        <v>4</v>
      </c>
      <c r="M113" s="6">
        <v>14</v>
      </c>
      <c r="N113" s="6">
        <v>15</v>
      </c>
      <c r="P113" s="6" t="str">
        <f t="shared" si="61"/>
        <v>SELECT 445, 344, 1, 1 UNION ALL</v>
      </c>
      <c r="Q113" s="6" t="str">
        <f t="shared" si="62"/>
        <v>SELECT 446, 344, 2, 4 UNION ALL</v>
      </c>
      <c r="R113" s="6" t="str">
        <f t="shared" si="63"/>
        <v>SELECT 447, 344, 3, 14 UNION ALL</v>
      </c>
      <c r="S113" s="6" t="str">
        <f t="shared" si="64"/>
        <v>SELECT 448, 344, 7, 15 UNION ALL</v>
      </c>
      <c r="V113" s="6" t="str">
        <f t="shared" si="95"/>
        <v>stan</v>
      </c>
      <c r="W113" s="6" t="str">
        <f t="shared" si="66"/>
        <v>Kirgi</v>
      </c>
      <c r="Y113" s="6" t="str">
        <f t="shared" si="96"/>
        <v>Kirgistan</v>
      </c>
      <c r="Z113" s="6" t="str">
        <f t="shared" si="97"/>
        <v>Kirgistanu</v>
      </c>
      <c r="AA113" s="6" t="str">
        <f t="shared" si="98"/>
        <v>Kirgistanowi</v>
      </c>
      <c r="AB113" s="6" t="str">
        <f t="shared" si="99"/>
        <v>Kirgistan</v>
      </c>
      <c r="AC113" s="6" t="str">
        <f t="shared" si="100"/>
        <v>z Kirgistanem</v>
      </c>
      <c r="AD113" s="6" t="str">
        <f t="shared" si="101"/>
        <v>Kirgistanie</v>
      </c>
      <c r="AE113" s="6" t="str">
        <f t="shared" si="102"/>
        <v>Kirgistanie</v>
      </c>
      <c r="AF113" s="6"/>
      <c r="AG113" s="6"/>
      <c r="AH113" s="6"/>
      <c r="AI113" s="6"/>
      <c r="AJ113" s="6"/>
      <c r="AK113" s="6"/>
      <c r="AL113" s="6"/>
      <c r="AM113" s="6" t="str">
        <f t="shared" si="103"/>
        <v>do Kirgistanu</v>
      </c>
      <c r="AN113" s="6" t="str">
        <f t="shared" si="104"/>
        <v>w Kirgistanie</v>
      </c>
    </row>
    <row r="114" spans="1:40">
      <c r="A114" s="6">
        <v>345</v>
      </c>
      <c r="B114" s="6">
        <v>114</v>
      </c>
      <c r="C114" s="6">
        <v>1</v>
      </c>
      <c r="D114" s="6" t="s">
        <v>345</v>
      </c>
      <c r="E114" s="6">
        <v>10</v>
      </c>
      <c r="F114" s="6">
        <v>1</v>
      </c>
      <c r="H114" s="6" t="str">
        <f t="shared" si="60"/>
        <v>SELECT 345, 114, 1, 'Nepal', 10, 1 UNION ALL</v>
      </c>
      <c r="K114">
        <v>1</v>
      </c>
      <c r="L114" s="6">
        <v>4</v>
      </c>
      <c r="M114" s="6">
        <v>14</v>
      </c>
      <c r="N114" s="6">
        <v>15</v>
      </c>
      <c r="P114" s="6" t="str">
        <f t="shared" si="61"/>
        <v>SELECT 449, 345, 1, 1 UNION ALL</v>
      </c>
      <c r="Q114" s="6" t="str">
        <f t="shared" si="62"/>
        <v>SELECT 450, 345, 2, 4 UNION ALL</v>
      </c>
      <c r="R114" s="6" t="str">
        <f t="shared" si="63"/>
        <v>SELECT 451, 345, 3, 14 UNION ALL</v>
      </c>
      <c r="S114" s="6" t="str">
        <f t="shared" si="64"/>
        <v>SELECT 452, 345, 7, 15 UNION ALL</v>
      </c>
      <c r="V114" s="6" t="str">
        <f t="shared" si="95"/>
        <v/>
      </c>
      <c r="W114" s="6" t="str">
        <f t="shared" si="66"/>
        <v>Nepal</v>
      </c>
    </row>
    <row r="115" spans="1:40">
      <c r="A115" s="6">
        <v>346</v>
      </c>
      <c r="B115" s="6">
        <v>118</v>
      </c>
      <c r="C115" s="6">
        <v>1</v>
      </c>
      <c r="D115" s="6" t="s">
        <v>353</v>
      </c>
      <c r="E115" s="6">
        <v>10</v>
      </c>
      <c r="F115" s="6">
        <v>1</v>
      </c>
      <c r="H115" s="6" t="str">
        <f t="shared" si="60"/>
        <v>SELECT 346, 118, 1, 'Mongolia', 10, 1 UNION ALL</v>
      </c>
      <c r="K115">
        <v>2</v>
      </c>
      <c r="L115" s="6">
        <v>4</v>
      </c>
      <c r="M115" s="6">
        <v>14</v>
      </c>
      <c r="N115" s="6">
        <v>15</v>
      </c>
      <c r="P115" s="6" t="str">
        <f t="shared" si="61"/>
        <v>SELECT 453, 346, 1, 2 UNION ALL</v>
      </c>
      <c r="Q115" s="6" t="str">
        <f t="shared" si="62"/>
        <v>SELECT 454, 346, 2, 4 UNION ALL</v>
      </c>
      <c r="R115" s="6" t="str">
        <f t="shared" si="63"/>
        <v>SELECT 455, 346, 3, 14 UNION ALL</v>
      </c>
      <c r="S115" s="6" t="str">
        <f t="shared" si="64"/>
        <v>SELECT 456, 346, 7, 15 UNION ALL</v>
      </c>
      <c r="V115" s="6" t="str">
        <f t="shared" si="67"/>
        <v>ia</v>
      </c>
      <c r="W115" s="6" t="str">
        <f t="shared" si="66"/>
        <v>Mongol</v>
      </c>
      <c r="Y115" s="6" t="str">
        <f>W115&amp;V115</f>
        <v>Mongolia</v>
      </c>
      <c r="Z115" s="6" t="str">
        <f>W115&amp;"ii"</f>
        <v>Mongolii</v>
      </c>
      <c r="AA115" s="6" t="str">
        <f>W115&amp;"ii"</f>
        <v>Mongolii</v>
      </c>
      <c r="AB115" s="6" t="str">
        <f>W115&amp;"ię"</f>
        <v>Mongolię</v>
      </c>
      <c r="AC115" s="6" t="str">
        <f>"z "&amp;W115&amp;"ią"</f>
        <v>z Mongolią</v>
      </c>
      <c r="AD115" s="6" t="str">
        <f>""&amp;W115&amp;"ii"</f>
        <v>Mongolii</v>
      </c>
      <c r="AE115" s="6" t="str">
        <f>W115&amp;"io"</f>
        <v>Mongolio</v>
      </c>
      <c r="AF115" s="6"/>
      <c r="AG115" s="6"/>
      <c r="AH115" s="6"/>
      <c r="AI115" s="6"/>
      <c r="AJ115" s="6"/>
      <c r="AK115" s="6"/>
      <c r="AL115" s="6"/>
      <c r="AM115" s="6" t="str">
        <f>"do "&amp;W115&amp;"ii"</f>
        <v>do Mongolii</v>
      </c>
      <c r="AN115" s="6" t="str">
        <f>"w "&amp;W115&amp;"ii"</f>
        <v>w Mongolii</v>
      </c>
    </row>
    <row r="116" spans="1:40">
      <c r="A116" s="6">
        <v>347</v>
      </c>
      <c r="B116" s="6">
        <v>115</v>
      </c>
      <c r="C116" s="6">
        <v>1</v>
      </c>
      <c r="D116" s="6" t="s">
        <v>347</v>
      </c>
      <c r="E116" s="6">
        <v>10</v>
      </c>
      <c r="F116" s="6">
        <v>1</v>
      </c>
      <c r="H116" s="6" t="str">
        <f t="shared" si="60"/>
        <v>SELECT 347, 115, 1, 'Bhutan', 10, 1 UNION ALL</v>
      </c>
      <c r="K116">
        <v>1</v>
      </c>
      <c r="L116" s="6">
        <v>4</v>
      </c>
      <c r="M116" s="6">
        <v>14</v>
      </c>
      <c r="N116" s="6">
        <v>15</v>
      </c>
      <c r="P116" s="6" t="str">
        <f t="shared" si="61"/>
        <v>SELECT 457, 347, 1, 1 UNION ALL</v>
      </c>
      <c r="Q116" s="6" t="str">
        <f t="shared" si="62"/>
        <v>SELECT 458, 347, 2, 4 UNION ALL</v>
      </c>
      <c r="R116" s="6" t="str">
        <f t="shared" si="63"/>
        <v>SELECT 459, 347, 3, 14 UNION ALL</v>
      </c>
      <c r="S116" s="6" t="str">
        <f t="shared" si="64"/>
        <v>SELECT 460, 347, 7, 15 UNION ALL</v>
      </c>
      <c r="V116" s="6" t="str">
        <f t="shared" ref="V116:V128" si="105">IF(RIGHT(D116,4)="stan","stan","")</f>
        <v/>
      </c>
      <c r="W116" s="6" t="str">
        <f t="shared" si="66"/>
        <v>Bhutan</v>
      </c>
    </row>
    <row r="117" spans="1:40">
      <c r="A117" s="6">
        <v>348</v>
      </c>
      <c r="B117" s="6">
        <v>116</v>
      </c>
      <c r="C117" s="6">
        <v>1</v>
      </c>
      <c r="D117" s="6" t="s">
        <v>349</v>
      </c>
      <c r="E117" s="6">
        <v>10</v>
      </c>
      <c r="F117" s="6">
        <v>1</v>
      </c>
      <c r="H117" s="6" t="str">
        <f t="shared" si="60"/>
        <v>SELECT 348, 116, 1, 'Bangladesz', 10, 1 UNION ALL</v>
      </c>
      <c r="K117">
        <v>1</v>
      </c>
      <c r="L117" s="6">
        <v>4</v>
      </c>
      <c r="M117" s="6">
        <v>14</v>
      </c>
      <c r="N117" s="6">
        <v>15</v>
      </c>
      <c r="P117" s="6" t="str">
        <f t="shared" si="61"/>
        <v>SELECT 461, 348, 1, 1 UNION ALL</v>
      </c>
      <c r="Q117" s="6" t="str">
        <f t="shared" si="62"/>
        <v>SELECT 462, 348, 2, 4 UNION ALL</v>
      </c>
      <c r="R117" s="6" t="str">
        <f t="shared" si="63"/>
        <v>SELECT 463, 348, 3, 14 UNION ALL</v>
      </c>
      <c r="S117" s="6" t="str">
        <f t="shared" si="64"/>
        <v>SELECT 464, 348, 7, 15 UNION ALL</v>
      </c>
      <c r="V117" s="6" t="str">
        <f t="shared" si="105"/>
        <v/>
      </c>
      <c r="W117" s="6" t="str">
        <f t="shared" si="66"/>
        <v>Bangladesz</v>
      </c>
    </row>
    <row r="118" spans="1:40">
      <c r="A118" s="6">
        <v>349</v>
      </c>
      <c r="B118" s="6">
        <v>117</v>
      </c>
      <c r="C118" s="6">
        <v>1</v>
      </c>
      <c r="D118" s="6" t="s">
        <v>351</v>
      </c>
      <c r="E118" s="6">
        <v>10</v>
      </c>
      <c r="F118" s="6">
        <v>1</v>
      </c>
      <c r="H118" s="6" t="str">
        <f t="shared" si="60"/>
        <v>SELECT 349, 117, 1, 'Sri Lanka', 10, 1 UNION ALL</v>
      </c>
      <c r="K118">
        <v>2</v>
      </c>
      <c r="L118" s="6">
        <v>4</v>
      </c>
      <c r="M118" s="6">
        <v>14</v>
      </c>
      <c r="N118" s="6">
        <v>15</v>
      </c>
      <c r="P118" s="6" t="str">
        <f t="shared" si="61"/>
        <v>SELECT 465, 349, 1, 2 UNION ALL</v>
      </c>
      <c r="Q118" s="6" t="str">
        <f t="shared" si="62"/>
        <v>SELECT 466, 349, 2, 4 UNION ALL</v>
      </c>
      <c r="R118" s="6" t="str">
        <f t="shared" si="63"/>
        <v>SELECT 467, 349, 3, 14 UNION ALL</v>
      </c>
      <c r="S118" s="6" t="str">
        <f t="shared" si="64"/>
        <v>SELECT 468, 349, 7, 15 UNION ALL</v>
      </c>
      <c r="V118" s="6" t="str">
        <f t="shared" si="105"/>
        <v/>
      </c>
      <c r="W118" s="6" t="str">
        <f t="shared" si="66"/>
        <v>Sri Lanka</v>
      </c>
    </row>
    <row r="119" spans="1:40">
      <c r="A119" s="6">
        <v>350</v>
      </c>
      <c r="B119" s="6">
        <v>119</v>
      </c>
      <c r="C119" s="6">
        <v>1</v>
      </c>
      <c r="D119" s="6" t="s">
        <v>355</v>
      </c>
      <c r="E119" s="6">
        <v>10</v>
      </c>
      <c r="F119" s="6">
        <v>1</v>
      </c>
      <c r="H119" s="6" t="str">
        <f t="shared" si="60"/>
        <v>SELECT 350, 119, 1, 'Laos', 10, 1 UNION ALL</v>
      </c>
      <c r="K119">
        <v>1</v>
      </c>
      <c r="L119" s="6">
        <v>4</v>
      </c>
      <c r="M119" s="6">
        <v>14</v>
      </c>
      <c r="N119" s="6">
        <v>15</v>
      </c>
      <c r="P119" s="6" t="str">
        <f t="shared" si="61"/>
        <v>SELECT 469, 350, 1, 1 UNION ALL</v>
      </c>
      <c r="Q119" s="6" t="str">
        <f t="shared" si="62"/>
        <v>SELECT 470, 350, 2, 4 UNION ALL</v>
      </c>
      <c r="R119" s="6" t="str">
        <f t="shared" si="63"/>
        <v>SELECT 471, 350, 3, 14 UNION ALL</v>
      </c>
      <c r="S119" s="6" t="str">
        <f t="shared" si="64"/>
        <v>SELECT 472, 350, 7, 15 UNION ALL</v>
      </c>
      <c r="V119" s="6" t="str">
        <f t="shared" si="105"/>
        <v/>
      </c>
      <c r="W119" s="6" t="str">
        <f t="shared" si="66"/>
        <v>Laos</v>
      </c>
    </row>
    <row r="120" spans="1:40">
      <c r="A120" s="6">
        <v>351</v>
      </c>
      <c r="B120" s="6">
        <v>120</v>
      </c>
      <c r="C120" s="6">
        <v>1</v>
      </c>
      <c r="D120" s="6" t="s">
        <v>357</v>
      </c>
      <c r="E120" s="6">
        <v>10</v>
      </c>
      <c r="F120" s="6">
        <v>1</v>
      </c>
      <c r="H120" s="6" t="str">
        <f t="shared" si="60"/>
        <v>SELECT 351, 120, 1, 'Kambodża', 10, 1 UNION ALL</v>
      </c>
      <c r="K120">
        <v>2</v>
      </c>
      <c r="L120" s="6">
        <v>4</v>
      </c>
      <c r="M120" s="6">
        <v>14</v>
      </c>
      <c r="N120" s="6">
        <v>15</v>
      </c>
      <c r="P120" s="6" t="str">
        <f t="shared" si="61"/>
        <v>SELECT 473, 351, 1, 2 UNION ALL</v>
      </c>
      <c r="Q120" s="6" t="str">
        <f t="shared" si="62"/>
        <v>SELECT 474, 351, 2, 4 UNION ALL</v>
      </c>
      <c r="R120" s="6" t="str">
        <f t="shared" si="63"/>
        <v>SELECT 475, 351, 3, 14 UNION ALL</v>
      </c>
      <c r="S120" s="6" t="str">
        <f t="shared" si="64"/>
        <v>SELECT 476, 351, 7, 15 UNION ALL</v>
      </c>
      <c r="V120" s="6" t="str">
        <f t="shared" si="105"/>
        <v/>
      </c>
      <c r="W120" s="6" t="str">
        <f t="shared" si="66"/>
        <v>Kambodża</v>
      </c>
    </row>
    <row r="121" spans="1:40">
      <c r="A121" s="6">
        <v>352</v>
      </c>
      <c r="B121" s="6">
        <v>121</v>
      </c>
      <c r="C121" s="6">
        <v>1</v>
      </c>
      <c r="D121" s="6" t="s">
        <v>359</v>
      </c>
      <c r="E121" s="6">
        <v>10</v>
      </c>
      <c r="F121" s="6">
        <v>1</v>
      </c>
      <c r="H121" s="6" t="str">
        <f t="shared" si="60"/>
        <v>SELECT 352, 121, 1, 'Wietnam', 10, 1 UNION ALL</v>
      </c>
      <c r="K121">
        <v>1</v>
      </c>
      <c r="L121" s="6">
        <v>4</v>
      </c>
      <c r="M121" s="6">
        <v>14</v>
      </c>
      <c r="N121" s="6">
        <v>15</v>
      </c>
      <c r="P121" s="6" t="str">
        <f t="shared" si="61"/>
        <v>SELECT 477, 352, 1, 1 UNION ALL</v>
      </c>
      <c r="Q121" s="6" t="str">
        <f t="shared" si="62"/>
        <v>SELECT 478, 352, 2, 4 UNION ALL</v>
      </c>
      <c r="R121" s="6" t="str">
        <f t="shared" si="63"/>
        <v>SELECT 479, 352, 3, 14 UNION ALL</v>
      </c>
      <c r="S121" s="6" t="str">
        <f t="shared" si="64"/>
        <v>SELECT 480, 352, 7, 15 UNION ALL</v>
      </c>
      <c r="V121" s="6" t="str">
        <f t="shared" si="105"/>
        <v/>
      </c>
      <c r="W121" s="6" t="str">
        <f t="shared" si="66"/>
        <v>Wietnam</v>
      </c>
    </row>
    <row r="122" spans="1:40">
      <c r="A122" s="6">
        <v>353</v>
      </c>
      <c r="B122" s="6">
        <v>122</v>
      </c>
      <c r="C122" s="6">
        <v>1</v>
      </c>
      <c r="D122" s="6" t="s">
        <v>361</v>
      </c>
      <c r="E122" s="6">
        <v>10</v>
      </c>
      <c r="F122" s="6">
        <v>1</v>
      </c>
      <c r="H122" s="6" t="str">
        <f t="shared" si="60"/>
        <v>SELECT 353, 122, 1, 'Myanmar', 10, 1 UNION ALL</v>
      </c>
      <c r="K122">
        <v>1</v>
      </c>
      <c r="L122" s="6">
        <v>4</v>
      </c>
      <c r="M122" s="6">
        <v>14</v>
      </c>
      <c r="N122" s="6">
        <v>15</v>
      </c>
      <c r="P122" s="6" t="str">
        <f t="shared" si="61"/>
        <v>SELECT 481, 353, 1, 1 UNION ALL</v>
      </c>
      <c r="Q122" s="6" t="str">
        <f t="shared" si="62"/>
        <v>SELECT 482, 353, 2, 4 UNION ALL</v>
      </c>
      <c r="R122" s="6" t="str">
        <f t="shared" si="63"/>
        <v>SELECT 483, 353, 3, 14 UNION ALL</v>
      </c>
      <c r="S122" s="6" t="str">
        <f t="shared" si="64"/>
        <v>SELECT 484, 353, 7, 15 UNION ALL</v>
      </c>
      <c r="V122" s="6" t="str">
        <f t="shared" si="105"/>
        <v/>
      </c>
      <c r="W122" s="6" t="str">
        <f t="shared" si="66"/>
        <v>Myanmar</v>
      </c>
    </row>
    <row r="123" spans="1:40">
      <c r="A123" s="6">
        <v>354</v>
      </c>
      <c r="B123" s="6">
        <v>122</v>
      </c>
      <c r="C123" s="6">
        <v>1</v>
      </c>
      <c r="D123" s="6" t="s">
        <v>827</v>
      </c>
      <c r="E123" s="6">
        <v>6</v>
      </c>
      <c r="F123" s="6">
        <v>1</v>
      </c>
      <c r="H123" s="6" t="str">
        <f t="shared" si="60"/>
        <v>SELECT 354, 122, 1, 'Birma', 6, 1 UNION ALL</v>
      </c>
      <c r="K123">
        <v>2</v>
      </c>
      <c r="L123" s="6">
        <v>4</v>
      </c>
      <c r="M123" s="6">
        <v>14</v>
      </c>
      <c r="N123" s="6">
        <v>15</v>
      </c>
      <c r="P123" s="6" t="str">
        <f t="shared" si="61"/>
        <v>SELECT 485, 354, 1, 2 UNION ALL</v>
      </c>
      <c r="Q123" s="6" t="str">
        <f t="shared" si="62"/>
        <v>SELECT 486, 354, 2, 4 UNION ALL</v>
      </c>
      <c r="R123" s="6" t="str">
        <f t="shared" si="63"/>
        <v>SELECT 487, 354, 3, 14 UNION ALL</v>
      </c>
      <c r="S123" s="6" t="str">
        <f t="shared" si="64"/>
        <v>SELECT 488, 354, 7, 15 UNION ALL</v>
      </c>
      <c r="V123" s="6" t="str">
        <f t="shared" si="105"/>
        <v/>
      </c>
      <c r="W123" s="6" t="str">
        <f t="shared" si="66"/>
        <v>Birma</v>
      </c>
    </row>
    <row r="124" spans="1:40">
      <c r="A124" s="6">
        <v>355</v>
      </c>
      <c r="B124" s="6">
        <v>123</v>
      </c>
      <c r="C124" s="6">
        <v>1</v>
      </c>
      <c r="D124" s="6" t="s">
        <v>363</v>
      </c>
      <c r="E124" s="6">
        <v>10</v>
      </c>
      <c r="F124" s="6">
        <v>1</v>
      </c>
      <c r="H124" s="6" t="str">
        <f t="shared" si="60"/>
        <v>SELECT 355, 123, 1, 'Korea Południowa', 10, 1 UNION ALL</v>
      </c>
      <c r="K124">
        <v>2</v>
      </c>
      <c r="L124" s="6">
        <v>4</v>
      </c>
      <c r="M124" s="6">
        <v>14</v>
      </c>
      <c r="N124" s="6">
        <v>15</v>
      </c>
      <c r="P124" s="6" t="str">
        <f t="shared" si="61"/>
        <v>SELECT 489, 355, 1, 2 UNION ALL</v>
      </c>
      <c r="Q124" s="6" t="str">
        <f t="shared" si="62"/>
        <v>SELECT 490, 355, 2, 4 UNION ALL</v>
      </c>
      <c r="R124" s="6" t="str">
        <f t="shared" si="63"/>
        <v>SELECT 491, 355, 3, 14 UNION ALL</v>
      </c>
      <c r="S124" s="6" t="str">
        <f t="shared" si="64"/>
        <v>SELECT 492, 355, 7, 15 UNION ALL</v>
      </c>
      <c r="V124" s="6" t="str">
        <f t="shared" si="105"/>
        <v/>
      </c>
      <c r="W124" s="6" t="str">
        <f t="shared" si="66"/>
        <v>Korea Południowa</v>
      </c>
    </row>
    <row r="125" spans="1:40">
      <c r="A125" s="6">
        <v>356</v>
      </c>
      <c r="B125" s="6">
        <v>131</v>
      </c>
      <c r="C125" s="6">
        <v>1</v>
      </c>
      <c r="D125" s="6" t="s">
        <v>377</v>
      </c>
      <c r="E125" s="6">
        <v>10</v>
      </c>
      <c r="F125" s="6">
        <v>1</v>
      </c>
      <c r="H125" s="6" t="str">
        <f t="shared" si="60"/>
        <v>SELECT 356, 131, 1, 'Singapur', 10, 1 UNION ALL</v>
      </c>
      <c r="K125">
        <v>1</v>
      </c>
      <c r="L125" s="6">
        <v>4</v>
      </c>
      <c r="M125" s="6">
        <v>14</v>
      </c>
      <c r="N125" s="6">
        <v>15</v>
      </c>
      <c r="P125" s="6" t="str">
        <f t="shared" si="61"/>
        <v>SELECT 493, 356, 1, 1 UNION ALL</v>
      </c>
      <c r="Q125" s="6" t="str">
        <f t="shared" si="62"/>
        <v>SELECT 494, 356, 2, 4 UNION ALL</v>
      </c>
      <c r="R125" s="6" t="str">
        <f t="shared" si="63"/>
        <v>SELECT 495, 356, 3, 14 UNION ALL</v>
      </c>
      <c r="S125" s="6" t="str">
        <f t="shared" si="64"/>
        <v>SELECT 496, 356, 7, 15 UNION ALL</v>
      </c>
      <c r="V125" s="6" t="str">
        <f t="shared" si="105"/>
        <v/>
      </c>
      <c r="W125" s="6" t="str">
        <f t="shared" si="66"/>
        <v>Singapur</v>
      </c>
    </row>
    <row r="126" spans="1:40">
      <c r="A126" s="6">
        <v>357</v>
      </c>
      <c r="B126" s="6">
        <v>130</v>
      </c>
      <c r="C126" s="6">
        <v>1</v>
      </c>
      <c r="D126" s="6" t="s">
        <v>375</v>
      </c>
      <c r="E126" s="6">
        <v>10</v>
      </c>
      <c r="F126" s="6">
        <v>1</v>
      </c>
      <c r="H126" s="6" t="str">
        <f t="shared" si="60"/>
        <v>SELECT 357, 130, 1, 'Hongkong', 10, 1 UNION ALL</v>
      </c>
      <c r="K126">
        <v>1</v>
      </c>
      <c r="L126" s="6">
        <v>4</v>
      </c>
      <c r="M126" s="6">
        <v>14</v>
      </c>
      <c r="N126" s="6">
        <v>15</v>
      </c>
      <c r="P126" s="6" t="str">
        <f t="shared" si="61"/>
        <v>SELECT 497, 357, 1, 1 UNION ALL</v>
      </c>
      <c r="Q126" s="6" t="str">
        <f t="shared" si="62"/>
        <v>SELECT 498, 357, 2, 4 UNION ALL</v>
      </c>
      <c r="R126" s="6" t="str">
        <f t="shared" si="63"/>
        <v>SELECT 499, 357, 3, 14 UNION ALL</v>
      </c>
      <c r="S126" s="6" t="str">
        <f t="shared" si="64"/>
        <v>SELECT 500, 357, 7, 15 UNION ALL</v>
      </c>
      <c r="V126" s="6" t="str">
        <f t="shared" si="105"/>
        <v/>
      </c>
      <c r="W126" s="6" t="str">
        <f t="shared" si="66"/>
        <v>Hongkong</v>
      </c>
    </row>
    <row r="127" spans="1:40">
      <c r="A127" s="6">
        <v>358</v>
      </c>
      <c r="B127" s="6">
        <v>129</v>
      </c>
      <c r="C127" s="6">
        <v>1</v>
      </c>
      <c r="D127" s="6" t="s">
        <v>373</v>
      </c>
      <c r="E127" s="6">
        <v>10</v>
      </c>
      <c r="F127" s="6">
        <v>1</v>
      </c>
      <c r="H127" s="6" t="str">
        <f t="shared" si="60"/>
        <v>SELECT 358, 129, 1, 'Tajwan', 10, 1 UNION ALL</v>
      </c>
      <c r="K127">
        <v>1</v>
      </c>
      <c r="L127" s="6">
        <v>4</v>
      </c>
      <c r="M127" s="6">
        <v>14</v>
      </c>
      <c r="N127" s="6">
        <v>15</v>
      </c>
      <c r="P127" s="6" t="str">
        <f t="shared" si="61"/>
        <v>SELECT 501, 358, 1, 1 UNION ALL</v>
      </c>
      <c r="Q127" s="6" t="str">
        <f t="shared" si="62"/>
        <v>SELECT 502, 358, 2, 4 UNION ALL</v>
      </c>
      <c r="R127" s="6" t="str">
        <f t="shared" si="63"/>
        <v>SELECT 503, 358, 3, 14 UNION ALL</v>
      </c>
      <c r="S127" s="6" t="str">
        <f t="shared" si="64"/>
        <v>SELECT 504, 358, 7, 15 UNION ALL</v>
      </c>
      <c r="V127" s="6" t="str">
        <f t="shared" si="105"/>
        <v/>
      </c>
      <c r="W127" s="6" t="str">
        <f t="shared" si="66"/>
        <v>Tajwan</v>
      </c>
    </row>
    <row r="128" spans="1:40">
      <c r="A128" s="6">
        <v>359</v>
      </c>
      <c r="B128" s="6">
        <v>128</v>
      </c>
      <c r="C128" s="6">
        <v>1</v>
      </c>
      <c r="D128" s="6" t="s">
        <v>371</v>
      </c>
      <c r="E128" s="6">
        <v>10</v>
      </c>
      <c r="F128" s="6">
        <v>1</v>
      </c>
      <c r="H128" s="6" t="str">
        <f t="shared" si="60"/>
        <v>SELECT 359, 128, 1, 'Filipiny', 10, 1 UNION ALL</v>
      </c>
      <c r="K128">
        <v>1</v>
      </c>
      <c r="L128">
        <v>5</v>
      </c>
      <c r="M128" s="6">
        <v>14</v>
      </c>
      <c r="N128" s="6">
        <v>15</v>
      </c>
      <c r="P128" s="6" t="str">
        <f t="shared" si="61"/>
        <v>SELECT 505, 359, 1, 1 UNION ALL</v>
      </c>
      <c r="Q128" s="6" t="str">
        <f t="shared" si="62"/>
        <v>SELECT 506, 359, 2, 5 UNION ALL</v>
      </c>
      <c r="R128" s="6" t="str">
        <f t="shared" si="63"/>
        <v>SELECT 507, 359, 3, 14 UNION ALL</v>
      </c>
      <c r="S128" s="6" t="str">
        <f t="shared" si="64"/>
        <v>SELECT 508, 359, 7, 15 UNION ALL</v>
      </c>
      <c r="V128" s="6" t="str">
        <f t="shared" si="105"/>
        <v/>
      </c>
      <c r="W128" s="6" t="str">
        <f t="shared" si="66"/>
        <v>Filipiny</v>
      </c>
    </row>
    <row r="129" spans="1:40">
      <c r="A129" s="6">
        <v>360</v>
      </c>
      <c r="B129" s="6">
        <v>126</v>
      </c>
      <c r="C129" s="6">
        <v>1</v>
      </c>
      <c r="D129" s="6" t="s">
        <v>369</v>
      </c>
      <c r="E129" s="6">
        <v>10</v>
      </c>
      <c r="F129" s="6">
        <v>1</v>
      </c>
      <c r="H129" s="6" t="str">
        <f t="shared" si="60"/>
        <v>SELECT 360, 126, 1, 'Indonezja', 10, 1 UNION ALL</v>
      </c>
      <c r="K129">
        <v>2</v>
      </c>
      <c r="L129" s="6">
        <v>4</v>
      </c>
      <c r="M129" s="6">
        <v>14</v>
      </c>
      <c r="N129" s="6">
        <v>15</v>
      </c>
      <c r="P129" s="6" t="str">
        <f t="shared" si="61"/>
        <v>SELECT 509, 360, 1, 2 UNION ALL</v>
      </c>
      <c r="Q129" s="6" t="str">
        <f t="shared" si="62"/>
        <v>SELECT 510, 360, 2, 4 UNION ALL</v>
      </c>
      <c r="R129" s="6" t="str">
        <f t="shared" si="63"/>
        <v>SELECT 511, 360, 3, 14 UNION ALL</v>
      </c>
      <c r="S129" s="6" t="str">
        <f t="shared" si="64"/>
        <v>SELECT 512, 360, 7, 15 UNION ALL</v>
      </c>
      <c r="V129" s="6" t="str">
        <f t="shared" ref="V129:V130" si="106">IF(RIGHT(D129,2)="ja","ja","")</f>
        <v>ja</v>
      </c>
      <c r="W129" s="6" t="str">
        <f t="shared" si="66"/>
        <v>Indonez</v>
      </c>
      <c r="Y129" s="6" t="str">
        <f t="shared" ref="Y129:Y130" si="107">W129&amp;"ja"</f>
        <v>Indonezja</v>
      </c>
      <c r="Z129" s="6" t="str">
        <f t="shared" ref="Z129:Z130" si="108">W129&amp;"ji"</f>
        <v>Indonezji</v>
      </c>
      <c r="AA129" s="6" t="str">
        <f t="shared" ref="AA129:AA130" si="109">W129&amp;"ji"</f>
        <v>Indonezji</v>
      </c>
      <c r="AB129" s="6" t="str">
        <f t="shared" ref="AB129:AB130" si="110">W129&amp;"ję"</f>
        <v>Indonezję</v>
      </c>
      <c r="AC129" s="6" t="str">
        <f t="shared" ref="AC129:AC130" si="111">"z "&amp;W129&amp;"ją"</f>
        <v>z Indonezją</v>
      </c>
      <c r="AD129" s="6" t="str">
        <f t="shared" ref="AD129:AD130" si="112">W129&amp;"ji"</f>
        <v>Indonezji</v>
      </c>
      <c r="AE129" s="6" t="str">
        <f t="shared" ref="AE129:AE130" si="113">W129&amp;"jo"</f>
        <v>Indonezjo</v>
      </c>
      <c r="AF129" s="6"/>
      <c r="AG129" s="6"/>
      <c r="AH129" s="6"/>
      <c r="AI129" s="6"/>
      <c r="AJ129" s="6"/>
      <c r="AK129" s="6"/>
      <c r="AL129" s="6"/>
      <c r="AM129" s="6" t="str">
        <f t="shared" ref="AM129:AM130" si="114">"do "&amp;W129&amp;"ji"</f>
        <v>do Indonezji</v>
      </c>
      <c r="AN129" s="6" t="str">
        <f t="shared" ref="AN129:AN130" si="115">"w "&amp;W129&amp;"ji"</f>
        <v>w Indonezji</v>
      </c>
    </row>
    <row r="130" spans="1:40">
      <c r="A130" s="6">
        <v>361</v>
      </c>
      <c r="B130" s="6">
        <v>125</v>
      </c>
      <c r="C130" s="6">
        <v>1</v>
      </c>
      <c r="D130" s="6" t="s">
        <v>367</v>
      </c>
      <c r="E130" s="6">
        <v>10</v>
      </c>
      <c r="F130" s="6">
        <v>1</v>
      </c>
      <c r="H130" s="6" t="str">
        <f t="shared" si="60"/>
        <v>SELECT 361, 125, 1, 'Malezja', 10, 1 UNION ALL</v>
      </c>
      <c r="K130">
        <v>2</v>
      </c>
      <c r="L130" s="6">
        <v>4</v>
      </c>
      <c r="M130" s="6">
        <v>14</v>
      </c>
      <c r="N130" s="6">
        <v>15</v>
      </c>
      <c r="P130" s="6" t="str">
        <f t="shared" si="61"/>
        <v>SELECT 513, 361, 1, 2 UNION ALL</v>
      </c>
      <c r="Q130" s="6" t="str">
        <f t="shared" si="62"/>
        <v>SELECT 514, 361, 2, 4 UNION ALL</v>
      </c>
      <c r="R130" s="6" t="str">
        <f t="shared" si="63"/>
        <v>SELECT 515, 361, 3, 14 UNION ALL</v>
      </c>
      <c r="S130" s="6" t="str">
        <f t="shared" si="64"/>
        <v>SELECT 516, 361, 7, 15 UNION ALL</v>
      </c>
      <c r="V130" s="6" t="str">
        <f t="shared" si="106"/>
        <v>ja</v>
      </c>
      <c r="W130" s="6" t="str">
        <f t="shared" si="66"/>
        <v>Malez</v>
      </c>
      <c r="Y130" s="6" t="str">
        <f t="shared" si="107"/>
        <v>Malezja</v>
      </c>
      <c r="Z130" s="6" t="str">
        <f t="shared" si="108"/>
        <v>Malezji</v>
      </c>
      <c r="AA130" s="6" t="str">
        <f t="shared" si="109"/>
        <v>Malezji</v>
      </c>
      <c r="AB130" s="6" t="str">
        <f t="shared" si="110"/>
        <v>Malezję</v>
      </c>
      <c r="AC130" s="6" t="str">
        <f t="shared" si="111"/>
        <v>z Malezją</v>
      </c>
      <c r="AD130" s="6" t="str">
        <f t="shared" si="112"/>
        <v>Malezji</v>
      </c>
      <c r="AE130" s="6" t="str">
        <f t="shared" si="113"/>
        <v>Malezjo</v>
      </c>
      <c r="AF130" s="6"/>
      <c r="AG130" s="6"/>
      <c r="AH130" s="6"/>
      <c r="AI130" s="6"/>
      <c r="AJ130" s="6"/>
      <c r="AK130" s="6"/>
      <c r="AL130" s="6"/>
      <c r="AM130" s="6" t="str">
        <f t="shared" si="114"/>
        <v>do Malezji</v>
      </c>
      <c r="AN130" s="6" t="str">
        <f t="shared" si="115"/>
        <v>w Malezji</v>
      </c>
    </row>
    <row r="131" spans="1:40">
      <c r="A131" s="6">
        <v>362</v>
      </c>
      <c r="B131" s="6">
        <v>124</v>
      </c>
      <c r="C131" s="6">
        <v>1</v>
      </c>
      <c r="D131" s="6" t="s">
        <v>365</v>
      </c>
      <c r="E131" s="6">
        <v>10</v>
      </c>
      <c r="F131" s="6">
        <v>1</v>
      </c>
      <c r="H131" s="6" t="str">
        <f t="shared" si="60"/>
        <v>SELECT 362, 124, 1, 'Korea Północna', 10, 1 UNION ALL</v>
      </c>
      <c r="K131">
        <v>2</v>
      </c>
      <c r="L131" s="6">
        <v>4</v>
      </c>
      <c r="M131" s="6">
        <v>14</v>
      </c>
      <c r="N131" s="6">
        <v>15</v>
      </c>
      <c r="P131" s="6" t="str">
        <f t="shared" si="61"/>
        <v>SELECT 517, 362, 1, 2 UNION ALL</v>
      </c>
      <c r="Q131" s="6" t="str">
        <f t="shared" si="62"/>
        <v>SELECT 518, 362, 2, 4 UNION ALL</v>
      </c>
      <c r="R131" s="6" t="str">
        <f t="shared" si="63"/>
        <v>SELECT 519, 362, 3, 14 UNION ALL</v>
      </c>
      <c r="S131" s="6" t="str">
        <f t="shared" si="64"/>
        <v>SELECT 520, 362, 7, 15 UNION ALL</v>
      </c>
      <c r="V131" s="6" t="str">
        <f>IF(RIGHT(D131,4)="stan","stan","")</f>
        <v/>
      </c>
      <c r="W131" s="6" t="str">
        <f t="shared" si="66"/>
        <v>Korea Północna</v>
      </c>
    </row>
    <row r="132" spans="1:40">
      <c r="A132" s="6">
        <v>397</v>
      </c>
      <c r="B132" s="6">
        <v>133</v>
      </c>
      <c r="C132" s="6">
        <v>1</v>
      </c>
      <c r="D132" s="6" t="s">
        <v>381</v>
      </c>
      <c r="E132" s="6">
        <v>10</v>
      </c>
      <c r="F132" s="6">
        <v>1</v>
      </c>
      <c r="H132" s="6" t="str">
        <f t="shared" ref="H132:H155" si="116">"SELECT "&amp;A132&amp;", "&amp;B132&amp;", "&amp;C132&amp;", '"&amp;D132&amp;"', "&amp;E132&amp;", "&amp;F132&amp;" UNION ALL"</f>
        <v>SELECT 397, 133, 1, 'Nowa Zelandia', 10, 1 UNION ALL</v>
      </c>
      <c r="K132">
        <v>2</v>
      </c>
      <c r="L132" s="6">
        <v>4</v>
      </c>
      <c r="M132" s="6">
        <v>14</v>
      </c>
      <c r="N132" s="6">
        <v>15</v>
      </c>
      <c r="P132" s="6" t="str">
        <f t="shared" ref="P132:P155" si="117">"SELECT "&amp;((ROW()-2)*4+COLUMN()-15)&amp;", "&amp;$A132&amp;", "&amp;P$2&amp;", "&amp;K132&amp;" UNION ALL"</f>
        <v>SELECT 521, 397, 1, 2 UNION ALL</v>
      </c>
      <c r="Q132" s="6" t="str">
        <f t="shared" ref="Q132:Q155" si="118">"SELECT "&amp;((ROW()-2)*4+COLUMN()-15)&amp;", "&amp;$A132&amp;", "&amp;Q$2&amp;", "&amp;L132&amp;" UNION ALL"</f>
        <v>SELECT 522, 397, 2, 4 UNION ALL</v>
      </c>
      <c r="R132" s="6" t="str">
        <f t="shared" ref="R132:R155" si="119">"SELECT "&amp;((ROW()-2)*4+COLUMN()-15)&amp;", "&amp;$A132&amp;", "&amp;R$2&amp;", "&amp;M132&amp;" UNION ALL"</f>
        <v>SELECT 523, 397, 3, 14 UNION ALL</v>
      </c>
      <c r="S132" s="6" t="str">
        <f t="shared" ref="S132:S155" si="120">"SELECT "&amp;((ROW()-2)*4+COLUMN()-15)&amp;", "&amp;$A132&amp;", "&amp;S$2&amp;", "&amp;N132&amp;" UNION ALL"</f>
        <v>SELECT 524, 397, 7, 15 UNION ALL</v>
      </c>
      <c r="V132" s="6" t="str">
        <f t="shared" si="67"/>
        <v>ia</v>
      </c>
      <c r="W132" s="6" t="str">
        <f t="shared" si="66"/>
        <v>Nowa Zeland</v>
      </c>
      <c r="Y132" s="6" t="str">
        <f>W132&amp;V132</f>
        <v>Nowa Zelandia</v>
      </c>
      <c r="Z132" s="6" t="s">
        <v>2630</v>
      </c>
      <c r="AA132" s="6" t="s">
        <v>2630</v>
      </c>
      <c r="AB132" s="6" t="s">
        <v>2631</v>
      </c>
      <c r="AC132" s="6" t="s">
        <v>2632</v>
      </c>
      <c r="AD132" s="6" t="s">
        <v>2630</v>
      </c>
      <c r="AE132" s="6" t="str">
        <f>W132&amp;"io"</f>
        <v>Nowa Zelandio</v>
      </c>
      <c r="AF132" s="6"/>
      <c r="AG132" s="6"/>
      <c r="AH132" s="6"/>
      <c r="AI132" s="6"/>
      <c r="AJ132" s="6"/>
      <c r="AK132" s="6"/>
      <c r="AL132" s="6"/>
      <c r="AM132" s="6" t="s">
        <v>2633</v>
      </c>
      <c r="AN132" s="6" t="s">
        <v>2634</v>
      </c>
    </row>
    <row r="133" spans="1:40">
      <c r="A133" s="6">
        <v>398</v>
      </c>
      <c r="B133" s="6">
        <v>134</v>
      </c>
      <c r="C133" s="6">
        <v>1</v>
      </c>
      <c r="D133" s="6" t="s">
        <v>383</v>
      </c>
      <c r="E133" s="6">
        <v>10</v>
      </c>
      <c r="F133" s="6">
        <v>1</v>
      </c>
      <c r="H133" s="6" t="str">
        <f t="shared" si="116"/>
        <v>SELECT 398, 134, 1, 'Fidżi', 10, 1 UNION ALL</v>
      </c>
      <c r="K133">
        <v>3</v>
      </c>
      <c r="L133" s="6">
        <v>4</v>
      </c>
      <c r="M133" s="6">
        <v>14</v>
      </c>
      <c r="N133" s="6">
        <v>15</v>
      </c>
      <c r="P133" s="6" t="str">
        <f t="shared" si="117"/>
        <v>SELECT 525, 398, 1, 3 UNION ALL</v>
      </c>
      <c r="Q133" s="6" t="str">
        <f t="shared" si="118"/>
        <v>SELECT 526, 398, 2, 4 UNION ALL</v>
      </c>
      <c r="R133" s="6" t="str">
        <f t="shared" si="119"/>
        <v>SELECT 527, 398, 3, 14 UNION ALL</v>
      </c>
      <c r="S133" s="6" t="str">
        <f t="shared" si="120"/>
        <v>SELECT 528, 398, 7, 15 UNION ALL</v>
      </c>
      <c r="V133" s="6" t="s">
        <v>2641</v>
      </c>
      <c r="W133" s="6" t="str">
        <f t="shared" si="66"/>
        <v>Fidżi</v>
      </c>
      <c r="Y133" s="6" t="str">
        <f>W133</f>
        <v>Fidżi</v>
      </c>
      <c r="Z133" s="6" t="str">
        <f>$W133</f>
        <v>Fidżi</v>
      </c>
      <c r="AA133" s="6" t="str">
        <f>$W133</f>
        <v>Fidżi</v>
      </c>
      <c r="AB133" s="6" t="str">
        <f>$W133</f>
        <v>Fidżi</v>
      </c>
      <c r="AC133" s="6" t="str">
        <f>"z "&amp;W133</f>
        <v>z Fidżi</v>
      </c>
      <c r="AD133" s="6" t="str">
        <f>$W133</f>
        <v>Fidżi</v>
      </c>
      <c r="AE133" s="6" t="str">
        <f>$W133</f>
        <v>Fidżi</v>
      </c>
      <c r="AF133" s="6"/>
      <c r="AG133" s="6"/>
      <c r="AH133" s="6"/>
      <c r="AI133" s="6"/>
      <c r="AJ133" s="6"/>
      <c r="AK133" s="6"/>
      <c r="AL133" s="6"/>
      <c r="AM133" s="6" t="s">
        <v>2643</v>
      </c>
      <c r="AN133" s="6" t="s">
        <v>2643</v>
      </c>
    </row>
    <row r="134" spans="1:40">
      <c r="A134" s="6">
        <v>405</v>
      </c>
      <c r="B134" s="6">
        <v>183</v>
      </c>
      <c r="C134" s="6">
        <v>1</v>
      </c>
      <c r="D134" s="6" t="s">
        <v>475</v>
      </c>
      <c r="E134" s="6">
        <v>10</v>
      </c>
      <c r="F134" s="6">
        <v>1</v>
      </c>
      <c r="H134" s="6" t="str">
        <f t="shared" si="116"/>
        <v>SELECT 405, 183, 1, 'Meksyk', 10, 1 UNION ALL</v>
      </c>
      <c r="K134">
        <v>1</v>
      </c>
      <c r="L134" s="6">
        <v>4</v>
      </c>
      <c r="M134" s="6">
        <v>14</v>
      </c>
      <c r="N134" s="6">
        <v>15</v>
      </c>
      <c r="P134" s="6" t="str">
        <f t="shared" si="117"/>
        <v>SELECT 529, 405, 1, 1 UNION ALL</v>
      </c>
      <c r="Q134" s="6" t="str">
        <f t="shared" si="118"/>
        <v>SELECT 530, 405, 2, 4 UNION ALL</v>
      </c>
      <c r="R134" s="6" t="str">
        <f t="shared" si="119"/>
        <v>SELECT 531, 405, 3, 14 UNION ALL</v>
      </c>
      <c r="S134" s="6" t="str">
        <f t="shared" si="120"/>
        <v>SELECT 532, 405, 7, 15 UNION ALL</v>
      </c>
      <c r="V134" s="6" t="str">
        <f t="shared" ref="V134:V140" si="121">IF(RIGHT(D134,4)="stan","stan","")</f>
        <v/>
      </c>
      <c r="W134" s="6" t="str">
        <f t="shared" si="66"/>
        <v>Meksyk</v>
      </c>
    </row>
    <row r="135" spans="1:40">
      <c r="A135" s="6">
        <v>408</v>
      </c>
      <c r="B135" s="6">
        <v>185</v>
      </c>
      <c r="C135" s="6">
        <v>1</v>
      </c>
      <c r="D135" s="6" t="s">
        <v>479</v>
      </c>
      <c r="E135" s="6">
        <v>10</v>
      </c>
      <c r="F135" s="6">
        <v>1</v>
      </c>
      <c r="H135" s="6" t="str">
        <f t="shared" si="116"/>
        <v>SELECT 408, 185, 1, 'Jamajka', 10, 1 UNION ALL</v>
      </c>
      <c r="K135">
        <v>2</v>
      </c>
      <c r="L135" s="6">
        <v>4</v>
      </c>
      <c r="M135" s="6">
        <v>14</v>
      </c>
      <c r="N135" s="6">
        <v>15</v>
      </c>
      <c r="P135" s="6" t="str">
        <f t="shared" si="117"/>
        <v>SELECT 533, 408, 1, 2 UNION ALL</v>
      </c>
      <c r="Q135" s="6" t="str">
        <f t="shared" si="118"/>
        <v>SELECT 534, 408, 2, 4 UNION ALL</v>
      </c>
      <c r="R135" s="6" t="str">
        <f t="shared" si="119"/>
        <v>SELECT 535, 408, 3, 14 UNION ALL</v>
      </c>
      <c r="S135" s="6" t="str">
        <f t="shared" si="120"/>
        <v>SELECT 536, 408, 7, 15 UNION ALL</v>
      </c>
      <c r="V135" s="6" t="str">
        <f t="shared" si="121"/>
        <v/>
      </c>
      <c r="W135" s="6" t="str">
        <f t="shared" ref="W135:W155" si="122">SUBSTITUTE(D135,V135,"")</f>
        <v>Jamajka</v>
      </c>
    </row>
    <row r="136" spans="1:40">
      <c r="A136" s="6">
        <v>410</v>
      </c>
      <c r="B136" s="6">
        <v>186</v>
      </c>
      <c r="C136" s="6">
        <v>1</v>
      </c>
      <c r="D136" s="6" t="s">
        <v>481</v>
      </c>
      <c r="E136" s="6">
        <v>10</v>
      </c>
      <c r="F136" s="6">
        <v>1</v>
      </c>
      <c r="H136" s="6" t="str">
        <f t="shared" si="116"/>
        <v>SELECT 410, 186, 1, 'Kuba', 10, 1 UNION ALL</v>
      </c>
      <c r="K136">
        <v>2</v>
      </c>
      <c r="L136" s="6">
        <v>4</v>
      </c>
      <c r="M136" s="6">
        <v>14</v>
      </c>
      <c r="N136" s="6">
        <v>15</v>
      </c>
      <c r="P136" s="6" t="str">
        <f t="shared" si="117"/>
        <v>SELECT 537, 410, 1, 2 UNION ALL</v>
      </c>
      <c r="Q136" s="6" t="str">
        <f t="shared" si="118"/>
        <v>SELECT 538, 410, 2, 4 UNION ALL</v>
      </c>
      <c r="R136" s="6" t="str">
        <f t="shared" si="119"/>
        <v>SELECT 539, 410, 3, 14 UNION ALL</v>
      </c>
      <c r="S136" s="6" t="str">
        <f t="shared" si="120"/>
        <v>SELECT 540, 410, 7, 15 UNION ALL</v>
      </c>
      <c r="V136" s="6" t="str">
        <f t="shared" si="121"/>
        <v/>
      </c>
      <c r="W136" s="6" t="str">
        <f t="shared" si="122"/>
        <v>Kuba</v>
      </c>
    </row>
    <row r="137" spans="1:40">
      <c r="A137" s="6">
        <v>412</v>
      </c>
      <c r="B137" s="6">
        <v>187</v>
      </c>
      <c r="C137" s="6">
        <v>1</v>
      </c>
      <c r="D137" s="6" t="s">
        <v>483</v>
      </c>
      <c r="E137" s="6">
        <v>10</v>
      </c>
      <c r="F137" s="6">
        <v>1</v>
      </c>
      <c r="H137" s="6" t="str">
        <f t="shared" si="116"/>
        <v>SELECT 412, 187, 1, 'Honduras', 10, 1 UNION ALL</v>
      </c>
      <c r="K137">
        <v>1</v>
      </c>
      <c r="L137" s="6">
        <v>4</v>
      </c>
      <c r="M137" s="6">
        <v>14</v>
      </c>
      <c r="N137" s="6">
        <v>15</v>
      </c>
      <c r="P137" s="6" t="str">
        <f t="shared" si="117"/>
        <v>SELECT 541, 412, 1, 1 UNION ALL</v>
      </c>
      <c r="Q137" s="6" t="str">
        <f t="shared" si="118"/>
        <v>SELECT 542, 412, 2, 4 UNION ALL</v>
      </c>
      <c r="R137" s="6" t="str">
        <f t="shared" si="119"/>
        <v>SELECT 543, 412, 3, 14 UNION ALL</v>
      </c>
      <c r="S137" s="6" t="str">
        <f t="shared" si="120"/>
        <v>SELECT 544, 412, 7, 15 UNION ALL</v>
      </c>
      <c r="V137" s="6" t="str">
        <f t="shared" si="121"/>
        <v/>
      </c>
      <c r="W137" s="6" t="str">
        <f t="shared" si="122"/>
        <v>Honduras</v>
      </c>
    </row>
    <row r="138" spans="1:40">
      <c r="A138" s="6">
        <v>414</v>
      </c>
      <c r="B138" s="6">
        <v>188</v>
      </c>
      <c r="C138" s="6">
        <v>1</v>
      </c>
      <c r="D138" s="6" t="s">
        <v>485</v>
      </c>
      <c r="E138" s="6">
        <v>10</v>
      </c>
      <c r="F138" s="6">
        <v>1</v>
      </c>
      <c r="H138" s="6" t="str">
        <f t="shared" si="116"/>
        <v>SELECT 414, 188, 1, 'Salwador', 10, 1 UNION ALL</v>
      </c>
      <c r="K138">
        <v>1</v>
      </c>
      <c r="L138" s="6">
        <v>4</v>
      </c>
      <c r="M138" s="6">
        <v>14</v>
      </c>
      <c r="N138" s="6">
        <v>15</v>
      </c>
      <c r="P138" s="6" t="str">
        <f t="shared" si="117"/>
        <v>SELECT 545, 414, 1, 1 UNION ALL</v>
      </c>
      <c r="Q138" s="6" t="str">
        <f t="shared" si="118"/>
        <v>SELECT 546, 414, 2, 4 UNION ALL</v>
      </c>
      <c r="R138" s="6" t="str">
        <f t="shared" si="119"/>
        <v>SELECT 547, 414, 3, 14 UNION ALL</v>
      </c>
      <c r="S138" s="6" t="str">
        <f t="shared" si="120"/>
        <v>SELECT 548, 414, 7, 15 UNION ALL</v>
      </c>
      <c r="V138" s="6" t="str">
        <f t="shared" si="121"/>
        <v/>
      </c>
      <c r="W138" s="6" t="str">
        <f t="shared" si="122"/>
        <v>Salwador</v>
      </c>
    </row>
    <row r="139" spans="1:40">
      <c r="A139" s="6">
        <v>416</v>
      </c>
      <c r="B139" s="6">
        <v>189</v>
      </c>
      <c r="C139" s="6">
        <v>1</v>
      </c>
      <c r="D139" s="6" t="s">
        <v>487</v>
      </c>
      <c r="E139" s="6">
        <v>10</v>
      </c>
      <c r="F139" s="6">
        <v>1</v>
      </c>
      <c r="H139" s="6" t="str">
        <f t="shared" si="116"/>
        <v>SELECT 416, 189, 1, 'Gwatemala', 10, 1 UNION ALL</v>
      </c>
      <c r="K139">
        <v>2</v>
      </c>
      <c r="L139" s="6">
        <v>4</v>
      </c>
      <c r="M139" s="6">
        <v>14</v>
      </c>
      <c r="N139" s="6">
        <v>15</v>
      </c>
      <c r="P139" s="6" t="str">
        <f t="shared" si="117"/>
        <v>SELECT 549, 416, 1, 2 UNION ALL</v>
      </c>
      <c r="Q139" s="6" t="str">
        <f t="shared" si="118"/>
        <v>SELECT 550, 416, 2, 4 UNION ALL</v>
      </c>
      <c r="R139" s="6" t="str">
        <f t="shared" si="119"/>
        <v>SELECT 551, 416, 3, 14 UNION ALL</v>
      </c>
      <c r="S139" s="6" t="str">
        <f t="shared" si="120"/>
        <v>SELECT 552, 416, 7, 15 UNION ALL</v>
      </c>
      <c r="V139" s="6" t="str">
        <f t="shared" si="121"/>
        <v/>
      </c>
      <c r="W139" s="6" t="str">
        <f t="shared" si="122"/>
        <v>Gwatemala</v>
      </c>
    </row>
    <row r="140" spans="1:40">
      <c r="A140" s="6">
        <v>418</v>
      </c>
      <c r="B140" s="6">
        <v>171</v>
      </c>
      <c r="C140" s="6">
        <v>1</v>
      </c>
      <c r="D140" s="6" t="s">
        <v>455</v>
      </c>
      <c r="E140" s="6">
        <v>10</v>
      </c>
      <c r="F140" s="6">
        <v>1</v>
      </c>
      <c r="H140" s="6" t="str">
        <f t="shared" si="116"/>
        <v>SELECT 418, 171, 1, 'Angola', 10, 1 UNION ALL</v>
      </c>
      <c r="K140">
        <v>2</v>
      </c>
      <c r="L140" s="6">
        <v>4</v>
      </c>
      <c r="M140" s="6">
        <v>14</v>
      </c>
      <c r="N140" s="6">
        <v>15</v>
      </c>
      <c r="P140" s="6" t="str">
        <f t="shared" si="117"/>
        <v>SELECT 553, 418, 1, 2 UNION ALL</v>
      </c>
      <c r="Q140" s="6" t="str">
        <f t="shared" si="118"/>
        <v>SELECT 554, 418, 2, 4 UNION ALL</v>
      </c>
      <c r="R140" s="6" t="str">
        <f t="shared" si="119"/>
        <v>SELECT 555, 418, 3, 14 UNION ALL</v>
      </c>
      <c r="S140" s="6" t="str">
        <f t="shared" si="120"/>
        <v>SELECT 556, 418, 7, 15 UNION ALL</v>
      </c>
      <c r="V140" s="6" t="str">
        <f t="shared" si="121"/>
        <v/>
      </c>
      <c r="W140" s="6" t="str">
        <f t="shared" si="122"/>
        <v>Angola</v>
      </c>
    </row>
    <row r="141" spans="1:40">
      <c r="A141" s="6">
        <v>420</v>
      </c>
      <c r="B141" s="6">
        <v>155</v>
      </c>
      <c r="C141" s="6">
        <v>1</v>
      </c>
      <c r="D141" s="6" t="s">
        <v>425</v>
      </c>
      <c r="E141" s="6">
        <v>10</v>
      </c>
      <c r="F141" s="6">
        <v>1</v>
      </c>
      <c r="H141" s="6" t="str">
        <f t="shared" si="116"/>
        <v>SELECT 420, 155, 1, 'Liberia', 10, 1 UNION ALL</v>
      </c>
      <c r="K141">
        <v>2</v>
      </c>
      <c r="L141" s="6">
        <v>4</v>
      </c>
      <c r="M141" s="6">
        <v>14</v>
      </c>
      <c r="N141" s="6">
        <v>15</v>
      </c>
      <c r="P141" s="6" t="str">
        <f t="shared" si="117"/>
        <v>SELECT 557, 420, 1, 2 UNION ALL</v>
      </c>
      <c r="Q141" s="6" t="str">
        <f t="shared" si="118"/>
        <v>SELECT 558, 420, 2, 4 UNION ALL</v>
      </c>
      <c r="R141" s="6" t="str">
        <f t="shared" si="119"/>
        <v>SELECT 559, 420, 3, 14 UNION ALL</v>
      </c>
      <c r="S141" s="6" t="str">
        <f t="shared" si="120"/>
        <v>SELECT 560, 420, 7, 15 UNION ALL</v>
      </c>
      <c r="V141" s="6" t="str">
        <f t="shared" ref="V141" si="123">IF(RIGHT(D141,2)="ia","ia","")</f>
        <v>ia</v>
      </c>
      <c r="W141" s="6" t="str">
        <f t="shared" si="122"/>
        <v>Liber</v>
      </c>
      <c r="Y141" s="6" t="str">
        <f>W141&amp;V141</f>
        <v>Liberia</v>
      </c>
      <c r="Z141" s="6" t="str">
        <f>W141&amp;"ii"</f>
        <v>Liberii</v>
      </c>
      <c r="AA141" s="6" t="str">
        <f>W141&amp;"ii"</f>
        <v>Liberii</v>
      </c>
      <c r="AB141" s="6" t="str">
        <f>W141&amp;"ię"</f>
        <v>Liberię</v>
      </c>
      <c r="AC141" s="6" t="str">
        <f>"z "&amp;W141&amp;"ią"</f>
        <v>z Liberią</v>
      </c>
      <c r="AD141" s="6" t="str">
        <f>""&amp;W141&amp;"ii"</f>
        <v>Liberii</v>
      </c>
      <c r="AE141" s="6" t="str">
        <f>W141&amp;"io"</f>
        <v>Liberio</v>
      </c>
      <c r="AF141" s="6"/>
      <c r="AG141" s="6"/>
      <c r="AH141" s="6"/>
      <c r="AI141" s="6"/>
      <c r="AJ141" s="6"/>
      <c r="AK141" s="6"/>
      <c r="AL141" s="6"/>
      <c r="AM141" s="6" t="str">
        <f>"do "&amp;W141&amp;"ii"</f>
        <v>do Liberii</v>
      </c>
      <c r="AN141" s="6" t="str">
        <f>"w "&amp;W141&amp;"ii"</f>
        <v>w Liberii</v>
      </c>
    </row>
    <row r="142" spans="1:40">
      <c r="A142" s="6">
        <v>423</v>
      </c>
      <c r="B142" s="6">
        <v>170</v>
      </c>
      <c r="C142" s="6">
        <v>1</v>
      </c>
      <c r="D142" s="6" t="s">
        <v>453</v>
      </c>
      <c r="E142" s="6">
        <v>10</v>
      </c>
      <c r="F142" s="6">
        <v>1</v>
      </c>
      <c r="H142" s="6" t="str">
        <f t="shared" si="116"/>
        <v>SELECT 423, 170, 1, 'Madagaskar', 10, 1 UNION ALL</v>
      </c>
      <c r="K142">
        <v>1</v>
      </c>
      <c r="L142" s="6">
        <v>4</v>
      </c>
      <c r="M142" s="6">
        <v>14</v>
      </c>
      <c r="N142" s="6">
        <v>15</v>
      </c>
      <c r="P142" s="6" t="str">
        <f t="shared" si="117"/>
        <v>SELECT 561, 423, 1, 1 UNION ALL</v>
      </c>
      <c r="Q142" s="6" t="str">
        <f t="shared" si="118"/>
        <v>SELECT 562, 423, 2, 4 UNION ALL</v>
      </c>
      <c r="R142" s="6" t="str">
        <f t="shared" si="119"/>
        <v>SELECT 563, 423, 3, 14 UNION ALL</v>
      </c>
      <c r="S142" s="6" t="str">
        <f t="shared" si="120"/>
        <v>SELECT 564, 423, 7, 15 UNION ALL</v>
      </c>
      <c r="V142" s="6" t="str">
        <f t="shared" ref="V142:V155" si="124">IF(RIGHT(D142,4)="stan","stan","")</f>
        <v/>
      </c>
      <c r="W142" s="6" t="str">
        <f t="shared" si="122"/>
        <v>Madagaskar</v>
      </c>
    </row>
    <row r="143" spans="1:40">
      <c r="A143" s="6">
        <v>427</v>
      </c>
      <c r="B143" s="6">
        <v>176</v>
      </c>
      <c r="C143" s="6">
        <v>1</v>
      </c>
      <c r="D143" s="6" t="s">
        <v>463</v>
      </c>
      <c r="E143" s="6">
        <v>10</v>
      </c>
      <c r="F143" s="6">
        <v>1</v>
      </c>
      <c r="H143" s="6" t="str">
        <f t="shared" si="116"/>
        <v>SELECT 427, 176, 1, 'Zimbabwe', 10, 1 UNION ALL</v>
      </c>
      <c r="K143">
        <v>3</v>
      </c>
      <c r="L143" s="6">
        <v>4</v>
      </c>
      <c r="M143" s="6">
        <v>14</v>
      </c>
      <c r="N143" s="6">
        <v>15</v>
      </c>
      <c r="P143" s="6" t="str">
        <f t="shared" si="117"/>
        <v>SELECT 565, 427, 1, 3 UNION ALL</v>
      </c>
      <c r="Q143" s="6" t="str">
        <f t="shared" si="118"/>
        <v>SELECT 566, 427, 2, 4 UNION ALL</v>
      </c>
      <c r="R143" s="6" t="str">
        <f t="shared" si="119"/>
        <v>SELECT 567, 427, 3, 14 UNION ALL</v>
      </c>
      <c r="S143" s="6" t="str">
        <f t="shared" si="120"/>
        <v>SELECT 568, 427, 7, 15 UNION ALL</v>
      </c>
      <c r="V143" s="6" t="s">
        <v>2641</v>
      </c>
      <c r="W143" s="6" t="str">
        <f t="shared" si="122"/>
        <v>Zimbabwe</v>
      </c>
      <c r="Y143" s="6" t="str">
        <f t="shared" ref="Y143:Y144" si="125">W143</f>
        <v>Zimbabwe</v>
      </c>
      <c r="Z143" s="6" t="str">
        <f t="shared" ref="Z143:AB144" si="126">$W143</f>
        <v>Zimbabwe</v>
      </c>
      <c r="AA143" s="6" t="str">
        <f t="shared" si="126"/>
        <v>Zimbabwe</v>
      </c>
      <c r="AB143" s="6" t="str">
        <f t="shared" si="126"/>
        <v>Zimbabwe</v>
      </c>
      <c r="AC143" s="6" t="str">
        <f t="shared" ref="AC143" si="127">"z "&amp;W143</f>
        <v>z Zimbabwe</v>
      </c>
      <c r="AD143" s="6" t="str">
        <f t="shared" ref="AD143:AE144" si="128">$W143</f>
        <v>Zimbabwe</v>
      </c>
      <c r="AE143" s="6" t="str">
        <f t="shared" si="128"/>
        <v>Zimbabwe</v>
      </c>
      <c r="AF143" s="6"/>
      <c r="AG143" s="6"/>
      <c r="AH143" s="6"/>
      <c r="AI143" s="6"/>
      <c r="AJ143" s="6"/>
      <c r="AK143" s="6"/>
      <c r="AL143" s="6"/>
      <c r="AM143" s="6" t="str">
        <f t="shared" ref="AM143" si="129">"do "&amp;W143</f>
        <v>do Zimbabwe</v>
      </c>
      <c r="AN143" s="6" t="str">
        <f t="shared" ref="AN143" si="130">"w "&amp;W143</f>
        <v>w Zimbabwe</v>
      </c>
    </row>
    <row r="144" spans="1:40">
      <c r="A144" s="6">
        <v>429</v>
      </c>
      <c r="B144" s="6">
        <v>178</v>
      </c>
      <c r="C144" s="6">
        <v>1</v>
      </c>
      <c r="D144" s="6" t="s">
        <v>467</v>
      </c>
      <c r="E144" s="6">
        <v>10</v>
      </c>
      <c r="F144" s="6">
        <v>1</v>
      </c>
      <c r="H144" s="6" t="str">
        <f t="shared" si="116"/>
        <v>SELECT 429, 178, 1, 'Seszele', 10, 1 UNION ALL</v>
      </c>
      <c r="K144">
        <v>3</v>
      </c>
      <c r="L144" s="6">
        <v>4</v>
      </c>
      <c r="M144" s="6">
        <v>14</v>
      </c>
      <c r="N144" s="6">
        <v>15</v>
      </c>
      <c r="P144" s="6" t="str">
        <f t="shared" si="117"/>
        <v>SELECT 569, 429, 1, 3 UNION ALL</v>
      </c>
      <c r="Q144" s="6" t="str">
        <f t="shared" si="118"/>
        <v>SELECT 570, 429, 2, 4 UNION ALL</v>
      </c>
      <c r="R144" s="6" t="str">
        <f t="shared" si="119"/>
        <v>SELECT 571, 429, 3, 14 UNION ALL</v>
      </c>
      <c r="S144" s="6" t="str">
        <f t="shared" si="120"/>
        <v>SELECT 572, 429, 7, 15 UNION ALL</v>
      </c>
      <c r="V144" s="6" t="s">
        <v>2641</v>
      </c>
      <c r="W144" s="6" t="str">
        <f t="shared" si="122"/>
        <v>Seszele</v>
      </c>
      <c r="Y144" s="6" t="str">
        <f t="shared" si="125"/>
        <v>Seszele</v>
      </c>
      <c r="Z144" s="6" t="s">
        <v>2649</v>
      </c>
      <c r="AA144" s="6" t="s">
        <v>2646</v>
      </c>
      <c r="AB144" s="6" t="str">
        <f t="shared" si="126"/>
        <v>Seszele</v>
      </c>
      <c r="AC144" s="6" t="s">
        <v>2647</v>
      </c>
      <c r="AD144" s="6" t="s">
        <v>2648</v>
      </c>
      <c r="AE144" s="6" t="str">
        <f t="shared" si="128"/>
        <v>Seszele</v>
      </c>
      <c r="AF144" s="6"/>
      <c r="AG144" s="6"/>
      <c r="AH144" s="6"/>
      <c r="AI144" s="6"/>
      <c r="AJ144" s="6"/>
      <c r="AK144" s="6"/>
      <c r="AL144" s="6"/>
      <c r="AM144" s="6" t="s">
        <v>2644</v>
      </c>
      <c r="AN144" s="6" t="s">
        <v>2645</v>
      </c>
    </row>
    <row r="145" spans="1:40">
      <c r="A145" s="6">
        <v>431</v>
      </c>
      <c r="B145" s="6">
        <v>180</v>
      </c>
      <c r="C145" s="6">
        <v>1</v>
      </c>
      <c r="D145" s="6" t="s">
        <v>469</v>
      </c>
      <c r="E145" s="6">
        <v>10</v>
      </c>
      <c r="F145" s="6">
        <v>1</v>
      </c>
      <c r="H145" s="6" t="str">
        <f t="shared" si="116"/>
        <v>SELECT 431, 180, 1, 'Mauritius', 10, 1 UNION ALL</v>
      </c>
      <c r="K145">
        <v>1</v>
      </c>
      <c r="L145" s="6">
        <v>4</v>
      </c>
      <c r="M145" s="6">
        <v>14</v>
      </c>
      <c r="N145" s="6">
        <v>15</v>
      </c>
      <c r="P145" s="6" t="str">
        <f t="shared" si="117"/>
        <v>SELECT 573, 431, 1, 1 UNION ALL</v>
      </c>
      <c r="Q145" s="6" t="str">
        <f t="shared" si="118"/>
        <v>SELECT 574, 431, 2, 4 UNION ALL</v>
      </c>
      <c r="R145" s="6" t="str">
        <f t="shared" si="119"/>
        <v>SELECT 575, 431, 3, 14 UNION ALL</v>
      </c>
      <c r="S145" s="6" t="str">
        <f t="shared" si="120"/>
        <v>SELECT 576, 431, 7, 15 UNION ALL</v>
      </c>
      <c r="V145" s="6" t="str">
        <f t="shared" si="124"/>
        <v/>
      </c>
      <c r="W145" s="6" t="str">
        <f t="shared" si="122"/>
        <v>Mauritius</v>
      </c>
    </row>
    <row r="146" spans="1:40">
      <c r="A146" s="6">
        <v>433</v>
      </c>
      <c r="B146" s="6">
        <v>181</v>
      </c>
      <c r="C146" s="6">
        <v>1</v>
      </c>
      <c r="D146" s="6" t="s">
        <v>471</v>
      </c>
      <c r="E146" s="6">
        <v>10</v>
      </c>
      <c r="F146" s="6">
        <v>1</v>
      </c>
      <c r="H146" s="6" t="str">
        <f t="shared" si="116"/>
        <v>SELECT 433, 181, 1, 'USA', 10, 1 UNION ALL</v>
      </c>
      <c r="K146">
        <v>1</v>
      </c>
      <c r="L146">
        <v>5</v>
      </c>
      <c r="M146" s="6">
        <v>14</v>
      </c>
      <c r="N146" s="6">
        <v>15</v>
      </c>
      <c r="P146" s="6" t="str">
        <f t="shared" si="117"/>
        <v>SELECT 577, 433, 1, 1 UNION ALL</v>
      </c>
      <c r="Q146" s="6" t="str">
        <f t="shared" si="118"/>
        <v>SELECT 578, 433, 2, 5 UNION ALL</v>
      </c>
      <c r="R146" s="6" t="str">
        <f t="shared" si="119"/>
        <v>SELECT 579, 433, 3, 14 UNION ALL</v>
      </c>
      <c r="S146" s="6" t="str">
        <f t="shared" si="120"/>
        <v>SELECT 580, 433, 7, 15 UNION ALL</v>
      </c>
      <c r="V146" s="6" t="s">
        <v>2641</v>
      </c>
      <c r="W146" s="6" t="str">
        <f t="shared" si="122"/>
        <v>USA</v>
      </c>
      <c r="Y146" s="6" t="str">
        <f>W146</f>
        <v>USA</v>
      </c>
      <c r="Z146" s="6" t="str">
        <f>$W146</f>
        <v>USA</v>
      </c>
      <c r="AA146" s="6" t="str">
        <f>$W146</f>
        <v>USA</v>
      </c>
      <c r="AB146" s="6" t="str">
        <f>$W146</f>
        <v>USA</v>
      </c>
      <c r="AC146" s="6" t="str">
        <f>"z "&amp;W146</f>
        <v>z USA</v>
      </c>
      <c r="AD146" s="6" t="str">
        <f>$W146</f>
        <v>USA</v>
      </c>
      <c r="AE146" s="6" t="str">
        <f>$W146</f>
        <v>USA</v>
      </c>
      <c r="AF146" s="6"/>
      <c r="AG146" s="6"/>
      <c r="AH146" s="6"/>
      <c r="AI146" s="6"/>
      <c r="AJ146" s="6"/>
      <c r="AK146" s="6"/>
      <c r="AL146" s="6"/>
      <c r="AM146" s="6" t="str">
        <f>"do "&amp;W146</f>
        <v>do USA</v>
      </c>
      <c r="AN146" s="6" t="str">
        <f>"w "&amp;W146</f>
        <v>w USA</v>
      </c>
    </row>
    <row r="147" spans="1:40">
      <c r="A147" s="6">
        <v>434</v>
      </c>
      <c r="B147" s="6">
        <v>181</v>
      </c>
      <c r="C147" s="6">
        <v>1</v>
      </c>
      <c r="D147" s="6" t="s">
        <v>944</v>
      </c>
      <c r="E147" s="6">
        <v>5</v>
      </c>
      <c r="F147" s="6">
        <v>1</v>
      </c>
      <c r="H147" s="6" t="str">
        <f t="shared" si="116"/>
        <v>SELECT 434, 181, 1, 'Stany Zjednoczone', 5, 1 UNION ALL</v>
      </c>
      <c r="K147">
        <v>1</v>
      </c>
      <c r="L147">
        <v>5</v>
      </c>
      <c r="M147" s="6">
        <v>14</v>
      </c>
      <c r="N147" s="6">
        <v>15</v>
      </c>
      <c r="P147" s="6" t="str">
        <f t="shared" si="117"/>
        <v>SELECT 581, 434, 1, 1 UNION ALL</v>
      </c>
      <c r="Q147" s="6" t="str">
        <f t="shared" si="118"/>
        <v>SELECT 582, 434, 2, 5 UNION ALL</v>
      </c>
      <c r="R147" s="6" t="str">
        <f t="shared" si="119"/>
        <v>SELECT 583, 434, 3, 14 UNION ALL</v>
      </c>
      <c r="S147" s="6" t="str">
        <f t="shared" si="120"/>
        <v>SELECT 584, 434, 7, 15 UNION ALL</v>
      </c>
      <c r="V147" s="6" t="str">
        <f t="shared" si="124"/>
        <v/>
      </c>
      <c r="W147" s="6" t="str">
        <f t="shared" si="122"/>
        <v>Stany Zjednoczone</v>
      </c>
    </row>
    <row r="148" spans="1:40">
      <c r="A148" s="6">
        <v>441</v>
      </c>
      <c r="B148" s="6">
        <v>168</v>
      </c>
      <c r="C148" s="6">
        <v>1</v>
      </c>
      <c r="D148" s="6" t="s">
        <v>449</v>
      </c>
      <c r="E148" s="6">
        <v>10</v>
      </c>
      <c r="F148" s="6">
        <v>1</v>
      </c>
      <c r="H148" s="6" t="str">
        <f t="shared" si="116"/>
        <v>SELECT 441, 168, 1, 'Mozambik', 10, 1 UNION ALL</v>
      </c>
      <c r="K148">
        <v>1</v>
      </c>
      <c r="L148" s="6">
        <v>4</v>
      </c>
      <c r="M148" s="6">
        <v>14</v>
      </c>
      <c r="N148" s="6">
        <v>15</v>
      </c>
      <c r="P148" s="6" t="str">
        <f t="shared" si="117"/>
        <v>SELECT 585, 441, 1, 1 UNION ALL</v>
      </c>
      <c r="Q148" s="6" t="str">
        <f t="shared" si="118"/>
        <v>SELECT 586, 441, 2, 4 UNION ALL</v>
      </c>
      <c r="R148" s="6" t="str">
        <f t="shared" si="119"/>
        <v>SELECT 587, 441, 3, 14 UNION ALL</v>
      </c>
      <c r="S148" s="6" t="str">
        <f t="shared" si="120"/>
        <v>SELECT 588, 441, 7, 15 UNION ALL</v>
      </c>
      <c r="V148" s="6" t="str">
        <f t="shared" si="124"/>
        <v/>
      </c>
      <c r="W148" s="6" t="str">
        <f t="shared" si="122"/>
        <v>Mozambik</v>
      </c>
    </row>
    <row r="149" spans="1:40">
      <c r="A149" s="6">
        <v>443</v>
      </c>
      <c r="B149" s="6">
        <v>169</v>
      </c>
      <c r="C149" s="6">
        <v>1</v>
      </c>
      <c r="D149" s="6" t="s">
        <v>451</v>
      </c>
      <c r="E149" s="6">
        <v>10</v>
      </c>
      <c r="F149" s="6">
        <v>1</v>
      </c>
      <c r="H149" s="6" t="str">
        <f t="shared" si="116"/>
        <v>SELECT 443, 169, 1, 'Ruanda', 10, 1 UNION ALL</v>
      </c>
      <c r="K149">
        <v>2</v>
      </c>
      <c r="L149" s="6">
        <v>4</v>
      </c>
      <c r="M149" s="6">
        <v>14</v>
      </c>
      <c r="N149" s="6">
        <v>15</v>
      </c>
      <c r="P149" s="6" t="str">
        <f t="shared" si="117"/>
        <v>SELECT 589, 443, 1, 2 UNION ALL</v>
      </c>
      <c r="Q149" s="6" t="str">
        <f t="shared" si="118"/>
        <v>SELECT 590, 443, 2, 4 UNION ALL</v>
      </c>
      <c r="R149" s="6" t="str">
        <f t="shared" si="119"/>
        <v>SELECT 591, 443, 3, 14 UNION ALL</v>
      </c>
      <c r="S149" s="6" t="str">
        <f t="shared" si="120"/>
        <v>SELECT 592, 443, 7, 15 UNION ALL</v>
      </c>
      <c r="V149" s="6" t="str">
        <f t="shared" si="124"/>
        <v/>
      </c>
      <c r="W149" s="6" t="str">
        <f t="shared" si="122"/>
        <v>Ruanda</v>
      </c>
    </row>
    <row r="150" spans="1:40">
      <c r="A150" s="6">
        <v>444</v>
      </c>
      <c r="B150" s="6">
        <v>169</v>
      </c>
      <c r="C150" s="6">
        <v>1</v>
      </c>
      <c r="D150" s="6" t="s">
        <v>959</v>
      </c>
      <c r="E150" s="6">
        <v>10</v>
      </c>
      <c r="F150" s="6">
        <v>1</v>
      </c>
      <c r="H150" s="6" t="str">
        <f t="shared" si="116"/>
        <v>SELECT 444, 169, 1, 'Rwanda', 10, 1 UNION ALL</v>
      </c>
      <c r="K150">
        <v>2</v>
      </c>
      <c r="L150" s="6">
        <v>4</v>
      </c>
      <c r="M150" s="6">
        <v>14</v>
      </c>
      <c r="N150" s="6">
        <v>15</v>
      </c>
      <c r="P150" s="6" t="str">
        <f t="shared" si="117"/>
        <v>SELECT 593, 444, 1, 2 UNION ALL</v>
      </c>
      <c r="Q150" s="6" t="str">
        <f t="shared" si="118"/>
        <v>SELECT 594, 444, 2, 4 UNION ALL</v>
      </c>
      <c r="R150" s="6" t="str">
        <f t="shared" si="119"/>
        <v>SELECT 595, 444, 3, 14 UNION ALL</v>
      </c>
      <c r="S150" s="6" t="str">
        <f t="shared" si="120"/>
        <v>SELECT 596, 444, 7, 15 UNION ALL</v>
      </c>
      <c r="V150" s="6" t="str">
        <f t="shared" si="124"/>
        <v/>
      </c>
      <c r="W150" s="6" t="str">
        <f t="shared" si="122"/>
        <v>Rwanda</v>
      </c>
    </row>
    <row r="151" spans="1:40">
      <c r="A151" s="6">
        <v>446</v>
      </c>
      <c r="B151" s="6">
        <v>165</v>
      </c>
      <c r="C151" s="6">
        <v>1</v>
      </c>
      <c r="D151" s="6" t="s">
        <v>443</v>
      </c>
      <c r="E151" s="6">
        <v>10</v>
      </c>
      <c r="F151" s="6">
        <v>1</v>
      </c>
      <c r="H151" s="6" t="str">
        <f t="shared" si="116"/>
        <v>SELECT 446, 165, 1, 'Burundi', 10, 1 UNION ALL</v>
      </c>
      <c r="K151">
        <v>3</v>
      </c>
      <c r="L151" s="6">
        <v>4</v>
      </c>
      <c r="M151" s="6">
        <v>14</v>
      </c>
      <c r="N151" s="6">
        <v>15</v>
      </c>
      <c r="P151" s="6" t="str">
        <f t="shared" si="117"/>
        <v>SELECT 597, 446, 1, 3 UNION ALL</v>
      </c>
      <c r="Q151" s="6" t="str">
        <f t="shared" si="118"/>
        <v>SELECT 598, 446, 2, 4 UNION ALL</v>
      </c>
      <c r="R151" s="6" t="str">
        <f t="shared" si="119"/>
        <v>SELECT 599, 446, 3, 14 UNION ALL</v>
      </c>
      <c r="S151" s="6" t="str">
        <f t="shared" si="120"/>
        <v>SELECT 600, 446, 7, 15 UNION ALL</v>
      </c>
      <c r="V151" s="6" t="s">
        <v>2641</v>
      </c>
      <c r="W151" s="6" t="str">
        <f t="shared" si="122"/>
        <v>Burundi</v>
      </c>
      <c r="Y151" s="6" t="str">
        <f>W151</f>
        <v>Burundi</v>
      </c>
      <c r="Z151" s="6" t="str">
        <f>$W151</f>
        <v>Burundi</v>
      </c>
      <c r="AA151" s="6" t="str">
        <f>$W151</f>
        <v>Burundi</v>
      </c>
      <c r="AB151" s="6" t="str">
        <f>$W151</f>
        <v>Burundi</v>
      </c>
      <c r="AC151" s="6" t="str">
        <f>"z "&amp;W151</f>
        <v>z Burundi</v>
      </c>
      <c r="AD151" s="6" t="str">
        <f>$W151</f>
        <v>Burundi</v>
      </c>
      <c r="AE151" s="6" t="str">
        <f>$W151</f>
        <v>Burundi</v>
      </c>
      <c r="AF151" s="6"/>
      <c r="AG151" s="6"/>
      <c r="AH151" s="6"/>
      <c r="AI151" s="6"/>
      <c r="AJ151" s="6"/>
      <c r="AK151" s="6"/>
      <c r="AL151" s="6"/>
      <c r="AM151" s="6" t="str">
        <f>"do "&amp;W151</f>
        <v>do Burundi</v>
      </c>
      <c r="AN151" s="6" t="str">
        <f>"w "&amp;W151</f>
        <v>w Burundi</v>
      </c>
    </row>
    <row r="152" spans="1:40">
      <c r="A152" s="6">
        <v>448</v>
      </c>
      <c r="B152" s="6">
        <v>164</v>
      </c>
      <c r="C152" s="6">
        <v>1</v>
      </c>
      <c r="D152" s="6" t="s">
        <v>441</v>
      </c>
      <c r="E152" s="6">
        <v>10</v>
      </c>
      <c r="F152" s="6">
        <v>1</v>
      </c>
      <c r="H152" s="6" t="str">
        <f t="shared" si="116"/>
        <v>SELECT 448, 164, 1, 'Uganda', 10, 1 UNION ALL</v>
      </c>
      <c r="K152">
        <v>2</v>
      </c>
      <c r="L152" s="6">
        <v>4</v>
      </c>
      <c r="M152" s="6">
        <v>14</v>
      </c>
      <c r="N152" s="6">
        <v>15</v>
      </c>
      <c r="P152" s="6" t="str">
        <f t="shared" si="117"/>
        <v>SELECT 601, 448, 1, 2 UNION ALL</v>
      </c>
      <c r="Q152" s="6" t="str">
        <f t="shared" si="118"/>
        <v>SELECT 602, 448, 2, 4 UNION ALL</v>
      </c>
      <c r="R152" s="6" t="str">
        <f t="shared" si="119"/>
        <v>SELECT 603, 448, 3, 14 UNION ALL</v>
      </c>
      <c r="S152" s="6" t="str">
        <f t="shared" si="120"/>
        <v>SELECT 604, 448, 7, 15 UNION ALL</v>
      </c>
      <c r="V152" s="6" t="str">
        <f t="shared" si="124"/>
        <v/>
      </c>
      <c r="W152" s="6" t="str">
        <f t="shared" si="122"/>
        <v>Uganda</v>
      </c>
    </row>
    <row r="153" spans="1:40">
      <c r="A153" s="6">
        <v>450</v>
      </c>
      <c r="B153" s="6">
        <v>162</v>
      </c>
      <c r="C153" s="6">
        <v>1</v>
      </c>
      <c r="D153" s="6" t="s">
        <v>437</v>
      </c>
      <c r="E153" s="6">
        <v>10</v>
      </c>
      <c r="F153" s="6">
        <v>1</v>
      </c>
      <c r="H153" s="6" t="str">
        <f t="shared" si="116"/>
        <v>SELECT 450, 162, 1, 'Kongo', 10, 1 UNION ALL</v>
      </c>
      <c r="K153">
        <v>3</v>
      </c>
      <c r="L153" s="6">
        <v>4</v>
      </c>
      <c r="M153" s="6">
        <v>14</v>
      </c>
      <c r="N153" s="6">
        <v>15</v>
      </c>
      <c r="P153" s="6" t="str">
        <f t="shared" si="117"/>
        <v>SELECT 605, 450, 1, 3 UNION ALL</v>
      </c>
      <c r="Q153" s="6" t="str">
        <f t="shared" si="118"/>
        <v>SELECT 606, 450, 2, 4 UNION ALL</v>
      </c>
      <c r="R153" s="6" t="str">
        <f t="shared" si="119"/>
        <v>SELECT 607, 450, 3, 14 UNION ALL</v>
      </c>
      <c r="S153" s="6" t="str">
        <f t="shared" si="120"/>
        <v>SELECT 608, 450, 7, 15 UNION ALL</v>
      </c>
      <c r="V153" s="6" t="s">
        <v>2641</v>
      </c>
      <c r="W153" s="6" t="str">
        <f t="shared" si="122"/>
        <v>Kongo</v>
      </c>
      <c r="Y153" s="6" t="str">
        <f>W153</f>
        <v>Kongo</v>
      </c>
      <c r="Z153" s="6" t="str">
        <f>$W153</f>
        <v>Kongo</v>
      </c>
      <c r="AA153" s="6" t="str">
        <f>$W153</f>
        <v>Kongo</v>
      </c>
      <c r="AB153" s="6" t="str">
        <f>$W153</f>
        <v>Kongo</v>
      </c>
      <c r="AC153" s="6" t="str">
        <f>"z "&amp;W153</f>
        <v>z Kongo</v>
      </c>
      <c r="AD153" s="6" t="str">
        <f>$W153</f>
        <v>Kongo</v>
      </c>
      <c r="AE153" s="6" t="str">
        <f>$W153</f>
        <v>Kongo</v>
      </c>
      <c r="AF153" s="6"/>
      <c r="AG153" s="6"/>
      <c r="AH153" s="6"/>
      <c r="AI153" s="6"/>
      <c r="AJ153" s="6"/>
      <c r="AK153" s="6"/>
      <c r="AL153" s="6"/>
      <c r="AM153" s="6" t="str">
        <f>"do "&amp;W153</f>
        <v>do Kongo</v>
      </c>
      <c r="AN153" s="6" t="str">
        <f>"w "&amp;W153</f>
        <v>w Kongo</v>
      </c>
    </row>
    <row r="154" spans="1:40">
      <c r="A154" s="6">
        <v>452</v>
      </c>
      <c r="B154" s="6">
        <v>160</v>
      </c>
      <c r="C154" s="6">
        <v>1</v>
      </c>
      <c r="D154" s="6" t="s">
        <v>435</v>
      </c>
      <c r="E154" s="6">
        <v>10</v>
      </c>
      <c r="F154" s="6">
        <v>1</v>
      </c>
      <c r="H154" s="6" t="str">
        <f t="shared" si="116"/>
        <v>SELECT 452, 160, 1, 'Gabon', 10, 1 UNION ALL</v>
      </c>
      <c r="K154">
        <v>1</v>
      </c>
      <c r="L154" s="6">
        <v>4</v>
      </c>
      <c r="M154" s="6">
        <v>14</v>
      </c>
      <c r="N154" s="6">
        <v>15</v>
      </c>
      <c r="P154" s="6" t="str">
        <f t="shared" si="117"/>
        <v>SELECT 609, 452, 1, 1 UNION ALL</v>
      </c>
      <c r="Q154" s="6" t="str">
        <f t="shared" si="118"/>
        <v>SELECT 610, 452, 2, 4 UNION ALL</v>
      </c>
      <c r="R154" s="6" t="str">
        <f t="shared" si="119"/>
        <v>SELECT 611, 452, 3, 14 UNION ALL</v>
      </c>
      <c r="S154" s="6" t="str">
        <f t="shared" si="120"/>
        <v>SELECT 612, 452, 7, 15 UNION ALL</v>
      </c>
      <c r="V154" s="6" t="str">
        <f t="shared" si="124"/>
        <v/>
      </c>
      <c r="W154" s="6" t="str">
        <f t="shared" si="122"/>
        <v>Gabon</v>
      </c>
    </row>
    <row r="155" spans="1:40">
      <c r="A155" s="6">
        <v>454</v>
      </c>
      <c r="B155" s="6">
        <v>163</v>
      </c>
      <c r="C155" s="6">
        <v>1</v>
      </c>
      <c r="D155" s="6" t="s">
        <v>439</v>
      </c>
      <c r="E155" s="6">
        <v>10</v>
      </c>
      <c r="F155" s="6">
        <v>1</v>
      </c>
      <c r="H155" s="6" t="str">
        <f t="shared" si="116"/>
        <v>SELECT 454, 163, 1, 'Demokratyczna Republika Konga', 10, 1 UNION ALL</v>
      </c>
      <c r="K155">
        <v>2</v>
      </c>
      <c r="L155" s="6">
        <v>4</v>
      </c>
      <c r="M155" s="6">
        <v>14</v>
      </c>
      <c r="N155" s="6">
        <v>15</v>
      </c>
      <c r="P155" s="6" t="str">
        <f t="shared" si="117"/>
        <v>SELECT 613, 454, 1, 2 UNION ALL</v>
      </c>
      <c r="Q155" s="6" t="str">
        <f t="shared" si="118"/>
        <v>SELECT 614, 454, 2, 4 UNION ALL</v>
      </c>
      <c r="R155" s="6" t="str">
        <f t="shared" si="119"/>
        <v>SELECT 615, 454, 3, 14 UNION ALL</v>
      </c>
      <c r="S155" s="6" t="str">
        <f t="shared" si="120"/>
        <v>SELECT 616, 454, 7, 15 UNION ALL</v>
      </c>
      <c r="V155" s="6" t="str">
        <f t="shared" si="124"/>
        <v/>
      </c>
      <c r="W155" s="6" t="str">
        <f t="shared" si="122"/>
        <v>Demokratyczna Republika Konga</v>
      </c>
    </row>
    <row r="168" spans="26:40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323"/>
  <sheetViews>
    <sheetView topLeftCell="A287" workbookViewId="0">
      <selection activeCell="B1" sqref="B1:D323"/>
    </sheetView>
  </sheetViews>
  <sheetFormatPr defaultRowHeight="15"/>
  <cols>
    <col min="2" max="2" width="24" bestFit="1" customWidth="1"/>
  </cols>
  <sheetData>
    <row r="1" spans="1:5">
      <c r="A1" s="6">
        <v>4</v>
      </c>
      <c r="B1" s="6" t="s">
        <v>1098</v>
      </c>
      <c r="C1" s="6">
        <v>2</v>
      </c>
      <c r="D1" s="6">
        <v>10</v>
      </c>
      <c r="E1" s="6"/>
    </row>
    <row r="2" spans="1:5">
      <c r="A2" s="6">
        <v>5</v>
      </c>
      <c r="B2" s="6" t="s">
        <v>1099</v>
      </c>
      <c r="C2" s="6">
        <v>3</v>
      </c>
      <c r="D2" s="6">
        <v>10</v>
      </c>
      <c r="E2" s="6"/>
    </row>
    <row r="3" spans="1:5">
      <c r="A3" s="6">
        <v>20</v>
      </c>
      <c r="B3" s="6" t="s">
        <v>1100</v>
      </c>
      <c r="C3" s="6">
        <v>1</v>
      </c>
      <c r="D3" s="6">
        <v>10</v>
      </c>
      <c r="E3" s="6"/>
    </row>
    <row r="4" spans="1:5">
      <c r="A4" s="6">
        <v>21</v>
      </c>
      <c r="B4" s="6" t="s">
        <v>1101</v>
      </c>
      <c r="C4" s="6">
        <v>2</v>
      </c>
      <c r="D4" s="6">
        <v>10</v>
      </c>
      <c r="E4" s="6"/>
    </row>
    <row r="5" spans="1:5">
      <c r="A5" s="6">
        <v>22</v>
      </c>
      <c r="B5" s="6" t="s">
        <v>1102</v>
      </c>
      <c r="C5" s="6">
        <v>3</v>
      </c>
      <c r="D5" s="6">
        <v>10</v>
      </c>
      <c r="E5" s="6"/>
    </row>
    <row r="6" spans="1:5">
      <c r="A6" s="6">
        <v>23</v>
      </c>
      <c r="B6" s="6" t="s">
        <v>1103</v>
      </c>
      <c r="C6" s="6">
        <v>2</v>
      </c>
      <c r="D6" s="6">
        <v>10</v>
      </c>
      <c r="E6" s="6"/>
    </row>
    <row r="7" spans="1:5">
      <c r="A7" s="6">
        <v>25</v>
      </c>
      <c r="B7" s="6" t="s">
        <v>1104</v>
      </c>
      <c r="C7" s="6">
        <v>2</v>
      </c>
      <c r="D7" s="6">
        <v>10</v>
      </c>
      <c r="E7" s="6"/>
    </row>
    <row r="8" spans="1:5">
      <c r="A8" s="6">
        <v>26</v>
      </c>
      <c r="B8" s="6" t="s">
        <v>1105</v>
      </c>
      <c r="C8" s="6">
        <v>2</v>
      </c>
      <c r="D8" s="6">
        <v>10</v>
      </c>
      <c r="E8" s="6"/>
    </row>
    <row r="9" spans="1:5">
      <c r="A9" s="6">
        <v>27</v>
      </c>
      <c r="B9" s="6" t="s">
        <v>1106</v>
      </c>
      <c r="C9" s="6">
        <v>2</v>
      </c>
      <c r="D9" s="6">
        <v>10</v>
      </c>
      <c r="E9" s="6"/>
    </row>
    <row r="10" spans="1:5">
      <c r="A10" s="6">
        <v>28</v>
      </c>
      <c r="B10" s="6" t="s">
        <v>1107</v>
      </c>
      <c r="C10" s="6">
        <v>2</v>
      </c>
      <c r="D10" s="6">
        <v>10</v>
      </c>
      <c r="E10" s="6"/>
    </row>
    <row r="11" spans="1:5">
      <c r="A11" s="6">
        <v>29</v>
      </c>
      <c r="B11" s="6" t="s">
        <v>1108</v>
      </c>
      <c r="C11" s="6">
        <v>2</v>
      </c>
      <c r="D11" s="6">
        <v>10</v>
      </c>
      <c r="E11" s="6"/>
    </row>
    <row r="12" spans="1:5">
      <c r="A12" s="6">
        <v>30</v>
      </c>
      <c r="B12" s="6" t="s">
        <v>1109</v>
      </c>
      <c r="C12" s="6">
        <v>1</v>
      </c>
      <c r="D12" s="6">
        <v>10</v>
      </c>
      <c r="E12" s="6"/>
    </row>
    <row r="13" spans="1:5">
      <c r="A13" s="6">
        <v>31</v>
      </c>
      <c r="B13" s="6" t="s">
        <v>1110</v>
      </c>
      <c r="C13" s="6">
        <v>1</v>
      </c>
      <c r="D13" s="6">
        <v>10</v>
      </c>
      <c r="E13" s="6"/>
    </row>
    <row r="14" spans="1:5">
      <c r="A14" s="6">
        <v>32</v>
      </c>
      <c r="B14" s="6" t="s">
        <v>1111</v>
      </c>
      <c r="C14" s="6">
        <v>1</v>
      </c>
      <c r="D14" s="6">
        <v>10</v>
      </c>
      <c r="E14" s="6"/>
    </row>
    <row r="15" spans="1:5">
      <c r="A15" s="6">
        <v>33</v>
      </c>
      <c r="B15" s="6" t="s">
        <v>1112</v>
      </c>
      <c r="C15" s="6">
        <v>1</v>
      </c>
      <c r="D15" s="6">
        <v>10</v>
      </c>
      <c r="E15" s="6"/>
    </row>
    <row r="16" spans="1:5">
      <c r="A16" s="6">
        <v>34</v>
      </c>
      <c r="B16" s="6" t="s">
        <v>1113</v>
      </c>
      <c r="C16" s="6">
        <v>1</v>
      </c>
      <c r="D16" s="6">
        <v>1</v>
      </c>
      <c r="E16" s="6"/>
    </row>
    <row r="17" spans="1:5">
      <c r="A17" s="6">
        <v>35</v>
      </c>
      <c r="B17" s="6" t="s">
        <v>1114</v>
      </c>
      <c r="C17" s="6">
        <v>2</v>
      </c>
      <c r="D17" s="6">
        <v>10</v>
      </c>
      <c r="E17" s="6"/>
    </row>
    <row r="18" spans="1:5">
      <c r="A18" s="6">
        <v>36</v>
      </c>
      <c r="B18" s="6" t="s">
        <v>1115</v>
      </c>
      <c r="C18" s="6">
        <v>2</v>
      </c>
      <c r="D18" s="6">
        <v>8</v>
      </c>
      <c r="E18" s="6"/>
    </row>
    <row r="19" spans="1:5">
      <c r="A19" s="6">
        <v>37</v>
      </c>
      <c r="B19" s="6" t="s">
        <v>1116</v>
      </c>
      <c r="C19" s="6">
        <v>2</v>
      </c>
      <c r="D19" s="6">
        <v>9</v>
      </c>
      <c r="E19" s="6"/>
    </row>
    <row r="20" spans="1:5">
      <c r="A20" s="6">
        <v>38</v>
      </c>
      <c r="B20" s="6" t="s">
        <v>1117</v>
      </c>
      <c r="C20" s="6">
        <v>2</v>
      </c>
      <c r="D20" s="6">
        <v>9</v>
      </c>
      <c r="E20" s="6"/>
    </row>
    <row r="21" spans="1:5">
      <c r="A21" s="6">
        <v>39</v>
      </c>
      <c r="B21" s="6" t="s">
        <v>1118</v>
      </c>
      <c r="C21" s="6">
        <v>2</v>
      </c>
      <c r="D21" s="6">
        <v>9</v>
      </c>
      <c r="E21" s="6"/>
    </row>
    <row r="22" spans="1:5">
      <c r="A22" s="6">
        <v>40</v>
      </c>
      <c r="B22" s="6" t="s">
        <v>1119</v>
      </c>
      <c r="C22" s="6">
        <v>2</v>
      </c>
      <c r="D22" s="6">
        <v>7</v>
      </c>
      <c r="E22" s="6"/>
    </row>
    <row r="23" spans="1:5">
      <c r="A23" s="6">
        <v>41</v>
      </c>
      <c r="B23" s="6" t="s">
        <v>1120</v>
      </c>
      <c r="C23" s="6">
        <v>2</v>
      </c>
      <c r="D23" s="6">
        <v>8</v>
      </c>
      <c r="E23" s="6"/>
    </row>
    <row r="24" spans="1:5">
      <c r="A24" s="6">
        <v>42</v>
      </c>
      <c r="B24" s="6" t="s">
        <v>1121</v>
      </c>
      <c r="C24" s="6">
        <v>2</v>
      </c>
      <c r="D24" s="6">
        <v>8</v>
      </c>
      <c r="E24" s="6"/>
    </row>
    <row r="25" spans="1:5">
      <c r="A25" s="6">
        <v>43</v>
      </c>
      <c r="B25" s="6" t="s">
        <v>1122</v>
      </c>
      <c r="C25" s="6">
        <v>2</v>
      </c>
      <c r="D25" s="6">
        <v>8</v>
      </c>
      <c r="E25" s="6"/>
    </row>
    <row r="26" spans="1:5">
      <c r="A26" s="6">
        <v>44</v>
      </c>
      <c r="B26" s="6" t="s">
        <v>1123</v>
      </c>
      <c r="C26" s="6">
        <v>2</v>
      </c>
      <c r="D26" s="6">
        <v>10</v>
      </c>
      <c r="E26" s="6"/>
    </row>
    <row r="27" spans="1:5">
      <c r="A27" s="6">
        <v>45</v>
      </c>
      <c r="B27" s="6" t="s">
        <v>1124</v>
      </c>
      <c r="C27" s="6">
        <v>2</v>
      </c>
      <c r="D27" s="6">
        <v>10</v>
      </c>
      <c r="E27" s="6"/>
    </row>
    <row r="28" spans="1:5">
      <c r="A28" s="6">
        <v>46</v>
      </c>
      <c r="B28" s="6" t="s">
        <v>1125</v>
      </c>
      <c r="C28" s="6">
        <v>2</v>
      </c>
      <c r="D28" s="6">
        <v>10</v>
      </c>
      <c r="E28" s="6"/>
    </row>
    <row r="29" spans="1:5">
      <c r="A29" s="6">
        <v>47</v>
      </c>
      <c r="B29" s="6" t="s">
        <v>1126</v>
      </c>
      <c r="C29" s="6">
        <v>2</v>
      </c>
      <c r="D29" s="6">
        <v>10</v>
      </c>
      <c r="E29" s="6"/>
    </row>
    <row r="30" spans="1:5">
      <c r="A30" s="6">
        <v>48</v>
      </c>
      <c r="B30" s="6" t="s">
        <v>1127</v>
      </c>
      <c r="C30" s="6">
        <v>2</v>
      </c>
      <c r="D30" s="6">
        <v>10</v>
      </c>
      <c r="E30" s="6"/>
    </row>
    <row r="31" spans="1:5">
      <c r="A31" s="6">
        <v>49</v>
      </c>
      <c r="B31" s="6" t="s">
        <v>1128</v>
      </c>
      <c r="C31" s="6">
        <v>2</v>
      </c>
      <c r="D31" s="6">
        <v>10</v>
      </c>
      <c r="E31" s="6"/>
    </row>
    <row r="32" spans="1:5">
      <c r="A32" s="6">
        <v>50</v>
      </c>
      <c r="B32" s="6" t="s">
        <v>1129</v>
      </c>
      <c r="C32" s="6">
        <v>2</v>
      </c>
      <c r="D32" s="6">
        <v>10</v>
      </c>
      <c r="E32" s="6"/>
    </row>
    <row r="33" spans="1:5">
      <c r="A33" s="6">
        <v>51</v>
      </c>
      <c r="B33" s="6" t="s">
        <v>1130</v>
      </c>
      <c r="C33" s="6">
        <v>2</v>
      </c>
      <c r="D33" s="6">
        <v>10</v>
      </c>
      <c r="E33" s="6"/>
    </row>
    <row r="34" spans="1:5">
      <c r="A34" s="6">
        <v>52</v>
      </c>
      <c r="B34" s="6" t="s">
        <v>1131</v>
      </c>
      <c r="C34" s="6">
        <v>1</v>
      </c>
      <c r="D34" s="6">
        <v>10</v>
      </c>
      <c r="E34" s="6"/>
    </row>
    <row r="35" spans="1:5">
      <c r="A35" s="6">
        <v>53</v>
      </c>
      <c r="B35" s="6" t="s">
        <v>1132</v>
      </c>
      <c r="C35" s="6">
        <v>1</v>
      </c>
      <c r="D35" s="6">
        <v>10</v>
      </c>
      <c r="E35" s="6"/>
    </row>
    <row r="36" spans="1:5">
      <c r="A36" s="6">
        <v>54</v>
      </c>
      <c r="B36" s="6" t="s">
        <v>1133</v>
      </c>
      <c r="C36" s="6">
        <v>1</v>
      </c>
      <c r="D36" s="6">
        <v>10</v>
      </c>
      <c r="E36" s="6"/>
    </row>
    <row r="37" spans="1:5">
      <c r="A37" s="6">
        <v>55</v>
      </c>
      <c r="B37" s="6" t="s">
        <v>1134</v>
      </c>
      <c r="C37" s="6">
        <v>2</v>
      </c>
      <c r="D37" s="6">
        <v>10</v>
      </c>
      <c r="E37" s="6"/>
    </row>
    <row r="38" spans="1:5">
      <c r="A38" s="6">
        <v>56</v>
      </c>
      <c r="B38" s="6" t="s">
        <v>1135</v>
      </c>
      <c r="C38" s="6">
        <v>2</v>
      </c>
      <c r="D38" s="6">
        <v>10</v>
      </c>
      <c r="E38" s="6"/>
    </row>
    <row r="39" spans="1:5">
      <c r="A39" s="6">
        <v>57</v>
      </c>
      <c r="B39" s="6" t="s">
        <v>1136</v>
      </c>
      <c r="C39" s="6">
        <v>2</v>
      </c>
      <c r="D39" s="6">
        <v>10</v>
      </c>
      <c r="E39" s="6"/>
    </row>
    <row r="40" spans="1:5">
      <c r="A40" s="6">
        <v>58</v>
      </c>
      <c r="B40" s="6" t="s">
        <v>1137</v>
      </c>
      <c r="C40" s="6">
        <v>1</v>
      </c>
      <c r="D40" s="6">
        <v>10</v>
      </c>
      <c r="E40" s="6"/>
    </row>
    <row r="41" spans="1:5">
      <c r="A41" s="6">
        <v>59</v>
      </c>
      <c r="B41" s="6" t="s">
        <v>1138</v>
      </c>
      <c r="C41" s="6">
        <v>1</v>
      </c>
      <c r="D41" s="6">
        <v>10</v>
      </c>
      <c r="E41" s="6"/>
    </row>
    <row r="42" spans="1:5">
      <c r="A42" s="6">
        <v>61</v>
      </c>
      <c r="B42" s="6" t="s">
        <v>1139</v>
      </c>
      <c r="C42" s="6">
        <v>1</v>
      </c>
      <c r="D42" s="6">
        <v>10</v>
      </c>
      <c r="E42" s="6"/>
    </row>
    <row r="43" spans="1:5">
      <c r="A43" s="6">
        <v>62</v>
      </c>
      <c r="B43" s="6" t="s">
        <v>1140</v>
      </c>
      <c r="C43" s="6">
        <v>1</v>
      </c>
      <c r="D43" s="6">
        <v>8</v>
      </c>
      <c r="E43" s="6"/>
    </row>
    <row r="44" spans="1:5">
      <c r="A44" s="6">
        <v>63</v>
      </c>
      <c r="B44" s="6" t="s">
        <v>1141</v>
      </c>
      <c r="C44" s="6">
        <v>1</v>
      </c>
      <c r="D44" s="6">
        <v>10</v>
      </c>
      <c r="E44" s="6"/>
    </row>
    <row r="45" spans="1:5">
      <c r="A45" s="6">
        <v>64</v>
      </c>
      <c r="B45" s="6" t="s">
        <v>1142</v>
      </c>
      <c r="C45" s="6">
        <v>1</v>
      </c>
      <c r="D45" s="6">
        <v>10</v>
      </c>
      <c r="E45" s="6"/>
    </row>
    <row r="46" spans="1:5">
      <c r="A46" s="6">
        <v>65</v>
      </c>
      <c r="B46" s="6" t="s">
        <v>1143</v>
      </c>
      <c r="C46" s="6">
        <v>1</v>
      </c>
      <c r="D46" s="6">
        <v>10</v>
      </c>
      <c r="E46" s="6"/>
    </row>
    <row r="47" spans="1:5">
      <c r="A47" s="6">
        <v>66</v>
      </c>
      <c r="B47" s="6" t="s">
        <v>1144</v>
      </c>
      <c r="C47" s="6">
        <v>1</v>
      </c>
      <c r="D47" s="6">
        <v>10</v>
      </c>
      <c r="E47" s="6"/>
    </row>
    <row r="48" spans="1:5">
      <c r="A48" s="6">
        <v>67</v>
      </c>
      <c r="B48" s="6" t="s">
        <v>1145</v>
      </c>
      <c r="C48" s="6">
        <v>1</v>
      </c>
      <c r="D48" s="6">
        <v>10</v>
      </c>
      <c r="E48" s="6"/>
    </row>
    <row r="49" spans="1:5">
      <c r="A49" s="6">
        <v>68</v>
      </c>
      <c r="B49" s="6" t="s">
        <v>1146</v>
      </c>
      <c r="C49" s="6">
        <v>1</v>
      </c>
      <c r="D49" s="6">
        <v>10</v>
      </c>
      <c r="E49" s="6"/>
    </row>
    <row r="50" spans="1:5">
      <c r="A50" s="6">
        <v>69</v>
      </c>
      <c r="B50" s="6" t="s">
        <v>1147</v>
      </c>
      <c r="C50" s="6">
        <v>2</v>
      </c>
      <c r="D50" s="6">
        <v>10</v>
      </c>
      <c r="E50" s="6"/>
    </row>
    <row r="51" spans="1:5">
      <c r="A51" s="6">
        <v>70</v>
      </c>
      <c r="B51" s="6" t="s">
        <v>1148</v>
      </c>
      <c r="C51" s="6">
        <v>2</v>
      </c>
      <c r="D51" s="6">
        <v>10</v>
      </c>
      <c r="E51" s="6"/>
    </row>
    <row r="52" spans="1:5">
      <c r="A52" s="6">
        <v>71</v>
      </c>
      <c r="B52" s="6" t="s">
        <v>1149</v>
      </c>
      <c r="C52" s="6">
        <v>2</v>
      </c>
      <c r="D52" s="6">
        <v>10</v>
      </c>
      <c r="E52" s="6"/>
    </row>
    <row r="53" spans="1:5">
      <c r="A53" s="6">
        <v>72</v>
      </c>
      <c r="B53" s="6" t="s">
        <v>1150</v>
      </c>
      <c r="C53" s="6">
        <v>2</v>
      </c>
      <c r="D53" s="6">
        <v>10</v>
      </c>
      <c r="E53" s="6"/>
    </row>
    <row r="54" spans="1:5">
      <c r="A54" s="6">
        <v>73</v>
      </c>
      <c r="B54" s="6" t="s">
        <v>1151</v>
      </c>
      <c r="C54" s="6">
        <v>2</v>
      </c>
      <c r="D54" s="6">
        <v>10</v>
      </c>
      <c r="E54" s="6"/>
    </row>
    <row r="55" spans="1:5">
      <c r="A55" s="6">
        <v>74</v>
      </c>
      <c r="B55" s="6" t="s">
        <v>1152</v>
      </c>
      <c r="C55" s="6">
        <v>2</v>
      </c>
      <c r="D55" s="6">
        <v>10</v>
      </c>
      <c r="E55" s="6"/>
    </row>
    <row r="56" spans="1:5">
      <c r="A56" s="6">
        <v>75</v>
      </c>
      <c r="B56" s="6" t="s">
        <v>1153</v>
      </c>
      <c r="C56" s="6">
        <v>2</v>
      </c>
      <c r="D56" s="6">
        <v>8</v>
      </c>
      <c r="E56" s="6"/>
    </row>
    <row r="57" spans="1:5">
      <c r="A57" s="6">
        <v>76</v>
      </c>
      <c r="B57" s="6" t="s">
        <v>1154</v>
      </c>
      <c r="C57" s="6">
        <v>2</v>
      </c>
      <c r="D57" s="6">
        <v>10</v>
      </c>
      <c r="E57" s="6"/>
    </row>
    <row r="58" spans="1:5">
      <c r="A58" s="6">
        <v>77</v>
      </c>
      <c r="B58" s="6" t="s">
        <v>1155</v>
      </c>
      <c r="C58" s="6">
        <v>2</v>
      </c>
      <c r="D58" s="6">
        <v>10</v>
      </c>
      <c r="E58" s="6"/>
    </row>
    <row r="59" spans="1:5">
      <c r="A59" s="6">
        <v>78</v>
      </c>
      <c r="B59" s="6" t="s">
        <v>1156</v>
      </c>
      <c r="C59" s="6">
        <v>2</v>
      </c>
      <c r="D59" s="6">
        <v>10</v>
      </c>
      <c r="E59" s="6"/>
    </row>
    <row r="60" spans="1:5">
      <c r="A60" s="6">
        <v>79</v>
      </c>
      <c r="B60" s="6" t="s">
        <v>1157</v>
      </c>
      <c r="C60" s="6">
        <v>2</v>
      </c>
      <c r="D60" s="6">
        <v>10</v>
      </c>
      <c r="E60" s="6"/>
    </row>
    <row r="61" spans="1:5">
      <c r="A61" s="6">
        <v>80</v>
      </c>
      <c r="B61" s="6" t="s">
        <v>1158</v>
      </c>
      <c r="C61" s="6">
        <v>2</v>
      </c>
      <c r="D61" s="6">
        <v>8</v>
      </c>
      <c r="E61" s="6"/>
    </row>
    <row r="62" spans="1:5">
      <c r="A62" s="6">
        <v>81</v>
      </c>
      <c r="B62" s="6" t="s">
        <v>1159</v>
      </c>
      <c r="C62" s="6">
        <v>2</v>
      </c>
      <c r="D62" s="6">
        <v>10</v>
      </c>
      <c r="E62" s="6"/>
    </row>
    <row r="63" spans="1:5">
      <c r="A63" s="6">
        <v>82</v>
      </c>
      <c r="B63" s="6" t="s">
        <v>1160</v>
      </c>
      <c r="C63" s="6">
        <v>2</v>
      </c>
      <c r="D63" s="6">
        <v>10</v>
      </c>
      <c r="E63" s="6"/>
    </row>
    <row r="64" spans="1:5">
      <c r="A64" s="6">
        <v>83</v>
      </c>
      <c r="B64" s="6" t="s">
        <v>1161</v>
      </c>
      <c r="C64" s="6">
        <v>2</v>
      </c>
      <c r="D64" s="6">
        <v>10</v>
      </c>
      <c r="E64" s="6"/>
    </row>
    <row r="65" spans="1:5">
      <c r="A65" s="6">
        <v>84</v>
      </c>
      <c r="B65" s="6" t="s">
        <v>1162</v>
      </c>
      <c r="C65" s="6">
        <v>2</v>
      </c>
      <c r="D65" s="6">
        <v>10</v>
      </c>
      <c r="E65" s="6"/>
    </row>
    <row r="66" spans="1:5">
      <c r="A66" s="6">
        <v>85</v>
      </c>
      <c r="B66" s="6" t="s">
        <v>1163</v>
      </c>
      <c r="C66" s="6">
        <v>1</v>
      </c>
      <c r="D66" s="6">
        <v>10</v>
      </c>
      <c r="E66" s="6"/>
    </row>
    <row r="67" spans="1:5">
      <c r="A67" s="6">
        <v>86</v>
      </c>
      <c r="B67" s="6" t="s">
        <v>1164</v>
      </c>
      <c r="C67" s="6">
        <v>1</v>
      </c>
      <c r="D67" s="6">
        <v>10</v>
      </c>
      <c r="E67" s="6"/>
    </row>
    <row r="68" spans="1:5">
      <c r="A68" s="6">
        <v>87</v>
      </c>
      <c r="B68" s="6" t="s">
        <v>1165</v>
      </c>
      <c r="C68" s="6">
        <v>1</v>
      </c>
      <c r="D68" s="6">
        <v>10</v>
      </c>
      <c r="E68" s="6"/>
    </row>
    <row r="69" spans="1:5">
      <c r="A69" s="6">
        <v>88</v>
      </c>
      <c r="B69" s="6" t="s">
        <v>1166</v>
      </c>
      <c r="C69" s="6">
        <v>3</v>
      </c>
      <c r="D69" s="6">
        <v>10</v>
      </c>
      <c r="E69" s="6"/>
    </row>
    <row r="70" spans="1:5">
      <c r="A70" s="6">
        <v>89</v>
      </c>
      <c r="B70" s="6" t="s">
        <v>1167</v>
      </c>
      <c r="C70" s="6">
        <v>2</v>
      </c>
      <c r="D70" s="6">
        <v>10</v>
      </c>
      <c r="E70" s="6"/>
    </row>
    <row r="71" spans="1:5">
      <c r="A71" s="6">
        <v>90</v>
      </c>
      <c r="B71" s="6" t="s">
        <v>1168</v>
      </c>
      <c r="C71" s="6">
        <v>2</v>
      </c>
      <c r="D71" s="6">
        <v>10</v>
      </c>
      <c r="E71" s="6"/>
    </row>
    <row r="72" spans="1:5">
      <c r="A72" s="6">
        <v>91</v>
      </c>
      <c r="B72" s="6" t="s">
        <v>1169</v>
      </c>
      <c r="C72" s="6">
        <v>2</v>
      </c>
      <c r="D72" s="6">
        <v>10</v>
      </c>
      <c r="E72" s="6"/>
    </row>
    <row r="73" spans="1:5">
      <c r="A73" s="6">
        <v>92</v>
      </c>
      <c r="B73" s="6" t="s">
        <v>1170</v>
      </c>
      <c r="C73" s="6">
        <v>2</v>
      </c>
      <c r="D73" s="6">
        <v>10</v>
      </c>
      <c r="E73" s="6"/>
    </row>
    <row r="74" spans="1:5">
      <c r="A74" s="6">
        <v>93</v>
      </c>
      <c r="B74" s="6" t="s">
        <v>1171</v>
      </c>
      <c r="C74" s="6">
        <v>2</v>
      </c>
      <c r="D74" s="6">
        <v>10</v>
      </c>
      <c r="E74" s="6"/>
    </row>
    <row r="75" spans="1:5">
      <c r="A75" s="6">
        <v>94</v>
      </c>
      <c r="B75" s="6" t="s">
        <v>1172</v>
      </c>
      <c r="C75" s="6">
        <v>2</v>
      </c>
      <c r="D75" s="6">
        <v>10</v>
      </c>
      <c r="E75" s="6"/>
    </row>
    <row r="76" spans="1:5">
      <c r="A76" s="6">
        <v>95</v>
      </c>
      <c r="B76" s="6" t="s">
        <v>1173</v>
      </c>
      <c r="C76" s="6">
        <v>3</v>
      </c>
      <c r="D76" s="6">
        <v>10</v>
      </c>
      <c r="E76" s="6"/>
    </row>
    <row r="77" spans="1:5">
      <c r="A77" s="6">
        <v>96</v>
      </c>
      <c r="B77" s="6" t="s">
        <v>1174</v>
      </c>
      <c r="C77" s="6">
        <v>3</v>
      </c>
      <c r="D77" s="6">
        <v>10</v>
      </c>
      <c r="E77" s="6"/>
    </row>
    <row r="78" spans="1:5">
      <c r="A78" s="6">
        <v>97</v>
      </c>
      <c r="B78" s="6" t="s">
        <v>1175</v>
      </c>
      <c r="C78" s="6">
        <v>3</v>
      </c>
      <c r="D78" s="6">
        <v>10</v>
      </c>
      <c r="E78" s="6"/>
    </row>
    <row r="79" spans="1:5">
      <c r="A79" s="6">
        <v>98</v>
      </c>
      <c r="B79" s="6" t="s">
        <v>1176</v>
      </c>
      <c r="C79" s="6">
        <v>3</v>
      </c>
      <c r="D79" s="6">
        <v>10</v>
      </c>
      <c r="E79" s="6"/>
    </row>
    <row r="80" spans="1:5">
      <c r="A80" s="6">
        <v>99</v>
      </c>
      <c r="B80" s="6" t="s">
        <v>1177</v>
      </c>
      <c r="C80" s="6">
        <v>3</v>
      </c>
      <c r="D80" s="6">
        <v>10</v>
      </c>
      <c r="E80" s="6"/>
    </row>
    <row r="81" spans="1:5">
      <c r="A81" s="6">
        <v>100</v>
      </c>
      <c r="B81" s="6" t="s">
        <v>1178</v>
      </c>
      <c r="C81" s="6">
        <v>3</v>
      </c>
      <c r="D81" s="6">
        <v>10</v>
      </c>
      <c r="E81" s="6"/>
    </row>
    <row r="82" spans="1:5">
      <c r="A82" s="6">
        <v>101</v>
      </c>
      <c r="B82" s="6" t="s">
        <v>1179</v>
      </c>
      <c r="C82" s="6">
        <v>3</v>
      </c>
      <c r="D82" s="6">
        <v>10</v>
      </c>
      <c r="E82" s="6"/>
    </row>
    <row r="83" spans="1:5">
      <c r="A83" s="6">
        <v>102</v>
      </c>
      <c r="B83" s="6" t="s">
        <v>1180</v>
      </c>
      <c r="C83" s="6">
        <v>3</v>
      </c>
      <c r="D83" s="6">
        <v>10</v>
      </c>
      <c r="E83" s="6"/>
    </row>
    <row r="84" spans="1:5">
      <c r="A84" s="6">
        <v>103</v>
      </c>
      <c r="B84" s="6" t="s">
        <v>1181</v>
      </c>
      <c r="C84" s="6">
        <v>3</v>
      </c>
      <c r="D84" s="6">
        <v>10</v>
      </c>
      <c r="E84" s="6"/>
    </row>
    <row r="85" spans="1:5">
      <c r="A85" s="6">
        <v>104</v>
      </c>
      <c r="B85" s="6" t="s">
        <v>1182</v>
      </c>
      <c r="C85" s="6">
        <v>3</v>
      </c>
      <c r="D85" s="6">
        <v>7</v>
      </c>
      <c r="E85" s="6"/>
    </row>
    <row r="86" spans="1:5">
      <c r="A86" s="6">
        <v>105</v>
      </c>
      <c r="B86" s="6" t="s">
        <v>1183</v>
      </c>
      <c r="C86" s="6">
        <v>2</v>
      </c>
      <c r="D86" s="6">
        <v>10</v>
      </c>
      <c r="E86" s="6"/>
    </row>
    <row r="87" spans="1:5">
      <c r="A87" s="6">
        <v>106</v>
      </c>
      <c r="B87" s="6" t="s">
        <v>1184</v>
      </c>
      <c r="C87" s="6">
        <v>2</v>
      </c>
      <c r="D87" s="6">
        <v>10</v>
      </c>
      <c r="E87" s="6"/>
    </row>
    <row r="88" spans="1:5">
      <c r="A88" s="6">
        <v>107</v>
      </c>
      <c r="B88" s="6" t="s">
        <v>1185</v>
      </c>
      <c r="C88" s="6">
        <v>2</v>
      </c>
      <c r="D88" s="6">
        <v>10</v>
      </c>
      <c r="E88" s="6"/>
    </row>
    <row r="89" spans="1:5">
      <c r="A89" s="6">
        <v>108</v>
      </c>
      <c r="B89" s="6" t="s">
        <v>1186</v>
      </c>
      <c r="C89" s="6">
        <v>2</v>
      </c>
      <c r="D89" s="6">
        <v>10</v>
      </c>
      <c r="E89" s="6"/>
    </row>
    <row r="90" spans="1:5">
      <c r="A90" s="6">
        <v>112</v>
      </c>
      <c r="B90" s="6" t="s">
        <v>1187</v>
      </c>
      <c r="C90" s="6">
        <v>3</v>
      </c>
      <c r="D90" s="6">
        <v>10</v>
      </c>
      <c r="E90" s="6"/>
    </row>
    <row r="91" spans="1:5">
      <c r="A91" s="6">
        <v>113</v>
      </c>
      <c r="B91" s="6" t="s">
        <v>1188</v>
      </c>
      <c r="C91" s="6">
        <v>3</v>
      </c>
      <c r="D91" s="6">
        <v>7</v>
      </c>
      <c r="E91" s="6"/>
    </row>
    <row r="92" spans="1:5">
      <c r="A92" s="6">
        <v>114</v>
      </c>
      <c r="B92" s="6" t="s">
        <v>1189</v>
      </c>
      <c r="C92" s="6">
        <v>3</v>
      </c>
      <c r="D92" s="6">
        <v>8</v>
      </c>
      <c r="E92" s="6"/>
    </row>
    <row r="93" spans="1:5">
      <c r="A93" s="6">
        <v>115</v>
      </c>
      <c r="B93" s="6" t="s">
        <v>1190</v>
      </c>
      <c r="C93" s="6">
        <v>3</v>
      </c>
      <c r="D93" s="6">
        <v>7</v>
      </c>
      <c r="E93" s="6"/>
    </row>
    <row r="94" spans="1:5">
      <c r="A94" s="6">
        <v>116</v>
      </c>
      <c r="B94" s="6" t="s">
        <v>1191</v>
      </c>
      <c r="C94" s="6">
        <v>3</v>
      </c>
      <c r="D94" s="6">
        <v>8</v>
      </c>
      <c r="E94" s="6"/>
    </row>
    <row r="95" spans="1:5">
      <c r="A95" s="6">
        <v>118</v>
      </c>
      <c r="B95" s="6" t="s">
        <v>1192</v>
      </c>
      <c r="C95" s="6">
        <v>3</v>
      </c>
      <c r="D95" s="6">
        <v>7</v>
      </c>
      <c r="E95" s="6"/>
    </row>
    <row r="96" spans="1:5">
      <c r="A96" s="6">
        <v>119</v>
      </c>
      <c r="B96" s="6" t="s">
        <v>1193</v>
      </c>
      <c r="C96" s="6">
        <v>3</v>
      </c>
      <c r="D96" s="6">
        <v>6</v>
      </c>
      <c r="E96" s="6"/>
    </row>
    <row r="97" spans="1:5">
      <c r="A97" s="6">
        <v>120</v>
      </c>
      <c r="B97" s="6" t="s">
        <v>1194</v>
      </c>
      <c r="C97" s="6">
        <v>3</v>
      </c>
      <c r="D97" s="6">
        <v>8</v>
      </c>
      <c r="E97" s="6"/>
    </row>
    <row r="98" spans="1:5">
      <c r="A98" s="6">
        <v>121</v>
      </c>
      <c r="B98" s="6" t="s">
        <v>1195</v>
      </c>
      <c r="C98" s="6">
        <v>3</v>
      </c>
      <c r="D98" s="6">
        <v>10</v>
      </c>
      <c r="E98" s="6"/>
    </row>
    <row r="99" spans="1:5">
      <c r="A99" s="6">
        <v>122</v>
      </c>
      <c r="B99" s="6" t="s">
        <v>1196</v>
      </c>
      <c r="C99" s="6">
        <v>3</v>
      </c>
      <c r="D99" s="6">
        <v>8</v>
      </c>
      <c r="E99" s="6"/>
    </row>
    <row r="100" spans="1:5">
      <c r="A100" s="6">
        <v>123</v>
      </c>
      <c r="B100" s="6" t="s">
        <v>1197</v>
      </c>
      <c r="C100" s="6">
        <v>3</v>
      </c>
      <c r="D100" s="6">
        <v>10</v>
      </c>
      <c r="E100" s="6"/>
    </row>
    <row r="101" spans="1:5">
      <c r="A101" s="6">
        <v>124</v>
      </c>
      <c r="B101" s="6" t="s">
        <v>1198</v>
      </c>
      <c r="C101" s="6">
        <v>3</v>
      </c>
      <c r="D101" s="6">
        <v>9</v>
      </c>
      <c r="E101" s="6"/>
    </row>
    <row r="102" spans="1:5">
      <c r="A102" s="6">
        <v>125</v>
      </c>
      <c r="B102" s="6" t="s">
        <v>1199</v>
      </c>
      <c r="C102" s="6">
        <v>3</v>
      </c>
      <c r="D102" s="6">
        <v>10</v>
      </c>
      <c r="E102" s="6"/>
    </row>
    <row r="103" spans="1:5">
      <c r="A103" s="6">
        <v>126</v>
      </c>
      <c r="B103" s="6" t="s">
        <v>1200</v>
      </c>
      <c r="C103" s="6">
        <v>3</v>
      </c>
      <c r="D103" s="6">
        <v>8</v>
      </c>
      <c r="E103" s="6"/>
    </row>
    <row r="104" spans="1:5">
      <c r="A104" s="6">
        <v>127</v>
      </c>
      <c r="B104" s="6" t="s">
        <v>1201</v>
      </c>
      <c r="C104" s="6">
        <v>3</v>
      </c>
      <c r="D104" s="6">
        <v>6</v>
      </c>
      <c r="E104" s="6"/>
    </row>
    <row r="105" spans="1:5">
      <c r="A105" s="6">
        <v>128</v>
      </c>
      <c r="B105" s="6" t="s">
        <v>1202</v>
      </c>
      <c r="C105" s="6">
        <v>3</v>
      </c>
      <c r="D105" s="6">
        <v>10</v>
      </c>
      <c r="E105" s="6"/>
    </row>
    <row r="106" spans="1:5">
      <c r="A106" s="6">
        <v>129</v>
      </c>
      <c r="B106" s="6" t="s">
        <v>1203</v>
      </c>
      <c r="C106" s="6">
        <v>3</v>
      </c>
      <c r="D106" s="6">
        <v>10</v>
      </c>
      <c r="E106" s="6"/>
    </row>
    <row r="107" spans="1:5">
      <c r="A107" s="6">
        <v>130</v>
      </c>
      <c r="B107" s="6" t="s">
        <v>1204</v>
      </c>
      <c r="C107" s="6">
        <v>3</v>
      </c>
      <c r="D107" s="6">
        <v>6</v>
      </c>
      <c r="E107" s="6"/>
    </row>
    <row r="108" spans="1:5">
      <c r="A108" s="6">
        <v>131</v>
      </c>
      <c r="B108" s="6" t="s">
        <v>1205</v>
      </c>
      <c r="C108" s="6">
        <v>3</v>
      </c>
      <c r="D108" s="6">
        <v>4</v>
      </c>
      <c r="E108" s="6"/>
    </row>
    <row r="109" spans="1:5">
      <c r="A109" s="6">
        <v>132</v>
      </c>
      <c r="B109" s="6" t="s">
        <v>1206</v>
      </c>
      <c r="C109" s="6">
        <v>3</v>
      </c>
      <c r="D109" s="6">
        <v>4</v>
      </c>
      <c r="E109" s="6"/>
    </row>
    <row r="110" spans="1:5">
      <c r="A110" s="6">
        <v>133</v>
      </c>
      <c r="B110" s="6" t="s">
        <v>1207</v>
      </c>
      <c r="C110" s="6">
        <v>3</v>
      </c>
      <c r="D110" s="6">
        <v>5</v>
      </c>
      <c r="E110" s="6"/>
    </row>
    <row r="111" spans="1:5">
      <c r="A111" s="6">
        <v>134</v>
      </c>
      <c r="B111" s="6" t="s">
        <v>1208</v>
      </c>
      <c r="C111" s="6">
        <v>3</v>
      </c>
      <c r="D111" s="6">
        <v>8</v>
      </c>
      <c r="E111" s="6"/>
    </row>
    <row r="112" spans="1:5">
      <c r="A112" s="6">
        <v>135</v>
      </c>
      <c r="B112" s="6" t="s">
        <v>1209</v>
      </c>
      <c r="C112" s="6">
        <v>3</v>
      </c>
      <c r="D112" s="6">
        <v>7</v>
      </c>
      <c r="E112" s="6"/>
    </row>
    <row r="113" spans="1:5">
      <c r="A113" s="6">
        <v>136</v>
      </c>
      <c r="B113" s="6" t="s">
        <v>1210</v>
      </c>
      <c r="C113" s="6">
        <v>3</v>
      </c>
      <c r="D113" s="6">
        <v>9</v>
      </c>
      <c r="E113" s="6"/>
    </row>
    <row r="114" spans="1:5">
      <c r="A114" s="6">
        <v>137</v>
      </c>
      <c r="B114" s="6" t="s">
        <v>1211</v>
      </c>
      <c r="C114" s="6">
        <v>3</v>
      </c>
      <c r="D114" s="6">
        <v>8</v>
      </c>
      <c r="E114" s="6"/>
    </row>
    <row r="115" spans="1:5">
      <c r="A115" s="6">
        <v>138</v>
      </c>
      <c r="B115" s="6" t="s">
        <v>1212</v>
      </c>
      <c r="C115" s="6">
        <v>3</v>
      </c>
      <c r="D115" s="6">
        <v>4</v>
      </c>
      <c r="E115" s="6"/>
    </row>
    <row r="116" spans="1:5">
      <c r="A116" s="6">
        <v>139</v>
      </c>
      <c r="B116" s="6" t="s">
        <v>1213</v>
      </c>
      <c r="C116" s="6">
        <v>3</v>
      </c>
      <c r="D116" s="6">
        <v>4</v>
      </c>
      <c r="E116" s="6"/>
    </row>
    <row r="117" spans="1:5">
      <c r="A117" s="6">
        <v>140</v>
      </c>
      <c r="B117" s="6" t="s">
        <v>1214</v>
      </c>
      <c r="C117" s="6">
        <v>3</v>
      </c>
      <c r="D117" s="6">
        <v>5</v>
      </c>
      <c r="E117" s="6"/>
    </row>
    <row r="118" spans="1:5">
      <c r="A118" s="6">
        <v>141</v>
      </c>
      <c r="B118" s="6" t="s">
        <v>1215</v>
      </c>
      <c r="C118" s="6">
        <v>3</v>
      </c>
      <c r="D118" s="6">
        <v>10</v>
      </c>
      <c r="E118" s="6"/>
    </row>
    <row r="119" spans="1:5">
      <c r="A119" s="6">
        <v>142</v>
      </c>
      <c r="B119" s="6" t="s">
        <v>1216</v>
      </c>
      <c r="C119" s="6">
        <v>3</v>
      </c>
      <c r="D119" s="6">
        <v>8</v>
      </c>
      <c r="E119" s="6"/>
    </row>
    <row r="120" spans="1:5">
      <c r="A120" s="6">
        <v>143</v>
      </c>
      <c r="B120" s="6" t="s">
        <v>1217</v>
      </c>
      <c r="C120" s="6">
        <v>3</v>
      </c>
      <c r="D120" s="6">
        <v>6</v>
      </c>
      <c r="E120" s="6"/>
    </row>
    <row r="121" spans="1:5">
      <c r="A121" s="6">
        <v>144</v>
      </c>
      <c r="B121" s="6" t="s">
        <v>1218</v>
      </c>
      <c r="C121" s="6">
        <v>3</v>
      </c>
      <c r="D121" s="6">
        <v>7</v>
      </c>
      <c r="E121" s="6"/>
    </row>
    <row r="122" spans="1:5">
      <c r="A122" s="6">
        <v>145</v>
      </c>
      <c r="B122" s="6" t="s">
        <v>1219</v>
      </c>
      <c r="C122" s="6">
        <v>3</v>
      </c>
      <c r="D122" s="6">
        <v>7</v>
      </c>
      <c r="E122" s="6"/>
    </row>
    <row r="123" spans="1:5">
      <c r="A123" s="6">
        <v>146</v>
      </c>
      <c r="B123" s="6" t="s">
        <v>1220</v>
      </c>
      <c r="C123" s="6">
        <v>3</v>
      </c>
      <c r="D123" s="6">
        <v>7</v>
      </c>
      <c r="E123" s="6"/>
    </row>
    <row r="124" spans="1:5">
      <c r="A124" s="6">
        <v>147</v>
      </c>
      <c r="B124" s="6" t="s">
        <v>1221</v>
      </c>
      <c r="C124" s="6">
        <v>3</v>
      </c>
      <c r="D124" s="6">
        <v>4</v>
      </c>
      <c r="E124" s="6"/>
    </row>
    <row r="125" spans="1:5">
      <c r="A125" s="6">
        <v>148</v>
      </c>
      <c r="B125" s="6" t="s">
        <v>1222</v>
      </c>
      <c r="C125" s="6">
        <v>3</v>
      </c>
      <c r="D125" s="6">
        <v>4</v>
      </c>
      <c r="E125" s="6"/>
    </row>
    <row r="126" spans="1:5">
      <c r="A126" s="6">
        <v>149</v>
      </c>
      <c r="B126" s="6" t="s">
        <v>1223</v>
      </c>
      <c r="C126" s="6">
        <v>3</v>
      </c>
      <c r="D126" s="6">
        <v>4</v>
      </c>
      <c r="E126" s="6"/>
    </row>
    <row r="127" spans="1:5">
      <c r="A127" s="6">
        <v>150</v>
      </c>
      <c r="B127" s="6" t="s">
        <v>1224</v>
      </c>
      <c r="C127" s="6">
        <v>3</v>
      </c>
      <c r="D127" s="6">
        <v>5</v>
      </c>
      <c r="E127" s="6"/>
    </row>
    <row r="128" spans="1:5">
      <c r="A128" s="6">
        <v>151</v>
      </c>
      <c r="B128" s="6" t="s">
        <v>1225</v>
      </c>
      <c r="C128" s="6">
        <v>3</v>
      </c>
      <c r="D128" s="6">
        <v>5</v>
      </c>
      <c r="E128" s="6"/>
    </row>
    <row r="129" spans="1:5">
      <c r="A129" s="6">
        <v>152</v>
      </c>
      <c r="B129" s="6" t="s">
        <v>1226</v>
      </c>
      <c r="C129" s="6">
        <v>3</v>
      </c>
      <c r="D129" s="6">
        <v>8</v>
      </c>
      <c r="E129" s="6"/>
    </row>
    <row r="130" spans="1:5">
      <c r="A130" s="6">
        <v>153</v>
      </c>
      <c r="B130" s="6" t="s">
        <v>1227</v>
      </c>
      <c r="C130" s="6">
        <v>3</v>
      </c>
      <c r="D130" s="6">
        <v>4</v>
      </c>
      <c r="E130" s="6"/>
    </row>
    <row r="131" spans="1:5">
      <c r="A131" s="6">
        <v>154</v>
      </c>
      <c r="B131" s="6" t="s">
        <v>1228</v>
      </c>
      <c r="C131" s="6">
        <v>3</v>
      </c>
      <c r="D131" s="6">
        <v>7</v>
      </c>
      <c r="E131" s="6"/>
    </row>
    <row r="132" spans="1:5">
      <c r="A132" s="6">
        <v>155</v>
      </c>
      <c r="B132" s="6" t="s">
        <v>1229</v>
      </c>
      <c r="C132" s="6">
        <v>3</v>
      </c>
      <c r="D132" s="6">
        <v>7</v>
      </c>
      <c r="E132" s="6"/>
    </row>
    <row r="133" spans="1:5">
      <c r="A133" s="6">
        <v>156</v>
      </c>
      <c r="B133" s="6" t="s">
        <v>1230</v>
      </c>
      <c r="C133" s="6">
        <v>3</v>
      </c>
      <c r="D133" s="6">
        <v>7</v>
      </c>
      <c r="E133" s="6"/>
    </row>
    <row r="134" spans="1:5">
      <c r="A134" s="6">
        <v>157</v>
      </c>
      <c r="B134" s="6" t="s">
        <v>1231</v>
      </c>
      <c r="C134" s="6">
        <v>3</v>
      </c>
      <c r="D134" s="6">
        <v>6</v>
      </c>
      <c r="E134" s="6"/>
    </row>
    <row r="135" spans="1:5">
      <c r="A135" s="6">
        <v>158</v>
      </c>
      <c r="B135" s="6" t="s">
        <v>1232</v>
      </c>
      <c r="C135" s="6">
        <v>3</v>
      </c>
      <c r="D135" s="6">
        <v>7</v>
      </c>
      <c r="E135" s="6"/>
    </row>
    <row r="136" spans="1:5">
      <c r="A136" s="6">
        <v>159</v>
      </c>
      <c r="B136" s="6" t="s">
        <v>1233</v>
      </c>
      <c r="C136" s="6">
        <v>3</v>
      </c>
      <c r="D136" s="6">
        <v>5</v>
      </c>
      <c r="E136" s="6"/>
    </row>
    <row r="137" spans="1:5">
      <c r="A137" s="6">
        <v>160</v>
      </c>
      <c r="B137" s="6" t="s">
        <v>1234</v>
      </c>
      <c r="C137" s="6">
        <v>3</v>
      </c>
      <c r="D137" s="6">
        <v>5</v>
      </c>
      <c r="E137" s="6"/>
    </row>
    <row r="138" spans="1:5">
      <c r="A138" s="6">
        <v>161</v>
      </c>
      <c r="B138" s="6" t="s">
        <v>1235</v>
      </c>
      <c r="C138" s="6">
        <v>3</v>
      </c>
      <c r="D138" s="6">
        <v>2</v>
      </c>
      <c r="E138" s="6"/>
    </row>
    <row r="139" spans="1:5">
      <c r="A139" s="6">
        <v>162</v>
      </c>
      <c r="B139" s="6" t="s">
        <v>1236</v>
      </c>
      <c r="C139" s="6">
        <v>3</v>
      </c>
      <c r="D139" s="6">
        <v>2</v>
      </c>
      <c r="E139" s="6"/>
    </row>
    <row r="140" spans="1:5">
      <c r="A140" s="6">
        <v>163</v>
      </c>
      <c r="B140" s="6" t="s">
        <v>1237</v>
      </c>
      <c r="C140" s="6">
        <v>3</v>
      </c>
      <c r="D140" s="6">
        <v>6</v>
      </c>
      <c r="E140" s="6"/>
    </row>
    <row r="141" spans="1:5">
      <c r="A141" s="6">
        <v>164</v>
      </c>
      <c r="B141" s="6" t="s">
        <v>1238</v>
      </c>
      <c r="C141" s="6">
        <v>3</v>
      </c>
      <c r="D141" s="6">
        <v>5</v>
      </c>
      <c r="E141" s="6"/>
    </row>
    <row r="142" spans="1:5">
      <c r="A142" s="6">
        <v>165</v>
      </c>
      <c r="B142" s="6" t="s">
        <v>1239</v>
      </c>
      <c r="C142" s="6">
        <v>3</v>
      </c>
      <c r="D142" s="6">
        <v>8</v>
      </c>
      <c r="E142" s="6"/>
    </row>
    <row r="143" spans="1:5">
      <c r="A143" s="6">
        <v>166</v>
      </c>
      <c r="B143" s="6" t="s">
        <v>1240</v>
      </c>
      <c r="C143" s="6">
        <v>3</v>
      </c>
      <c r="D143" s="6">
        <v>5</v>
      </c>
      <c r="E143" s="6"/>
    </row>
    <row r="144" spans="1:5">
      <c r="A144" s="6">
        <v>167</v>
      </c>
      <c r="B144" s="6" t="s">
        <v>1241</v>
      </c>
      <c r="C144" s="6">
        <v>3</v>
      </c>
      <c r="D144" s="6">
        <v>5</v>
      </c>
      <c r="E144" s="6"/>
    </row>
    <row r="145" spans="1:5">
      <c r="A145" s="6">
        <v>168</v>
      </c>
      <c r="B145" s="6" t="s">
        <v>1242</v>
      </c>
      <c r="C145" s="6">
        <v>3</v>
      </c>
      <c r="D145" s="6">
        <v>5</v>
      </c>
      <c r="E145" s="6"/>
    </row>
    <row r="146" spans="1:5">
      <c r="A146" s="6">
        <v>169</v>
      </c>
      <c r="B146" s="6" t="s">
        <v>1243</v>
      </c>
      <c r="C146" s="6">
        <v>3</v>
      </c>
      <c r="D146" s="6">
        <v>6</v>
      </c>
      <c r="E146" s="6"/>
    </row>
    <row r="147" spans="1:5">
      <c r="A147" s="6">
        <v>170</v>
      </c>
      <c r="B147" s="6" t="s">
        <v>1244</v>
      </c>
      <c r="C147" s="6">
        <v>3</v>
      </c>
      <c r="D147" s="6">
        <v>5</v>
      </c>
      <c r="E147" s="6"/>
    </row>
    <row r="148" spans="1:5">
      <c r="A148" s="6">
        <v>171</v>
      </c>
      <c r="B148" s="6" t="s">
        <v>1245</v>
      </c>
      <c r="C148" s="6">
        <v>3</v>
      </c>
      <c r="D148" s="6">
        <v>5</v>
      </c>
      <c r="E148" s="6"/>
    </row>
    <row r="149" spans="1:5">
      <c r="A149" s="6">
        <v>172</v>
      </c>
      <c r="B149" s="6" t="s">
        <v>1246</v>
      </c>
      <c r="C149" s="6">
        <v>3</v>
      </c>
      <c r="D149" s="6">
        <v>4</v>
      </c>
      <c r="E149" s="6"/>
    </row>
    <row r="150" spans="1:5">
      <c r="A150" s="6">
        <v>173</v>
      </c>
      <c r="B150" s="6" t="s">
        <v>1247</v>
      </c>
      <c r="C150" s="6">
        <v>3</v>
      </c>
      <c r="D150" s="6">
        <v>4</v>
      </c>
      <c r="E150" s="6"/>
    </row>
    <row r="151" spans="1:5">
      <c r="A151" s="6">
        <v>174</v>
      </c>
      <c r="B151" s="6" t="s">
        <v>1248</v>
      </c>
      <c r="C151" s="6">
        <v>3</v>
      </c>
      <c r="D151" s="6">
        <v>3</v>
      </c>
      <c r="E151" s="6"/>
    </row>
    <row r="152" spans="1:5">
      <c r="A152" s="6">
        <v>175</v>
      </c>
      <c r="B152" s="6" t="s">
        <v>1249</v>
      </c>
      <c r="C152" s="6">
        <v>3</v>
      </c>
      <c r="D152" s="6">
        <v>3</v>
      </c>
      <c r="E152" s="6"/>
    </row>
    <row r="153" spans="1:5">
      <c r="A153" s="6">
        <v>176</v>
      </c>
      <c r="B153" s="6" t="s">
        <v>1250</v>
      </c>
      <c r="C153" s="6">
        <v>3</v>
      </c>
      <c r="D153" s="6">
        <v>2</v>
      </c>
      <c r="E153" s="6"/>
    </row>
    <row r="154" spans="1:5">
      <c r="A154" s="6">
        <v>177</v>
      </c>
      <c r="B154" s="6" t="s">
        <v>1251</v>
      </c>
      <c r="C154" s="6">
        <v>3</v>
      </c>
      <c r="D154" s="6">
        <v>6</v>
      </c>
      <c r="E154" s="6"/>
    </row>
    <row r="155" spans="1:5">
      <c r="A155" s="6">
        <v>178</v>
      </c>
      <c r="B155" s="6" t="s">
        <v>1252</v>
      </c>
      <c r="C155" s="6">
        <v>3</v>
      </c>
      <c r="D155" s="6">
        <v>5</v>
      </c>
      <c r="E155" s="6"/>
    </row>
    <row r="156" spans="1:5">
      <c r="A156" s="6">
        <v>179</v>
      </c>
      <c r="B156" s="6" t="s">
        <v>1253</v>
      </c>
      <c r="C156" s="6">
        <v>3</v>
      </c>
      <c r="D156" s="6">
        <v>3</v>
      </c>
      <c r="E156" s="6"/>
    </row>
    <row r="157" spans="1:5">
      <c r="A157" s="6">
        <v>180</v>
      </c>
      <c r="B157" s="6" t="s">
        <v>1254</v>
      </c>
      <c r="C157" s="6">
        <v>3</v>
      </c>
      <c r="D157" s="6">
        <v>5</v>
      </c>
      <c r="E157" s="6"/>
    </row>
    <row r="158" spans="1:5">
      <c r="A158" s="6">
        <v>181</v>
      </c>
      <c r="B158" s="6" t="s">
        <v>1255</v>
      </c>
      <c r="C158" s="6">
        <v>3</v>
      </c>
      <c r="D158" s="6">
        <v>6</v>
      </c>
      <c r="E158" s="6"/>
    </row>
    <row r="159" spans="1:5">
      <c r="A159" s="6">
        <v>182</v>
      </c>
      <c r="B159" s="6" t="s">
        <v>1256</v>
      </c>
      <c r="C159" s="6">
        <v>3</v>
      </c>
      <c r="D159" s="6">
        <v>4</v>
      </c>
      <c r="E159" s="6"/>
    </row>
    <row r="160" spans="1:5">
      <c r="A160" s="6">
        <v>183</v>
      </c>
      <c r="B160" s="6" t="s">
        <v>1257</v>
      </c>
      <c r="C160" s="6">
        <v>3</v>
      </c>
      <c r="D160" s="6">
        <v>6</v>
      </c>
      <c r="E160" s="6"/>
    </row>
    <row r="161" spans="1:5">
      <c r="A161" s="6">
        <v>184</v>
      </c>
      <c r="B161" s="6" t="s">
        <v>1258</v>
      </c>
      <c r="C161" s="6">
        <v>3</v>
      </c>
      <c r="D161" s="6">
        <v>7</v>
      </c>
      <c r="E161" s="6"/>
    </row>
    <row r="162" spans="1:5">
      <c r="A162" s="6">
        <v>185</v>
      </c>
      <c r="B162" s="6" t="s">
        <v>1259</v>
      </c>
      <c r="C162" s="6">
        <v>2</v>
      </c>
      <c r="D162" s="6">
        <v>10</v>
      </c>
      <c r="E162" s="6"/>
    </row>
    <row r="163" spans="1:5">
      <c r="A163" s="6">
        <v>186</v>
      </c>
      <c r="B163" s="6" t="s">
        <v>1260</v>
      </c>
      <c r="C163" s="6">
        <v>3</v>
      </c>
      <c r="D163" s="6">
        <v>6</v>
      </c>
      <c r="E163" s="6"/>
    </row>
    <row r="164" spans="1:5">
      <c r="A164" s="6">
        <v>187</v>
      </c>
      <c r="B164" s="6" t="s">
        <v>1261</v>
      </c>
      <c r="C164" s="6">
        <v>3</v>
      </c>
      <c r="D164" s="6">
        <v>6</v>
      </c>
      <c r="E164" s="6"/>
    </row>
    <row r="165" spans="1:5">
      <c r="A165" s="6">
        <v>188</v>
      </c>
      <c r="B165" s="6" t="s">
        <v>1262</v>
      </c>
      <c r="C165" s="6">
        <v>3</v>
      </c>
      <c r="D165" s="6">
        <v>6</v>
      </c>
      <c r="E165" s="6"/>
    </row>
    <row r="166" spans="1:5">
      <c r="A166" s="6">
        <v>189</v>
      </c>
      <c r="B166" s="6" t="s">
        <v>1263</v>
      </c>
      <c r="C166" s="6">
        <v>3</v>
      </c>
      <c r="D166" s="6">
        <v>7</v>
      </c>
      <c r="E166" s="6"/>
    </row>
    <row r="167" spans="1:5">
      <c r="A167" s="6">
        <v>190</v>
      </c>
      <c r="B167" s="6" t="s">
        <v>1264</v>
      </c>
      <c r="C167" s="6">
        <v>3</v>
      </c>
      <c r="D167" s="6">
        <v>4</v>
      </c>
      <c r="E167" s="6"/>
    </row>
    <row r="168" spans="1:5">
      <c r="A168" s="6">
        <v>191</v>
      </c>
      <c r="B168" s="6" t="s">
        <v>1265</v>
      </c>
      <c r="C168" s="6">
        <v>3</v>
      </c>
      <c r="D168" s="6">
        <v>8</v>
      </c>
      <c r="E168" s="6"/>
    </row>
    <row r="169" spans="1:5">
      <c r="A169" s="6">
        <v>192</v>
      </c>
      <c r="B169" s="6" t="s">
        <v>1266</v>
      </c>
      <c r="C169" s="6">
        <v>3</v>
      </c>
      <c r="D169" s="6">
        <v>5</v>
      </c>
      <c r="E169" s="6"/>
    </row>
    <row r="170" spans="1:5">
      <c r="A170" s="6">
        <v>193</v>
      </c>
      <c r="B170" s="6" t="s">
        <v>1267</v>
      </c>
      <c r="C170" s="6">
        <v>3</v>
      </c>
      <c r="D170" s="6">
        <v>7</v>
      </c>
      <c r="E170" s="6"/>
    </row>
    <row r="171" spans="1:5">
      <c r="A171" s="6">
        <v>194</v>
      </c>
      <c r="B171" s="6" t="s">
        <v>1268</v>
      </c>
      <c r="C171" s="6">
        <v>3</v>
      </c>
      <c r="D171" s="6">
        <v>5</v>
      </c>
      <c r="E171" s="6"/>
    </row>
    <row r="172" spans="1:5">
      <c r="A172" s="6">
        <v>225</v>
      </c>
      <c r="B172" s="6" t="s">
        <v>1269</v>
      </c>
      <c r="C172" s="6">
        <v>2</v>
      </c>
      <c r="D172" s="6">
        <v>10</v>
      </c>
      <c r="E172" s="6"/>
    </row>
    <row r="173" spans="1:5">
      <c r="A173" s="6">
        <v>226</v>
      </c>
      <c r="B173" s="6" t="s">
        <v>1270</v>
      </c>
      <c r="C173" s="6">
        <v>2</v>
      </c>
      <c r="D173" s="6">
        <v>10</v>
      </c>
      <c r="E173" s="6"/>
    </row>
    <row r="174" spans="1:5">
      <c r="A174" s="6">
        <v>227</v>
      </c>
      <c r="B174" s="6" t="s">
        <v>1271</v>
      </c>
      <c r="C174" s="6">
        <v>2</v>
      </c>
      <c r="D174" s="6">
        <v>10</v>
      </c>
      <c r="E174" s="6"/>
    </row>
    <row r="175" spans="1:5">
      <c r="A175" s="6">
        <v>228</v>
      </c>
      <c r="B175" s="6" t="s">
        <v>1272</v>
      </c>
      <c r="C175" s="6">
        <v>2</v>
      </c>
      <c r="D175" s="6">
        <v>10</v>
      </c>
      <c r="E175" s="6"/>
    </row>
    <row r="176" spans="1:5">
      <c r="A176" s="6">
        <v>229</v>
      </c>
      <c r="B176" s="6" t="s">
        <v>1273</v>
      </c>
      <c r="C176" s="6">
        <v>3</v>
      </c>
      <c r="D176" s="6">
        <v>10</v>
      </c>
      <c r="E176" s="6"/>
    </row>
    <row r="177" spans="1:5">
      <c r="A177" s="6">
        <v>230</v>
      </c>
      <c r="B177" s="6" t="s">
        <v>1274</v>
      </c>
      <c r="C177" s="6">
        <v>3</v>
      </c>
      <c r="D177" s="6">
        <v>10</v>
      </c>
      <c r="E177" s="6"/>
    </row>
    <row r="178" spans="1:5">
      <c r="A178" s="6">
        <v>231</v>
      </c>
      <c r="B178" s="6" t="s">
        <v>1275</v>
      </c>
      <c r="C178" s="6">
        <v>3</v>
      </c>
      <c r="D178" s="6">
        <v>10</v>
      </c>
      <c r="E178" s="6"/>
    </row>
    <row r="179" spans="1:5">
      <c r="A179" s="6">
        <v>232</v>
      </c>
      <c r="B179" s="6" t="s">
        <v>1276</v>
      </c>
      <c r="C179" s="6">
        <v>3</v>
      </c>
      <c r="D179" s="6">
        <v>10</v>
      </c>
      <c r="E179" s="6"/>
    </row>
    <row r="180" spans="1:5">
      <c r="A180" s="6">
        <v>239</v>
      </c>
      <c r="B180" s="6" t="s">
        <v>1277</v>
      </c>
      <c r="C180" s="6">
        <v>3</v>
      </c>
      <c r="D180" s="6">
        <v>10</v>
      </c>
      <c r="E180" s="6"/>
    </row>
    <row r="181" spans="1:5">
      <c r="A181" s="6">
        <v>240</v>
      </c>
      <c r="B181" s="6" t="s">
        <v>1278</v>
      </c>
      <c r="C181" s="6">
        <v>3</v>
      </c>
      <c r="D181" s="6">
        <v>10</v>
      </c>
      <c r="E181" s="6"/>
    </row>
    <row r="182" spans="1:5">
      <c r="A182" s="6">
        <v>241</v>
      </c>
      <c r="B182" s="6" t="s">
        <v>1279</v>
      </c>
      <c r="C182" s="6">
        <v>1</v>
      </c>
      <c r="D182" s="6">
        <v>10</v>
      </c>
      <c r="E182" s="6"/>
    </row>
    <row r="183" spans="1:5">
      <c r="A183" s="6">
        <v>242</v>
      </c>
      <c r="B183" s="6" t="s">
        <v>1280</v>
      </c>
      <c r="C183" s="6">
        <v>1</v>
      </c>
      <c r="D183" s="6">
        <v>10</v>
      </c>
      <c r="E183" s="6"/>
    </row>
    <row r="184" spans="1:5">
      <c r="A184" s="6">
        <v>243</v>
      </c>
      <c r="B184" s="6" t="s">
        <v>1281</v>
      </c>
      <c r="C184" s="6">
        <v>1</v>
      </c>
      <c r="D184" s="6">
        <v>10</v>
      </c>
      <c r="E184" s="6"/>
    </row>
    <row r="185" spans="1:5">
      <c r="A185" s="6">
        <v>244</v>
      </c>
      <c r="B185" s="6" t="s">
        <v>1282</v>
      </c>
      <c r="C185" s="6">
        <v>1</v>
      </c>
      <c r="D185" s="6">
        <v>8</v>
      </c>
      <c r="E185" s="6"/>
    </row>
    <row r="186" spans="1:5">
      <c r="A186" s="6">
        <v>246</v>
      </c>
      <c r="B186" s="6" t="s">
        <v>1283</v>
      </c>
      <c r="C186" s="6">
        <v>2</v>
      </c>
      <c r="D186" s="6">
        <v>10</v>
      </c>
      <c r="E186" s="6"/>
    </row>
    <row r="187" spans="1:5">
      <c r="A187" s="6">
        <v>247</v>
      </c>
      <c r="B187" s="6" t="s">
        <v>1284</v>
      </c>
      <c r="C187" s="6">
        <v>1</v>
      </c>
      <c r="D187" s="6">
        <v>8</v>
      </c>
      <c r="E187" s="6"/>
    </row>
    <row r="188" spans="1:5">
      <c r="A188" s="6">
        <v>248</v>
      </c>
      <c r="B188" s="6" t="s">
        <v>1285</v>
      </c>
      <c r="C188" s="6">
        <v>1</v>
      </c>
      <c r="D188" s="6">
        <v>9</v>
      </c>
      <c r="E188" s="6"/>
    </row>
    <row r="189" spans="1:5">
      <c r="A189" s="6">
        <v>249</v>
      </c>
      <c r="B189" s="6" t="s">
        <v>1286</v>
      </c>
      <c r="C189" s="6">
        <v>1</v>
      </c>
      <c r="D189" s="6">
        <v>10</v>
      </c>
      <c r="E189" s="6"/>
    </row>
    <row r="190" spans="1:5">
      <c r="A190" s="6">
        <v>250</v>
      </c>
      <c r="B190" s="6" t="s">
        <v>1287</v>
      </c>
      <c r="C190" s="6">
        <v>1</v>
      </c>
      <c r="D190" s="6">
        <v>9</v>
      </c>
      <c r="E190" s="6"/>
    </row>
    <row r="191" spans="1:5">
      <c r="A191" s="6">
        <v>251</v>
      </c>
      <c r="B191" s="6" t="s">
        <v>1288</v>
      </c>
      <c r="C191" s="6">
        <v>1</v>
      </c>
      <c r="D191" s="6">
        <v>9</v>
      </c>
      <c r="E191" s="6"/>
    </row>
    <row r="192" spans="1:5">
      <c r="A192" s="6">
        <v>252</v>
      </c>
      <c r="B192" s="6" t="s">
        <v>1289</v>
      </c>
      <c r="C192" s="6">
        <v>1</v>
      </c>
      <c r="D192" s="6">
        <v>9</v>
      </c>
      <c r="E192" s="6"/>
    </row>
    <row r="193" spans="1:5">
      <c r="A193" s="6">
        <v>253</v>
      </c>
      <c r="B193" s="6" t="s">
        <v>1290</v>
      </c>
      <c r="C193" s="6">
        <v>1</v>
      </c>
      <c r="D193" s="6">
        <v>9</v>
      </c>
      <c r="E193" s="6"/>
    </row>
    <row r="194" spans="1:5">
      <c r="A194" s="6">
        <v>254</v>
      </c>
      <c r="B194" s="6" t="s">
        <v>1291</v>
      </c>
      <c r="C194" s="6">
        <v>1</v>
      </c>
      <c r="D194" s="6">
        <v>9</v>
      </c>
      <c r="E194" s="6"/>
    </row>
    <row r="195" spans="1:5">
      <c r="A195" s="6">
        <v>255</v>
      </c>
      <c r="B195" s="6" t="s">
        <v>1292</v>
      </c>
      <c r="C195" s="6">
        <v>2</v>
      </c>
      <c r="D195" s="6">
        <v>7</v>
      </c>
      <c r="E195" s="6"/>
    </row>
    <row r="196" spans="1:5">
      <c r="A196" s="6">
        <v>256</v>
      </c>
      <c r="B196" s="6" t="s">
        <v>1293</v>
      </c>
      <c r="C196" s="6">
        <v>1</v>
      </c>
      <c r="D196" s="6">
        <v>10</v>
      </c>
      <c r="E196" s="6"/>
    </row>
    <row r="197" spans="1:5">
      <c r="A197" s="6">
        <v>257</v>
      </c>
      <c r="B197" s="6" t="s">
        <v>1294</v>
      </c>
      <c r="C197" s="6">
        <v>1</v>
      </c>
      <c r="D197" s="6">
        <v>10</v>
      </c>
      <c r="E197" s="6"/>
    </row>
    <row r="198" spans="1:5">
      <c r="A198" s="6">
        <v>258</v>
      </c>
      <c r="B198" s="6" t="s">
        <v>1295</v>
      </c>
      <c r="C198" s="6">
        <v>2</v>
      </c>
      <c r="D198" s="6">
        <v>8</v>
      </c>
      <c r="E198" s="6"/>
    </row>
    <row r="199" spans="1:5">
      <c r="A199" s="6">
        <v>259</v>
      </c>
      <c r="B199" s="6" t="s">
        <v>1296</v>
      </c>
      <c r="C199" s="6">
        <v>1</v>
      </c>
      <c r="D199" s="6">
        <v>10</v>
      </c>
      <c r="E199" s="6"/>
    </row>
    <row r="200" spans="1:5">
      <c r="A200" s="6">
        <v>260</v>
      </c>
      <c r="B200" s="6" t="s">
        <v>1297</v>
      </c>
      <c r="C200" s="6">
        <v>1</v>
      </c>
      <c r="D200" s="6">
        <v>1</v>
      </c>
      <c r="E200" s="6"/>
    </row>
    <row r="201" spans="1:5">
      <c r="A201" s="6">
        <v>261</v>
      </c>
      <c r="B201" s="6" t="s">
        <v>1298</v>
      </c>
      <c r="C201" s="6">
        <v>2</v>
      </c>
      <c r="D201" s="6">
        <v>10</v>
      </c>
      <c r="E201" s="6"/>
    </row>
    <row r="202" spans="1:5">
      <c r="A202" s="6">
        <v>262</v>
      </c>
      <c r="B202" s="6" t="s">
        <v>1299</v>
      </c>
      <c r="C202" s="6">
        <v>1</v>
      </c>
      <c r="D202" s="6">
        <v>10</v>
      </c>
      <c r="E202" s="6"/>
    </row>
    <row r="203" spans="1:5">
      <c r="A203" s="6">
        <v>263</v>
      </c>
      <c r="B203" s="6" t="s">
        <v>1300</v>
      </c>
      <c r="C203" s="6">
        <v>1</v>
      </c>
      <c r="D203" s="6">
        <v>10</v>
      </c>
      <c r="E203" s="6"/>
    </row>
    <row r="204" spans="1:5">
      <c r="A204" s="6">
        <v>264</v>
      </c>
      <c r="B204" s="6" t="s">
        <v>1301</v>
      </c>
      <c r="C204" s="6">
        <v>2</v>
      </c>
      <c r="D204" s="6">
        <v>10</v>
      </c>
      <c r="E204" s="6"/>
    </row>
    <row r="205" spans="1:5">
      <c r="A205" s="6">
        <v>265</v>
      </c>
      <c r="B205" s="6" t="s">
        <v>1302</v>
      </c>
      <c r="C205" s="6">
        <v>2</v>
      </c>
      <c r="D205" s="6">
        <v>10</v>
      </c>
      <c r="E205" s="6"/>
    </row>
    <row r="206" spans="1:5">
      <c r="A206" s="6">
        <v>266</v>
      </c>
      <c r="B206" s="6" t="s">
        <v>1303</v>
      </c>
      <c r="C206" s="6">
        <v>2</v>
      </c>
      <c r="D206" s="6">
        <v>10</v>
      </c>
      <c r="E206" s="6"/>
    </row>
    <row r="207" spans="1:5">
      <c r="A207" s="6">
        <v>267</v>
      </c>
      <c r="B207" s="6" t="s">
        <v>1304</v>
      </c>
      <c r="C207" s="6">
        <v>2</v>
      </c>
      <c r="D207" s="6">
        <v>10</v>
      </c>
      <c r="E207" s="6"/>
    </row>
    <row r="208" spans="1:5">
      <c r="A208" s="6">
        <v>268</v>
      </c>
      <c r="B208" s="6" t="s">
        <v>1305</v>
      </c>
      <c r="C208" s="6">
        <v>2</v>
      </c>
      <c r="D208" s="6">
        <v>7</v>
      </c>
      <c r="E208" s="6"/>
    </row>
    <row r="209" spans="1:5">
      <c r="A209" s="6">
        <v>269</v>
      </c>
      <c r="B209" s="6" t="s">
        <v>1306</v>
      </c>
      <c r="C209" s="6">
        <v>2</v>
      </c>
      <c r="D209" s="6">
        <v>8</v>
      </c>
      <c r="E209" s="6"/>
    </row>
    <row r="210" spans="1:5">
      <c r="A210" s="6">
        <v>270</v>
      </c>
      <c r="B210" s="6" t="s">
        <v>1307</v>
      </c>
      <c r="C210" s="6">
        <v>2</v>
      </c>
      <c r="D210" s="6">
        <v>10</v>
      </c>
      <c r="E210" s="6"/>
    </row>
    <row r="211" spans="1:5">
      <c r="A211" s="6">
        <v>271</v>
      </c>
      <c r="B211" s="6" t="s">
        <v>1308</v>
      </c>
      <c r="C211" s="6">
        <v>3</v>
      </c>
      <c r="D211" s="6">
        <v>10</v>
      </c>
      <c r="E211" s="6"/>
    </row>
    <row r="212" spans="1:5">
      <c r="A212" s="6">
        <v>272</v>
      </c>
      <c r="B212" s="6" t="s">
        <v>1309</v>
      </c>
      <c r="C212" s="6">
        <v>1</v>
      </c>
      <c r="D212" s="6">
        <v>10</v>
      </c>
      <c r="E212" s="6"/>
    </row>
    <row r="213" spans="1:5">
      <c r="A213" s="6">
        <v>273</v>
      </c>
      <c r="B213" s="6" t="s">
        <v>1310</v>
      </c>
      <c r="C213" s="6">
        <v>2</v>
      </c>
      <c r="D213" s="6">
        <v>10</v>
      </c>
      <c r="E213" s="6"/>
    </row>
    <row r="214" spans="1:5">
      <c r="A214" s="6">
        <v>274</v>
      </c>
      <c r="B214" s="6" t="s">
        <v>1311</v>
      </c>
      <c r="C214" s="6">
        <v>1</v>
      </c>
      <c r="D214" s="6">
        <v>9</v>
      </c>
      <c r="E214" s="6"/>
    </row>
    <row r="215" spans="1:5">
      <c r="A215" s="6">
        <v>275</v>
      </c>
      <c r="B215" s="6" t="s">
        <v>1312</v>
      </c>
      <c r="C215" s="6">
        <v>2</v>
      </c>
      <c r="D215" s="6">
        <v>10</v>
      </c>
      <c r="E215" s="6"/>
    </row>
    <row r="216" spans="1:5">
      <c r="A216" s="6">
        <v>276</v>
      </c>
      <c r="B216" s="6" t="s">
        <v>1313</v>
      </c>
      <c r="C216" s="6">
        <v>2</v>
      </c>
      <c r="D216" s="6">
        <v>10</v>
      </c>
      <c r="E216" s="6"/>
    </row>
    <row r="217" spans="1:5">
      <c r="A217" s="6">
        <v>278</v>
      </c>
      <c r="B217" s="6" t="s">
        <v>1314</v>
      </c>
      <c r="C217" s="6">
        <v>2</v>
      </c>
      <c r="D217" s="6">
        <v>1</v>
      </c>
      <c r="E217" s="6"/>
    </row>
    <row r="218" spans="1:5">
      <c r="A218" s="6">
        <v>279</v>
      </c>
      <c r="B218" s="6" t="s">
        <v>1315</v>
      </c>
      <c r="C218" s="6">
        <v>2</v>
      </c>
      <c r="D218" s="6">
        <v>10</v>
      </c>
      <c r="E218" s="6"/>
    </row>
    <row r="219" spans="1:5">
      <c r="A219" s="6">
        <v>280</v>
      </c>
      <c r="B219" s="6" t="s">
        <v>1316</v>
      </c>
      <c r="C219" s="6">
        <v>2</v>
      </c>
      <c r="D219" s="6">
        <v>10</v>
      </c>
      <c r="E219" s="6"/>
    </row>
    <row r="220" spans="1:5">
      <c r="A220" s="6">
        <v>281</v>
      </c>
      <c r="B220" s="6" t="s">
        <v>1317</v>
      </c>
      <c r="C220" s="6">
        <v>2</v>
      </c>
      <c r="D220" s="6">
        <v>10</v>
      </c>
      <c r="E220" s="6"/>
    </row>
    <row r="221" spans="1:5">
      <c r="A221" s="6">
        <v>282</v>
      </c>
      <c r="B221" s="6" t="s">
        <v>1318</v>
      </c>
      <c r="C221" s="6">
        <v>2</v>
      </c>
      <c r="D221" s="6">
        <v>10</v>
      </c>
      <c r="E221" s="6"/>
    </row>
    <row r="222" spans="1:5">
      <c r="A222" s="6">
        <v>283</v>
      </c>
      <c r="B222" s="6" t="s">
        <v>1319</v>
      </c>
      <c r="C222" s="6">
        <v>2</v>
      </c>
      <c r="D222" s="6">
        <v>10</v>
      </c>
      <c r="E222" s="6"/>
    </row>
    <row r="223" spans="1:5">
      <c r="A223" s="6">
        <v>284</v>
      </c>
      <c r="B223" s="6" t="s">
        <v>1320</v>
      </c>
      <c r="C223" s="6">
        <v>1</v>
      </c>
      <c r="D223" s="6">
        <v>10</v>
      </c>
      <c r="E223" s="6"/>
    </row>
    <row r="224" spans="1:5">
      <c r="A224" s="6">
        <v>285</v>
      </c>
      <c r="B224" s="6" t="s">
        <v>1321</v>
      </c>
      <c r="C224" s="6">
        <v>1</v>
      </c>
      <c r="D224" s="6">
        <v>10</v>
      </c>
      <c r="E224" s="6"/>
    </row>
    <row r="225" spans="1:5">
      <c r="A225" s="6">
        <v>286</v>
      </c>
      <c r="B225" s="6" t="s">
        <v>1322</v>
      </c>
      <c r="C225" s="6">
        <v>1</v>
      </c>
      <c r="D225" s="6">
        <v>10</v>
      </c>
      <c r="E225" s="6"/>
    </row>
    <row r="226" spans="1:5">
      <c r="A226" s="6">
        <v>287</v>
      </c>
      <c r="B226" s="6" t="s">
        <v>1323</v>
      </c>
      <c r="C226" s="6">
        <v>1</v>
      </c>
      <c r="D226" s="6">
        <v>10</v>
      </c>
      <c r="E226" s="6"/>
    </row>
    <row r="227" spans="1:5">
      <c r="A227" s="6">
        <v>288</v>
      </c>
      <c r="B227" s="6" t="s">
        <v>1324</v>
      </c>
      <c r="C227" s="6">
        <v>2</v>
      </c>
      <c r="D227" s="6">
        <v>10</v>
      </c>
      <c r="E227" s="6"/>
    </row>
    <row r="228" spans="1:5">
      <c r="A228" s="6">
        <v>289</v>
      </c>
      <c r="B228" s="6" t="s">
        <v>1325</v>
      </c>
      <c r="C228" s="6">
        <v>2</v>
      </c>
      <c r="D228" s="6">
        <v>10</v>
      </c>
      <c r="E228" s="6"/>
    </row>
    <row r="229" spans="1:5">
      <c r="A229" s="6">
        <v>290</v>
      </c>
      <c r="B229" s="6" t="s">
        <v>1326</v>
      </c>
      <c r="C229" s="6">
        <v>2</v>
      </c>
      <c r="D229" s="6">
        <v>9</v>
      </c>
      <c r="E229" s="6"/>
    </row>
    <row r="230" spans="1:5">
      <c r="A230" s="6">
        <v>291</v>
      </c>
      <c r="B230" s="6" t="s">
        <v>1327</v>
      </c>
      <c r="C230" s="6">
        <v>2</v>
      </c>
      <c r="D230" s="6">
        <v>10</v>
      </c>
      <c r="E230" s="6"/>
    </row>
    <row r="231" spans="1:5">
      <c r="A231" s="6">
        <v>292</v>
      </c>
      <c r="B231" s="6" t="s">
        <v>1328</v>
      </c>
      <c r="C231" s="6">
        <v>2</v>
      </c>
      <c r="D231" s="6">
        <v>10</v>
      </c>
      <c r="E231" s="6"/>
    </row>
    <row r="232" spans="1:5">
      <c r="A232" s="6">
        <v>293</v>
      </c>
      <c r="B232" s="6" t="s">
        <v>1329</v>
      </c>
      <c r="C232" s="6">
        <v>2</v>
      </c>
      <c r="D232" s="6">
        <v>10</v>
      </c>
      <c r="E232" s="6"/>
    </row>
    <row r="233" spans="1:5">
      <c r="A233" s="6">
        <v>294</v>
      </c>
      <c r="B233" s="6" t="s">
        <v>1330</v>
      </c>
      <c r="C233" s="6">
        <v>1</v>
      </c>
      <c r="D233" s="6">
        <v>9</v>
      </c>
      <c r="E233" s="6"/>
    </row>
    <row r="234" spans="1:5">
      <c r="A234" s="6">
        <v>295</v>
      </c>
      <c r="B234" s="6" t="s">
        <v>1331</v>
      </c>
      <c r="C234" s="6">
        <v>1</v>
      </c>
      <c r="D234" s="6">
        <v>9</v>
      </c>
      <c r="E234" s="6"/>
    </row>
    <row r="235" spans="1:5">
      <c r="A235" s="6">
        <v>296</v>
      </c>
      <c r="B235" s="6" t="s">
        <v>1332</v>
      </c>
      <c r="C235" s="6">
        <v>1</v>
      </c>
      <c r="D235" s="6">
        <v>9</v>
      </c>
      <c r="E235" s="6"/>
    </row>
    <row r="236" spans="1:5">
      <c r="A236" s="6">
        <v>297</v>
      </c>
      <c r="B236" s="6" t="s">
        <v>1333</v>
      </c>
      <c r="C236" s="6">
        <v>2</v>
      </c>
      <c r="D236" s="6">
        <v>10</v>
      </c>
      <c r="E236" s="6"/>
    </row>
    <row r="237" spans="1:5">
      <c r="A237" s="6">
        <v>298</v>
      </c>
      <c r="B237" s="6" t="s">
        <v>1334</v>
      </c>
      <c r="C237" s="6">
        <v>2</v>
      </c>
      <c r="D237" s="6">
        <v>10</v>
      </c>
      <c r="E237" s="6"/>
    </row>
    <row r="238" spans="1:5">
      <c r="A238" s="6">
        <v>299</v>
      </c>
      <c r="B238" s="6" t="s">
        <v>1335</v>
      </c>
      <c r="C238" s="6">
        <v>1</v>
      </c>
      <c r="D238" s="6">
        <v>9</v>
      </c>
      <c r="E238" s="6"/>
    </row>
    <row r="239" spans="1:5">
      <c r="A239" s="6">
        <v>300</v>
      </c>
      <c r="B239" s="6" t="s">
        <v>1336</v>
      </c>
      <c r="C239" s="6">
        <v>1</v>
      </c>
      <c r="D239" s="6">
        <v>10</v>
      </c>
      <c r="E239" s="6"/>
    </row>
    <row r="240" spans="1:5">
      <c r="A240" s="6">
        <v>301</v>
      </c>
      <c r="B240" s="6" t="s">
        <v>1337</v>
      </c>
      <c r="C240" s="6">
        <v>1</v>
      </c>
      <c r="D240" s="6">
        <v>8</v>
      </c>
      <c r="E240" s="6"/>
    </row>
    <row r="241" spans="1:5">
      <c r="A241" s="6">
        <v>302</v>
      </c>
      <c r="B241" s="6" t="s">
        <v>1338</v>
      </c>
      <c r="C241" s="6">
        <v>1</v>
      </c>
      <c r="D241" s="6">
        <v>9</v>
      </c>
      <c r="E241" s="6"/>
    </row>
    <row r="242" spans="1:5">
      <c r="A242" s="6">
        <v>303</v>
      </c>
      <c r="B242" s="6" t="s">
        <v>1339</v>
      </c>
      <c r="C242" s="6">
        <v>1</v>
      </c>
      <c r="D242" s="6">
        <v>10</v>
      </c>
      <c r="E242" s="6"/>
    </row>
    <row r="243" spans="1:5">
      <c r="A243" s="6">
        <v>304</v>
      </c>
      <c r="B243" s="6" t="s">
        <v>1340</v>
      </c>
      <c r="C243" s="6">
        <v>1</v>
      </c>
      <c r="D243" s="6">
        <v>10</v>
      </c>
      <c r="E243" s="6"/>
    </row>
    <row r="244" spans="1:5">
      <c r="A244" s="6">
        <v>305</v>
      </c>
      <c r="B244" s="6" t="s">
        <v>1341</v>
      </c>
      <c r="C244" s="6">
        <v>1</v>
      </c>
      <c r="D244" s="6">
        <v>10</v>
      </c>
      <c r="E244" s="6"/>
    </row>
    <row r="245" spans="1:5">
      <c r="A245" s="6">
        <v>306</v>
      </c>
      <c r="B245" s="6" t="s">
        <v>1342</v>
      </c>
      <c r="C245" s="6">
        <v>1</v>
      </c>
      <c r="D245" s="6">
        <v>10</v>
      </c>
      <c r="E245" s="6"/>
    </row>
    <row r="246" spans="1:5">
      <c r="A246" s="6">
        <v>307</v>
      </c>
      <c r="B246" s="6" t="s">
        <v>1343</v>
      </c>
      <c r="C246" s="6">
        <v>2</v>
      </c>
      <c r="D246" s="6">
        <v>10</v>
      </c>
      <c r="E246" s="6"/>
    </row>
    <row r="247" spans="1:5">
      <c r="A247" s="6">
        <v>308</v>
      </c>
      <c r="B247" s="6" t="s">
        <v>1344</v>
      </c>
      <c r="C247" s="6">
        <v>3</v>
      </c>
      <c r="D247" s="6">
        <v>10</v>
      </c>
      <c r="E247" s="6"/>
    </row>
    <row r="248" spans="1:5">
      <c r="A248" s="6">
        <v>310</v>
      </c>
      <c r="B248" s="6" t="s">
        <v>1345</v>
      </c>
      <c r="C248" s="6">
        <v>2</v>
      </c>
      <c r="D248" s="6">
        <v>8</v>
      </c>
      <c r="E248" s="6"/>
    </row>
    <row r="249" spans="1:5">
      <c r="A249" s="6">
        <v>311</v>
      </c>
      <c r="B249" s="6" t="s">
        <v>1346</v>
      </c>
      <c r="C249" s="6">
        <v>1</v>
      </c>
      <c r="D249" s="6">
        <v>10</v>
      </c>
      <c r="E249" s="6"/>
    </row>
    <row r="250" spans="1:5">
      <c r="A250" s="6">
        <v>312</v>
      </c>
      <c r="B250" s="6" t="s">
        <v>1347</v>
      </c>
      <c r="C250" s="6">
        <v>1</v>
      </c>
      <c r="D250" s="6">
        <v>9</v>
      </c>
      <c r="E250" s="6"/>
    </row>
    <row r="251" spans="1:5">
      <c r="A251" s="6">
        <v>313</v>
      </c>
      <c r="B251" s="6" t="s">
        <v>1348</v>
      </c>
      <c r="C251" s="6">
        <v>1</v>
      </c>
      <c r="D251" s="6">
        <v>8</v>
      </c>
      <c r="E251" s="6"/>
    </row>
    <row r="252" spans="1:5">
      <c r="A252" s="6">
        <v>314</v>
      </c>
      <c r="B252" s="6" t="s">
        <v>1349</v>
      </c>
      <c r="C252" s="6">
        <v>2</v>
      </c>
      <c r="D252" s="6">
        <v>10</v>
      </c>
      <c r="E252" s="6"/>
    </row>
    <row r="253" spans="1:5">
      <c r="A253" s="6">
        <v>315</v>
      </c>
      <c r="B253" s="6" t="s">
        <v>1350</v>
      </c>
      <c r="C253" s="6">
        <v>1</v>
      </c>
      <c r="D253" s="6">
        <v>10</v>
      </c>
      <c r="E253" s="6"/>
    </row>
    <row r="254" spans="1:5">
      <c r="A254" s="6">
        <v>316</v>
      </c>
      <c r="B254" s="6" t="s">
        <v>1351</v>
      </c>
      <c r="C254" s="6">
        <v>1</v>
      </c>
      <c r="D254" s="6">
        <v>10</v>
      </c>
      <c r="E254" s="6"/>
    </row>
    <row r="255" spans="1:5">
      <c r="A255" s="6">
        <v>317</v>
      </c>
      <c r="B255" s="6" t="s">
        <v>1352</v>
      </c>
      <c r="C255" s="6">
        <v>1</v>
      </c>
      <c r="D255" s="6">
        <v>10</v>
      </c>
      <c r="E255" s="6"/>
    </row>
    <row r="256" spans="1:5">
      <c r="A256" s="6">
        <v>318</v>
      </c>
      <c r="B256" s="6" t="s">
        <v>1353</v>
      </c>
      <c r="C256" s="6">
        <v>1</v>
      </c>
      <c r="D256" s="6">
        <v>10</v>
      </c>
      <c r="E256" s="6"/>
    </row>
    <row r="257" spans="1:5">
      <c r="A257" s="6">
        <v>319</v>
      </c>
      <c r="B257" s="6" t="s">
        <v>1354</v>
      </c>
      <c r="C257" s="6">
        <v>2</v>
      </c>
      <c r="D257" s="6">
        <v>8</v>
      </c>
      <c r="E257" s="6"/>
    </row>
    <row r="258" spans="1:5">
      <c r="A258" s="6">
        <v>320</v>
      </c>
      <c r="B258" s="6" t="s">
        <v>1355</v>
      </c>
      <c r="C258" s="6">
        <v>2</v>
      </c>
      <c r="D258" s="6">
        <v>10</v>
      </c>
      <c r="E258" s="6"/>
    </row>
    <row r="259" spans="1:5">
      <c r="A259" s="6">
        <v>321</v>
      </c>
      <c r="B259" s="6" t="s">
        <v>1356</v>
      </c>
      <c r="C259" s="6">
        <v>2</v>
      </c>
      <c r="D259" s="6">
        <v>10</v>
      </c>
      <c r="E259" s="6"/>
    </row>
    <row r="260" spans="1:5">
      <c r="A260" s="6">
        <v>322</v>
      </c>
      <c r="B260" s="6" t="s">
        <v>1357</v>
      </c>
      <c r="C260" s="6">
        <v>2</v>
      </c>
      <c r="D260" s="6">
        <v>9</v>
      </c>
      <c r="E260" s="6"/>
    </row>
    <row r="261" spans="1:5">
      <c r="A261" s="6">
        <v>323</v>
      </c>
      <c r="B261" s="6" t="s">
        <v>1358</v>
      </c>
      <c r="C261" s="6">
        <v>2</v>
      </c>
      <c r="D261" s="6">
        <v>10</v>
      </c>
      <c r="E261" s="6"/>
    </row>
    <row r="262" spans="1:5">
      <c r="A262" s="6">
        <v>324</v>
      </c>
      <c r="B262" s="6" t="s">
        <v>1359</v>
      </c>
      <c r="C262" s="6">
        <v>2</v>
      </c>
      <c r="D262" s="6">
        <v>10</v>
      </c>
      <c r="E262" s="6"/>
    </row>
    <row r="263" spans="1:5">
      <c r="A263" s="6">
        <v>325</v>
      </c>
      <c r="B263" s="6" t="s">
        <v>1360</v>
      </c>
      <c r="C263" s="6">
        <v>2</v>
      </c>
      <c r="D263" s="6">
        <v>10</v>
      </c>
      <c r="E263" s="6"/>
    </row>
    <row r="264" spans="1:5">
      <c r="A264" s="6">
        <v>326</v>
      </c>
      <c r="B264" s="6" t="s">
        <v>1361</v>
      </c>
      <c r="C264" s="6">
        <v>2</v>
      </c>
      <c r="D264" s="6">
        <v>8</v>
      </c>
      <c r="E264" s="6"/>
    </row>
    <row r="265" spans="1:5">
      <c r="A265" s="6">
        <v>327</v>
      </c>
      <c r="B265" s="6" t="s">
        <v>1362</v>
      </c>
      <c r="C265" s="6">
        <v>2</v>
      </c>
      <c r="D265" s="6">
        <v>9</v>
      </c>
      <c r="E265" s="6"/>
    </row>
    <row r="266" spans="1:5">
      <c r="A266" s="6">
        <v>328</v>
      </c>
      <c r="B266" s="6" t="s">
        <v>1363</v>
      </c>
      <c r="C266" s="6">
        <v>2</v>
      </c>
      <c r="D266" s="6">
        <v>9</v>
      </c>
      <c r="E266" s="6"/>
    </row>
    <row r="267" spans="1:5">
      <c r="A267" s="6">
        <v>329</v>
      </c>
      <c r="B267" s="6" t="s">
        <v>1364</v>
      </c>
      <c r="C267" s="6">
        <v>2</v>
      </c>
      <c r="D267" s="6">
        <v>10</v>
      </c>
      <c r="E267" s="6"/>
    </row>
    <row r="268" spans="1:5">
      <c r="A268" s="6">
        <v>330</v>
      </c>
      <c r="B268" s="6" t="s">
        <v>1365</v>
      </c>
      <c r="C268" s="6">
        <v>2</v>
      </c>
      <c r="D268" s="6">
        <v>7</v>
      </c>
      <c r="E268" s="6"/>
    </row>
    <row r="269" spans="1:5">
      <c r="A269" s="6">
        <v>331</v>
      </c>
      <c r="B269" s="6" t="s">
        <v>1366</v>
      </c>
      <c r="C269" s="6">
        <v>3</v>
      </c>
      <c r="D269" s="6">
        <v>10</v>
      </c>
      <c r="E269" s="6"/>
    </row>
    <row r="270" spans="1:5">
      <c r="A270" s="6">
        <v>332</v>
      </c>
      <c r="B270" s="6" t="s">
        <v>1367</v>
      </c>
      <c r="C270" s="6">
        <v>1</v>
      </c>
      <c r="D270" s="6">
        <v>9</v>
      </c>
      <c r="E270" s="6"/>
    </row>
    <row r="271" spans="1:5">
      <c r="A271" s="6">
        <v>333</v>
      </c>
      <c r="B271" s="6" t="s">
        <v>1368</v>
      </c>
      <c r="C271" s="6">
        <v>1</v>
      </c>
      <c r="D271" s="6">
        <v>10</v>
      </c>
      <c r="E271" s="6"/>
    </row>
    <row r="272" spans="1:5">
      <c r="A272" s="6">
        <v>334</v>
      </c>
      <c r="B272" s="6" t="s">
        <v>1369</v>
      </c>
      <c r="C272" s="6">
        <v>1</v>
      </c>
      <c r="D272" s="6">
        <v>10</v>
      </c>
      <c r="E272" s="6"/>
    </row>
    <row r="273" spans="1:5">
      <c r="A273" s="6">
        <v>335</v>
      </c>
      <c r="B273" s="6" t="s">
        <v>1370</v>
      </c>
      <c r="C273" s="6">
        <v>1</v>
      </c>
      <c r="D273" s="6">
        <v>8</v>
      </c>
      <c r="E273" s="6"/>
    </row>
    <row r="274" spans="1:5">
      <c r="A274" s="6">
        <v>336</v>
      </c>
      <c r="B274" s="6" t="s">
        <v>1371</v>
      </c>
      <c r="C274" s="6">
        <v>1</v>
      </c>
      <c r="D274" s="6">
        <v>10</v>
      </c>
      <c r="E274" s="6"/>
    </row>
    <row r="275" spans="1:5">
      <c r="A275" s="6">
        <v>337</v>
      </c>
      <c r="B275" s="6" t="s">
        <v>1372</v>
      </c>
      <c r="C275" s="6">
        <v>1</v>
      </c>
      <c r="D275" s="6">
        <v>9</v>
      </c>
      <c r="E275" s="6"/>
    </row>
    <row r="276" spans="1:5">
      <c r="A276" s="6">
        <v>338</v>
      </c>
      <c r="B276" s="6" t="s">
        <v>1373</v>
      </c>
      <c r="C276" s="6">
        <v>1</v>
      </c>
      <c r="D276" s="6">
        <v>9</v>
      </c>
      <c r="E276" s="6"/>
    </row>
    <row r="277" spans="1:5">
      <c r="A277" s="6">
        <v>339</v>
      </c>
      <c r="B277" s="6" t="s">
        <v>1374</v>
      </c>
      <c r="C277" s="6">
        <v>1</v>
      </c>
      <c r="D277" s="6">
        <v>8</v>
      </c>
      <c r="E277" s="6"/>
    </row>
    <row r="278" spans="1:5">
      <c r="A278" s="6">
        <v>340</v>
      </c>
      <c r="B278" s="6" t="s">
        <v>1375</v>
      </c>
      <c r="C278" s="6">
        <v>1</v>
      </c>
      <c r="D278" s="6">
        <v>9</v>
      </c>
      <c r="E278" s="6"/>
    </row>
    <row r="279" spans="1:5">
      <c r="A279" s="6">
        <v>341</v>
      </c>
      <c r="B279" s="6" t="s">
        <v>1376</v>
      </c>
      <c r="C279" s="6">
        <v>3</v>
      </c>
      <c r="D279" s="6">
        <v>10</v>
      </c>
      <c r="E279" s="6"/>
    </row>
    <row r="280" spans="1:5">
      <c r="A280" s="6">
        <v>342</v>
      </c>
      <c r="B280" s="6" t="s">
        <v>1377</v>
      </c>
      <c r="C280" s="6">
        <v>1</v>
      </c>
      <c r="D280" s="6">
        <v>10</v>
      </c>
      <c r="E280" s="6"/>
    </row>
    <row r="281" spans="1:5">
      <c r="A281" s="6">
        <v>343</v>
      </c>
      <c r="B281" s="6" t="s">
        <v>1378</v>
      </c>
      <c r="C281" s="6">
        <v>2</v>
      </c>
      <c r="D281" s="6">
        <v>8</v>
      </c>
      <c r="E281" s="6"/>
    </row>
    <row r="282" spans="1:5">
      <c r="A282" s="6">
        <v>345</v>
      </c>
      <c r="B282" s="6" t="s">
        <v>1379</v>
      </c>
      <c r="C282" s="6">
        <v>1</v>
      </c>
      <c r="D282" s="6">
        <v>8</v>
      </c>
      <c r="E282" s="6"/>
    </row>
    <row r="283" spans="1:5">
      <c r="A283" s="6">
        <v>346</v>
      </c>
      <c r="B283" s="6" t="s">
        <v>1380</v>
      </c>
      <c r="C283" s="6">
        <v>1</v>
      </c>
      <c r="D283" s="6">
        <v>7</v>
      </c>
      <c r="E283" s="6"/>
    </row>
    <row r="284" spans="1:5">
      <c r="A284" s="6">
        <v>347</v>
      </c>
      <c r="B284" s="6" t="s">
        <v>1381</v>
      </c>
      <c r="C284" s="6">
        <v>1</v>
      </c>
      <c r="D284" s="6">
        <v>8</v>
      </c>
      <c r="E284" s="6"/>
    </row>
    <row r="285" spans="1:5">
      <c r="A285" s="6">
        <v>348</v>
      </c>
      <c r="B285" s="6" t="s">
        <v>1382</v>
      </c>
      <c r="C285" s="6">
        <v>1</v>
      </c>
      <c r="D285" s="6">
        <v>8</v>
      </c>
      <c r="E285" s="6"/>
    </row>
    <row r="286" spans="1:5">
      <c r="A286" s="6">
        <v>350</v>
      </c>
      <c r="B286" s="6" t="s">
        <v>1383</v>
      </c>
      <c r="C286" s="6">
        <v>1</v>
      </c>
      <c r="D286" s="6">
        <v>8</v>
      </c>
      <c r="E286" s="6"/>
    </row>
    <row r="287" spans="1:5">
      <c r="A287" s="6">
        <v>352</v>
      </c>
      <c r="B287" s="6" t="s">
        <v>1384</v>
      </c>
      <c r="C287" s="6">
        <v>1</v>
      </c>
      <c r="D287" s="6">
        <v>6</v>
      </c>
      <c r="E287" s="6"/>
    </row>
    <row r="288" spans="1:5">
      <c r="A288" s="6">
        <v>353</v>
      </c>
      <c r="B288" s="6" t="s">
        <v>1385</v>
      </c>
      <c r="C288" s="6">
        <v>1</v>
      </c>
      <c r="D288" s="6">
        <v>9</v>
      </c>
      <c r="E288" s="6"/>
    </row>
    <row r="289" spans="1:5">
      <c r="A289" s="6">
        <v>354</v>
      </c>
      <c r="B289" s="6" t="s">
        <v>1386</v>
      </c>
      <c r="C289" s="6">
        <v>1</v>
      </c>
      <c r="D289" s="6">
        <v>10</v>
      </c>
      <c r="E289" s="6"/>
    </row>
    <row r="290" spans="1:5">
      <c r="A290" s="6">
        <v>355</v>
      </c>
      <c r="B290" s="6" t="s">
        <v>1387</v>
      </c>
      <c r="C290" s="6">
        <v>1</v>
      </c>
      <c r="D290" s="6">
        <v>9</v>
      </c>
      <c r="E290" s="6"/>
    </row>
    <row r="291" spans="1:5">
      <c r="A291" s="6">
        <v>356</v>
      </c>
      <c r="B291" s="6" t="s">
        <v>1388</v>
      </c>
      <c r="C291" s="6">
        <v>1</v>
      </c>
      <c r="D291" s="6">
        <v>9</v>
      </c>
      <c r="E291" s="6"/>
    </row>
    <row r="292" spans="1:5">
      <c r="A292" s="6">
        <v>357</v>
      </c>
      <c r="B292" s="6" t="s">
        <v>1389</v>
      </c>
      <c r="C292" s="6">
        <v>3</v>
      </c>
      <c r="D292" s="6">
        <v>10</v>
      </c>
      <c r="E292" s="6"/>
    </row>
    <row r="293" spans="1:5">
      <c r="A293" s="6">
        <v>358</v>
      </c>
      <c r="B293" s="6" t="s">
        <v>1390</v>
      </c>
      <c r="C293" s="6">
        <v>3</v>
      </c>
      <c r="D293" s="6">
        <v>10</v>
      </c>
      <c r="E293" s="6"/>
    </row>
    <row r="294" spans="1:5">
      <c r="A294" s="6">
        <v>359</v>
      </c>
      <c r="B294" s="6" t="s">
        <v>1391</v>
      </c>
      <c r="C294" s="6">
        <v>1</v>
      </c>
      <c r="D294" s="6">
        <v>10</v>
      </c>
      <c r="E294" s="6"/>
    </row>
    <row r="295" spans="1:5">
      <c r="A295" s="6">
        <v>360</v>
      </c>
      <c r="B295" s="6" t="s">
        <v>1392</v>
      </c>
      <c r="C295" s="6">
        <v>1</v>
      </c>
      <c r="D295" s="6">
        <v>10</v>
      </c>
      <c r="E295" s="6"/>
    </row>
    <row r="296" spans="1:5">
      <c r="A296" s="6">
        <v>361</v>
      </c>
      <c r="B296" s="6" t="s">
        <v>1393</v>
      </c>
      <c r="C296" s="6">
        <v>2</v>
      </c>
      <c r="D296" s="6">
        <v>10</v>
      </c>
      <c r="E296" s="6"/>
    </row>
    <row r="297" spans="1:5">
      <c r="A297" s="6">
        <v>362</v>
      </c>
      <c r="B297" s="6" t="s">
        <v>1394</v>
      </c>
      <c r="C297" s="6">
        <v>2</v>
      </c>
      <c r="D297" s="6">
        <v>10</v>
      </c>
      <c r="E297" s="6"/>
    </row>
    <row r="298" spans="1:5">
      <c r="A298" s="6">
        <v>363</v>
      </c>
      <c r="B298" s="6" t="s">
        <v>1395</v>
      </c>
      <c r="C298" s="6">
        <v>2</v>
      </c>
      <c r="D298" s="6">
        <v>10</v>
      </c>
      <c r="E298" s="6"/>
    </row>
    <row r="299" spans="1:5">
      <c r="A299" s="6">
        <v>364</v>
      </c>
      <c r="B299" s="6" t="s">
        <v>1396</v>
      </c>
      <c r="C299" s="6">
        <v>2</v>
      </c>
      <c r="D299" s="6">
        <v>10</v>
      </c>
      <c r="E299" s="6"/>
    </row>
    <row r="300" spans="1:5">
      <c r="A300" s="6">
        <v>365</v>
      </c>
      <c r="B300" s="6" t="s">
        <v>1397</v>
      </c>
      <c r="C300" s="6">
        <v>3</v>
      </c>
      <c r="D300" s="6">
        <v>10</v>
      </c>
      <c r="E300" s="6"/>
    </row>
    <row r="301" spans="1:5">
      <c r="A301" s="6">
        <v>366</v>
      </c>
      <c r="B301" s="6" t="s">
        <v>1398</v>
      </c>
      <c r="C301" s="6">
        <v>1</v>
      </c>
      <c r="D301" s="6">
        <v>8</v>
      </c>
      <c r="E301" s="6"/>
    </row>
    <row r="302" spans="1:5">
      <c r="A302" s="6">
        <v>367</v>
      </c>
      <c r="B302" s="6" t="s">
        <v>1399</v>
      </c>
      <c r="C302" s="6">
        <v>1</v>
      </c>
      <c r="D302" s="6">
        <v>10</v>
      </c>
      <c r="E302" s="6"/>
    </row>
    <row r="303" spans="1:5">
      <c r="A303" s="6">
        <v>368</v>
      </c>
      <c r="B303" s="6" t="s">
        <v>1400</v>
      </c>
      <c r="C303" s="6">
        <v>1</v>
      </c>
      <c r="D303" s="6">
        <v>10</v>
      </c>
      <c r="E303" s="6"/>
    </row>
    <row r="304" spans="1:5">
      <c r="A304" s="6">
        <v>369</v>
      </c>
      <c r="B304" s="6" t="s">
        <v>1401</v>
      </c>
      <c r="C304" s="6">
        <v>1</v>
      </c>
      <c r="D304" s="6">
        <v>10</v>
      </c>
      <c r="E304" s="6"/>
    </row>
    <row r="305" spans="1:5">
      <c r="A305" s="6">
        <v>370</v>
      </c>
      <c r="B305" s="6" t="s">
        <v>1402</v>
      </c>
      <c r="C305" s="6">
        <v>1</v>
      </c>
      <c r="D305" s="6">
        <v>10</v>
      </c>
      <c r="E305" s="6"/>
    </row>
    <row r="306" spans="1:5">
      <c r="A306" s="6">
        <v>371</v>
      </c>
      <c r="B306" s="6" t="s">
        <v>1403</v>
      </c>
      <c r="C306" s="6">
        <v>1</v>
      </c>
      <c r="D306" s="6">
        <v>10</v>
      </c>
      <c r="E306" s="6"/>
    </row>
    <row r="307" spans="1:5">
      <c r="A307" s="6">
        <v>372</v>
      </c>
      <c r="B307" s="6" t="s">
        <v>1404</v>
      </c>
      <c r="C307" s="6">
        <v>1</v>
      </c>
      <c r="D307" s="6">
        <v>9</v>
      </c>
      <c r="E307" s="6"/>
    </row>
    <row r="308" spans="1:5">
      <c r="A308" s="6">
        <v>373</v>
      </c>
      <c r="B308" s="6" t="s">
        <v>1405</v>
      </c>
      <c r="C308" s="6">
        <v>1</v>
      </c>
      <c r="D308" s="6">
        <v>10</v>
      </c>
      <c r="E308" s="6"/>
    </row>
    <row r="309" spans="1:5">
      <c r="A309" s="6">
        <v>374</v>
      </c>
      <c r="B309" s="6" t="s">
        <v>1406</v>
      </c>
      <c r="C309" s="6">
        <v>1</v>
      </c>
      <c r="D309" s="6">
        <v>10</v>
      </c>
      <c r="E309" s="6"/>
    </row>
    <row r="310" spans="1:5">
      <c r="A310" s="6">
        <v>375</v>
      </c>
      <c r="B310" s="6" t="s">
        <v>1407</v>
      </c>
      <c r="C310" s="6">
        <v>1</v>
      </c>
      <c r="D310" s="6">
        <v>10</v>
      </c>
      <c r="E310" s="6"/>
    </row>
    <row r="311" spans="1:5">
      <c r="A311" s="6">
        <v>376</v>
      </c>
      <c r="B311" s="6" t="s">
        <v>1408</v>
      </c>
      <c r="C311" s="6">
        <v>1</v>
      </c>
      <c r="D311" s="6">
        <v>10</v>
      </c>
      <c r="E311" s="6"/>
    </row>
    <row r="312" spans="1:5">
      <c r="A312" s="6">
        <v>377</v>
      </c>
      <c r="B312" s="6" t="s">
        <v>1409</v>
      </c>
      <c r="C312" s="6">
        <v>1</v>
      </c>
      <c r="D312" s="6">
        <v>10</v>
      </c>
      <c r="E312" s="6"/>
    </row>
    <row r="313" spans="1:5">
      <c r="A313" s="6">
        <v>378</v>
      </c>
      <c r="B313" s="6" t="s">
        <v>1410</v>
      </c>
      <c r="C313" s="6">
        <v>1</v>
      </c>
      <c r="D313" s="6">
        <v>9</v>
      </c>
      <c r="E313" s="6"/>
    </row>
    <row r="314" spans="1:5">
      <c r="A314" s="6">
        <v>379</v>
      </c>
      <c r="B314" s="6" t="s">
        <v>1411</v>
      </c>
      <c r="C314" s="6">
        <v>1</v>
      </c>
      <c r="D314" s="6">
        <v>9</v>
      </c>
      <c r="E314" s="6"/>
    </row>
    <row r="315" spans="1:5">
      <c r="A315" s="6">
        <v>380</v>
      </c>
      <c r="B315" s="6" t="s">
        <v>1412</v>
      </c>
      <c r="C315" s="6">
        <v>1</v>
      </c>
      <c r="D315" s="6">
        <v>10</v>
      </c>
      <c r="E315" s="6"/>
    </row>
    <row r="316" spans="1:5">
      <c r="A316" s="6">
        <v>381</v>
      </c>
      <c r="B316" s="6" t="s">
        <v>1413</v>
      </c>
      <c r="C316" s="6">
        <v>1</v>
      </c>
      <c r="D316" s="6">
        <v>10</v>
      </c>
      <c r="E316" s="6"/>
    </row>
    <row r="317" spans="1:5">
      <c r="A317" s="6">
        <v>382</v>
      </c>
      <c r="B317" s="6" t="s">
        <v>1414</v>
      </c>
      <c r="C317" s="6">
        <v>1</v>
      </c>
      <c r="D317" s="6">
        <v>9</v>
      </c>
      <c r="E317" s="6"/>
    </row>
    <row r="318" spans="1:5">
      <c r="A318" s="6">
        <v>383</v>
      </c>
      <c r="B318" s="6" t="s">
        <v>1415</v>
      </c>
      <c r="C318" s="6">
        <v>1</v>
      </c>
      <c r="D318" s="6">
        <v>9</v>
      </c>
      <c r="E318" s="6"/>
    </row>
    <row r="319" spans="1:5">
      <c r="A319" s="6">
        <v>384</v>
      </c>
      <c r="B319" s="6" t="s">
        <v>1416</v>
      </c>
      <c r="C319" s="6">
        <v>1</v>
      </c>
      <c r="D319" s="6">
        <v>10</v>
      </c>
      <c r="E319" s="6"/>
    </row>
    <row r="320" spans="1:5">
      <c r="A320" s="6">
        <v>385</v>
      </c>
      <c r="B320" s="6" t="s">
        <v>1417</v>
      </c>
      <c r="C320" s="6">
        <v>1</v>
      </c>
      <c r="D320" s="6">
        <v>9</v>
      </c>
      <c r="E320" s="6"/>
    </row>
    <row r="321" spans="1:5">
      <c r="A321" s="6">
        <v>386</v>
      </c>
      <c r="B321" s="6" t="s">
        <v>1418</v>
      </c>
      <c r="C321" s="6">
        <v>2</v>
      </c>
      <c r="D321" s="6">
        <v>1</v>
      </c>
      <c r="E321" s="6"/>
    </row>
    <row r="322" spans="1:5">
      <c r="A322" s="6">
        <v>387</v>
      </c>
      <c r="B322" s="6" t="s">
        <v>1419</v>
      </c>
      <c r="C322" s="6">
        <v>1</v>
      </c>
      <c r="D322" s="6">
        <v>9</v>
      </c>
      <c r="E322" s="6"/>
    </row>
    <row r="323" spans="1:5">
      <c r="A323" s="6">
        <v>388</v>
      </c>
      <c r="B323" s="6" t="s">
        <v>1420</v>
      </c>
      <c r="C323" s="6">
        <v>1</v>
      </c>
      <c r="D323" s="6">
        <v>10</v>
      </c>
      <c r="E323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503"/>
  <sheetViews>
    <sheetView topLeftCell="A477" workbookViewId="0">
      <selection activeCell="B495" sqref="B495"/>
    </sheetView>
  </sheetViews>
  <sheetFormatPr defaultRowHeight="15"/>
  <cols>
    <col min="1" max="1" width="74.28515625" customWidth="1"/>
  </cols>
  <sheetData>
    <row r="1" spans="1:3">
      <c r="A1" s="6" t="s">
        <v>1484</v>
      </c>
      <c r="B1">
        <f t="shared" ref="B1:B64" si="0">FIND(",",A1)</f>
        <v>9</v>
      </c>
      <c r="C1">
        <f t="shared" ref="C1:C64" si="1">MID(A1,8,B1-8)*1</f>
        <v>1</v>
      </c>
    </row>
    <row r="2" spans="1:3">
      <c r="A2" s="6" t="s">
        <v>1485</v>
      </c>
      <c r="B2" s="6">
        <f t="shared" si="0"/>
        <v>9</v>
      </c>
      <c r="C2" s="6">
        <f t="shared" si="1"/>
        <v>2</v>
      </c>
    </row>
    <row r="3" spans="1:3">
      <c r="A3" s="6" t="s">
        <v>1486</v>
      </c>
      <c r="B3" s="6">
        <f t="shared" si="0"/>
        <v>9</v>
      </c>
      <c r="C3" s="6">
        <f t="shared" si="1"/>
        <v>3</v>
      </c>
    </row>
    <row r="4" spans="1:3">
      <c r="A4" s="6" t="s">
        <v>1487</v>
      </c>
      <c r="B4" s="6">
        <f t="shared" si="0"/>
        <v>9</v>
      </c>
      <c r="C4" s="6">
        <f t="shared" si="1"/>
        <v>4</v>
      </c>
    </row>
    <row r="5" spans="1:3">
      <c r="A5" s="6" t="s">
        <v>1488</v>
      </c>
      <c r="B5" s="6">
        <f t="shared" si="0"/>
        <v>9</v>
      </c>
      <c r="C5" s="6">
        <f t="shared" si="1"/>
        <v>5</v>
      </c>
    </row>
    <row r="6" spans="1:3">
      <c r="A6" s="6" t="s">
        <v>1489</v>
      </c>
      <c r="B6" s="6">
        <f t="shared" si="0"/>
        <v>9</v>
      </c>
      <c r="C6" s="6">
        <f t="shared" si="1"/>
        <v>6</v>
      </c>
    </row>
    <row r="7" spans="1:3">
      <c r="A7" s="6" t="s">
        <v>1490</v>
      </c>
      <c r="B7" s="6">
        <f t="shared" si="0"/>
        <v>9</v>
      </c>
      <c r="C7" s="6">
        <f t="shared" si="1"/>
        <v>7</v>
      </c>
    </row>
    <row r="8" spans="1:3">
      <c r="A8" s="6" t="s">
        <v>1857</v>
      </c>
      <c r="B8" s="6">
        <f t="shared" si="0"/>
        <v>9</v>
      </c>
      <c r="C8" s="6">
        <f t="shared" si="1"/>
        <v>8</v>
      </c>
    </row>
    <row r="9" spans="1:3">
      <c r="A9" s="6" t="s">
        <v>1955</v>
      </c>
      <c r="B9" s="6">
        <f t="shared" si="0"/>
        <v>9</v>
      </c>
      <c r="C9" s="6">
        <f t="shared" si="1"/>
        <v>9</v>
      </c>
    </row>
    <row r="10" spans="1:3">
      <c r="A10" s="6" t="s">
        <v>1491</v>
      </c>
      <c r="B10" s="6">
        <f t="shared" si="0"/>
        <v>10</v>
      </c>
      <c r="C10" s="6">
        <f t="shared" si="1"/>
        <v>10</v>
      </c>
    </row>
    <row r="11" spans="1:3">
      <c r="A11" s="6" t="s">
        <v>1492</v>
      </c>
      <c r="B11" s="6">
        <f t="shared" si="0"/>
        <v>10</v>
      </c>
      <c r="C11" s="6">
        <f t="shared" si="1"/>
        <v>11</v>
      </c>
    </row>
    <row r="12" spans="1:3">
      <c r="A12" s="6" t="s">
        <v>1858</v>
      </c>
      <c r="B12" s="6">
        <f t="shared" si="0"/>
        <v>10</v>
      </c>
      <c r="C12" s="6">
        <f t="shared" si="1"/>
        <v>12</v>
      </c>
    </row>
    <row r="13" spans="1:3">
      <c r="A13" s="6" t="s">
        <v>1956</v>
      </c>
      <c r="B13" s="6">
        <f t="shared" si="0"/>
        <v>10</v>
      </c>
      <c r="C13" s="6">
        <f t="shared" si="1"/>
        <v>13</v>
      </c>
    </row>
    <row r="14" spans="1:3">
      <c r="A14" s="6" t="s">
        <v>1493</v>
      </c>
      <c r="B14" s="6">
        <f t="shared" si="0"/>
        <v>10</v>
      </c>
      <c r="C14" s="6">
        <f t="shared" si="1"/>
        <v>14</v>
      </c>
    </row>
    <row r="15" spans="1:3">
      <c r="A15" s="6" t="s">
        <v>1859</v>
      </c>
      <c r="B15" s="6">
        <f t="shared" si="0"/>
        <v>10</v>
      </c>
      <c r="C15" s="6">
        <f t="shared" si="1"/>
        <v>15</v>
      </c>
    </row>
    <row r="16" spans="1:3">
      <c r="A16" s="6" t="s">
        <v>1957</v>
      </c>
      <c r="B16" s="6">
        <f t="shared" si="0"/>
        <v>10</v>
      </c>
      <c r="C16" s="6">
        <f t="shared" si="1"/>
        <v>16</v>
      </c>
    </row>
    <row r="17" spans="1:3">
      <c r="A17" s="6" t="s">
        <v>1494</v>
      </c>
      <c r="B17" s="6">
        <f t="shared" si="0"/>
        <v>10</v>
      </c>
      <c r="C17" s="6">
        <f t="shared" si="1"/>
        <v>17</v>
      </c>
    </row>
    <row r="18" spans="1:3">
      <c r="A18" s="6" t="s">
        <v>1495</v>
      </c>
      <c r="B18" s="6">
        <f t="shared" si="0"/>
        <v>10</v>
      </c>
      <c r="C18" s="6">
        <f t="shared" si="1"/>
        <v>18</v>
      </c>
    </row>
    <row r="19" spans="1:3">
      <c r="A19" s="6" t="s">
        <v>1496</v>
      </c>
      <c r="B19" s="6">
        <f t="shared" si="0"/>
        <v>10</v>
      </c>
      <c r="C19" s="6">
        <f t="shared" si="1"/>
        <v>19</v>
      </c>
    </row>
    <row r="20" spans="1:3">
      <c r="A20" s="6" t="s">
        <v>1497</v>
      </c>
      <c r="B20" s="6">
        <f t="shared" si="0"/>
        <v>10</v>
      </c>
      <c r="C20" s="6">
        <f t="shared" si="1"/>
        <v>20</v>
      </c>
    </row>
    <row r="21" spans="1:3">
      <c r="A21" s="6" t="s">
        <v>1498</v>
      </c>
      <c r="B21" s="6">
        <f t="shared" si="0"/>
        <v>10</v>
      </c>
      <c r="C21" s="6">
        <f t="shared" si="1"/>
        <v>21</v>
      </c>
    </row>
    <row r="22" spans="1:3">
      <c r="A22" s="6" t="s">
        <v>1860</v>
      </c>
      <c r="B22" s="6">
        <f t="shared" si="0"/>
        <v>10</v>
      </c>
      <c r="C22" s="6">
        <f t="shared" si="1"/>
        <v>22</v>
      </c>
    </row>
    <row r="23" spans="1:3">
      <c r="A23" s="6" t="s">
        <v>1958</v>
      </c>
      <c r="B23" s="6">
        <f t="shared" si="0"/>
        <v>10</v>
      </c>
      <c r="C23" s="6">
        <f t="shared" si="1"/>
        <v>23</v>
      </c>
    </row>
    <row r="24" spans="1:3">
      <c r="A24" s="6" t="s">
        <v>1499</v>
      </c>
      <c r="B24" s="6">
        <f t="shared" si="0"/>
        <v>10</v>
      </c>
      <c r="C24" s="6">
        <f t="shared" si="1"/>
        <v>24</v>
      </c>
    </row>
    <row r="25" spans="1:3">
      <c r="A25" s="6" t="s">
        <v>1500</v>
      </c>
      <c r="B25" s="6">
        <f t="shared" si="0"/>
        <v>10</v>
      </c>
      <c r="C25" s="6">
        <f t="shared" si="1"/>
        <v>25</v>
      </c>
    </row>
    <row r="26" spans="1:3">
      <c r="A26" s="6" t="s">
        <v>1501</v>
      </c>
      <c r="B26" s="6">
        <f t="shared" si="0"/>
        <v>10</v>
      </c>
      <c r="C26" s="6">
        <f t="shared" si="1"/>
        <v>26</v>
      </c>
    </row>
    <row r="27" spans="1:3">
      <c r="A27" s="6" t="s">
        <v>1502</v>
      </c>
      <c r="B27" s="6">
        <f t="shared" si="0"/>
        <v>10</v>
      </c>
      <c r="C27" s="6">
        <f t="shared" si="1"/>
        <v>27</v>
      </c>
    </row>
    <row r="28" spans="1:3">
      <c r="A28" s="6" t="s">
        <v>1503</v>
      </c>
      <c r="B28" s="6">
        <f t="shared" si="0"/>
        <v>10</v>
      </c>
      <c r="C28" s="6">
        <f t="shared" si="1"/>
        <v>28</v>
      </c>
    </row>
    <row r="29" spans="1:3">
      <c r="A29" s="6" t="s">
        <v>1504</v>
      </c>
      <c r="B29" s="6">
        <f t="shared" si="0"/>
        <v>10</v>
      </c>
      <c r="C29" s="6">
        <f t="shared" si="1"/>
        <v>29</v>
      </c>
    </row>
    <row r="30" spans="1:3">
      <c r="A30" s="6" t="s">
        <v>1505</v>
      </c>
      <c r="B30" s="6">
        <f t="shared" si="0"/>
        <v>10</v>
      </c>
      <c r="C30" s="6">
        <f t="shared" si="1"/>
        <v>30</v>
      </c>
    </row>
    <row r="31" spans="1:3">
      <c r="A31" s="6" t="s">
        <v>1861</v>
      </c>
      <c r="B31" s="6">
        <f t="shared" si="0"/>
        <v>10</v>
      </c>
      <c r="C31" s="6">
        <f t="shared" si="1"/>
        <v>31</v>
      </c>
    </row>
    <row r="32" spans="1:3">
      <c r="A32" s="6" t="s">
        <v>1959</v>
      </c>
      <c r="B32" s="6">
        <f t="shared" si="0"/>
        <v>10</v>
      </c>
      <c r="C32" s="6">
        <f t="shared" si="1"/>
        <v>32</v>
      </c>
    </row>
    <row r="33" spans="1:3">
      <c r="A33" s="6" t="s">
        <v>1862</v>
      </c>
      <c r="B33" s="6">
        <f t="shared" si="0"/>
        <v>10</v>
      </c>
      <c r="C33" s="6">
        <f t="shared" si="1"/>
        <v>33</v>
      </c>
    </row>
    <row r="34" spans="1:3">
      <c r="A34" s="6" t="s">
        <v>1960</v>
      </c>
      <c r="B34" s="6">
        <f t="shared" si="0"/>
        <v>10</v>
      </c>
      <c r="C34" s="6">
        <f t="shared" si="1"/>
        <v>34</v>
      </c>
    </row>
    <row r="35" spans="1:3">
      <c r="A35" s="6" t="s">
        <v>1506</v>
      </c>
      <c r="B35" s="6">
        <f t="shared" si="0"/>
        <v>10</v>
      </c>
      <c r="C35" s="6">
        <f t="shared" si="1"/>
        <v>35</v>
      </c>
    </row>
    <row r="36" spans="1:3">
      <c r="A36" s="6" t="s">
        <v>1507</v>
      </c>
      <c r="B36" s="6">
        <f t="shared" si="0"/>
        <v>10</v>
      </c>
      <c r="C36" s="6">
        <f t="shared" si="1"/>
        <v>36</v>
      </c>
    </row>
    <row r="37" spans="1:3">
      <c r="A37" s="6" t="s">
        <v>1508</v>
      </c>
      <c r="B37" s="6">
        <f t="shared" si="0"/>
        <v>10</v>
      </c>
      <c r="C37" s="6">
        <f t="shared" si="1"/>
        <v>37</v>
      </c>
    </row>
    <row r="38" spans="1:3">
      <c r="A38" s="6" t="s">
        <v>1509</v>
      </c>
      <c r="B38" s="6">
        <f t="shared" si="0"/>
        <v>10</v>
      </c>
      <c r="C38" s="6">
        <f t="shared" si="1"/>
        <v>38</v>
      </c>
    </row>
    <row r="39" spans="1:3">
      <c r="A39" s="6" t="s">
        <v>1510</v>
      </c>
      <c r="B39" s="6">
        <f t="shared" si="0"/>
        <v>10</v>
      </c>
      <c r="C39" s="6">
        <f t="shared" si="1"/>
        <v>39</v>
      </c>
    </row>
    <row r="40" spans="1:3">
      <c r="A40" s="6" t="s">
        <v>1511</v>
      </c>
      <c r="B40" s="6">
        <f t="shared" si="0"/>
        <v>10</v>
      </c>
      <c r="C40" s="6">
        <f t="shared" si="1"/>
        <v>40</v>
      </c>
    </row>
    <row r="41" spans="1:3">
      <c r="A41" s="6" t="s">
        <v>1863</v>
      </c>
      <c r="B41" s="6">
        <f t="shared" si="0"/>
        <v>10</v>
      </c>
      <c r="C41" s="6">
        <f t="shared" si="1"/>
        <v>41</v>
      </c>
    </row>
    <row r="42" spans="1:3">
      <c r="A42" s="6" t="s">
        <v>1961</v>
      </c>
      <c r="B42" s="6">
        <f t="shared" si="0"/>
        <v>10</v>
      </c>
      <c r="C42" s="6">
        <f t="shared" si="1"/>
        <v>42</v>
      </c>
    </row>
    <row r="43" spans="1:3">
      <c r="A43" s="6" t="s">
        <v>1512</v>
      </c>
      <c r="B43" s="6">
        <f t="shared" si="0"/>
        <v>10</v>
      </c>
      <c r="C43" s="6">
        <f t="shared" si="1"/>
        <v>43</v>
      </c>
    </row>
    <row r="44" spans="1:3">
      <c r="A44" s="6" t="s">
        <v>1513</v>
      </c>
      <c r="B44" s="6">
        <f t="shared" si="0"/>
        <v>10</v>
      </c>
      <c r="C44" s="6">
        <f t="shared" si="1"/>
        <v>44</v>
      </c>
    </row>
    <row r="45" spans="1:3">
      <c r="A45" s="6" t="s">
        <v>1514</v>
      </c>
      <c r="B45" s="6">
        <f t="shared" si="0"/>
        <v>10</v>
      </c>
      <c r="C45" s="6">
        <f t="shared" si="1"/>
        <v>45</v>
      </c>
    </row>
    <row r="46" spans="1:3">
      <c r="A46" s="6" t="s">
        <v>1515</v>
      </c>
      <c r="B46" s="6">
        <f t="shared" si="0"/>
        <v>10</v>
      </c>
      <c r="C46" s="6">
        <f t="shared" si="1"/>
        <v>46</v>
      </c>
    </row>
    <row r="47" spans="1:3">
      <c r="A47" s="6" t="s">
        <v>1516</v>
      </c>
      <c r="B47" s="6">
        <f t="shared" si="0"/>
        <v>10</v>
      </c>
      <c r="C47" s="6">
        <f t="shared" si="1"/>
        <v>47</v>
      </c>
    </row>
    <row r="48" spans="1:3">
      <c r="A48" s="6" t="s">
        <v>1517</v>
      </c>
      <c r="B48" s="6">
        <f t="shared" si="0"/>
        <v>10</v>
      </c>
      <c r="C48" s="6">
        <f t="shared" si="1"/>
        <v>48</v>
      </c>
    </row>
    <row r="49" spans="1:3">
      <c r="A49" s="6" t="s">
        <v>1518</v>
      </c>
      <c r="B49" s="6">
        <f t="shared" si="0"/>
        <v>10</v>
      </c>
      <c r="C49" s="6">
        <f t="shared" si="1"/>
        <v>49</v>
      </c>
    </row>
    <row r="50" spans="1:3">
      <c r="A50" s="6" t="s">
        <v>1519</v>
      </c>
      <c r="B50" s="6">
        <f t="shared" si="0"/>
        <v>10</v>
      </c>
      <c r="C50" s="6">
        <f t="shared" si="1"/>
        <v>50</v>
      </c>
    </row>
    <row r="51" spans="1:3">
      <c r="A51" s="6" t="s">
        <v>1520</v>
      </c>
      <c r="B51" s="6">
        <f t="shared" si="0"/>
        <v>10</v>
      </c>
      <c r="C51" s="6">
        <f t="shared" si="1"/>
        <v>51</v>
      </c>
    </row>
    <row r="52" spans="1:3">
      <c r="A52" s="6" t="s">
        <v>1521</v>
      </c>
      <c r="B52" s="6">
        <f t="shared" si="0"/>
        <v>10</v>
      </c>
      <c r="C52" s="6">
        <f t="shared" si="1"/>
        <v>52</v>
      </c>
    </row>
    <row r="53" spans="1:3">
      <c r="A53" s="6" t="s">
        <v>1522</v>
      </c>
      <c r="B53" s="6">
        <f t="shared" si="0"/>
        <v>10</v>
      </c>
      <c r="C53" s="6">
        <f t="shared" si="1"/>
        <v>53</v>
      </c>
    </row>
    <row r="54" spans="1:3">
      <c r="A54" s="6" t="s">
        <v>1523</v>
      </c>
      <c r="B54" s="6">
        <f t="shared" si="0"/>
        <v>10</v>
      </c>
      <c r="C54" s="6">
        <f t="shared" si="1"/>
        <v>54</v>
      </c>
    </row>
    <row r="55" spans="1:3">
      <c r="A55" s="6" t="s">
        <v>1524</v>
      </c>
      <c r="B55" s="6">
        <f t="shared" si="0"/>
        <v>10</v>
      </c>
      <c r="C55" s="6">
        <f t="shared" si="1"/>
        <v>55</v>
      </c>
    </row>
    <row r="56" spans="1:3">
      <c r="A56" s="6" t="s">
        <v>1864</v>
      </c>
      <c r="B56" s="6">
        <f t="shared" si="0"/>
        <v>10</v>
      </c>
      <c r="C56" s="6">
        <f t="shared" si="1"/>
        <v>56</v>
      </c>
    </row>
    <row r="57" spans="1:3">
      <c r="A57" s="6" t="s">
        <v>1962</v>
      </c>
      <c r="B57" s="6">
        <f t="shared" si="0"/>
        <v>10</v>
      </c>
      <c r="C57" s="6">
        <f t="shared" si="1"/>
        <v>57</v>
      </c>
    </row>
    <row r="58" spans="1:3">
      <c r="A58" s="6" t="s">
        <v>1525</v>
      </c>
      <c r="B58" s="6">
        <f t="shared" si="0"/>
        <v>10</v>
      </c>
      <c r="C58" s="6">
        <f t="shared" si="1"/>
        <v>58</v>
      </c>
    </row>
    <row r="59" spans="1:3">
      <c r="A59" s="6" t="s">
        <v>1526</v>
      </c>
      <c r="B59" s="6">
        <f t="shared" si="0"/>
        <v>10</v>
      </c>
      <c r="C59" s="6">
        <f t="shared" si="1"/>
        <v>59</v>
      </c>
    </row>
    <row r="60" spans="1:3">
      <c r="A60" s="6" t="s">
        <v>1527</v>
      </c>
      <c r="B60" s="6">
        <f t="shared" si="0"/>
        <v>10</v>
      </c>
      <c r="C60" s="6">
        <f t="shared" si="1"/>
        <v>60</v>
      </c>
    </row>
    <row r="61" spans="1:3">
      <c r="A61" s="6" t="s">
        <v>1528</v>
      </c>
      <c r="B61" s="6">
        <f t="shared" si="0"/>
        <v>10</v>
      </c>
      <c r="C61" s="6">
        <f t="shared" si="1"/>
        <v>61</v>
      </c>
    </row>
    <row r="62" spans="1:3">
      <c r="A62" s="6" t="s">
        <v>1529</v>
      </c>
      <c r="B62" s="6">
        <f t="shared" si="0"/>
        <v>10</v>
      </c>
      <c r="C62" s="6">
        <f t="shared" si="1"/>
        <v>62</v>
      </c>
    </row>
    <row r="63" spans="1:3">
      <c r="A63" s="6" t="s">
        <v>1530</v>
      </c>
      <c r="B63" s="6">
        <f t="shared" si="0"/>
        <v>10</v>
      </c>
      <c r="C63" s="6">
        <f t="shared" si="1"/>
        <v>63</v>
      </c>
    </row>
    <row r="64" spans="1:3">
      <c r="A64" s="6" t="s">
        <v>1531</v>
      </c>
      <c r="B64" s="6">
        <f t="shared" si="0"/>
        <v>10</v>
      </c>
      <c r="C64" s="6">
        <f t="shared" si="1"/>
        <v>64</v>
      </c>
    </row>
    <row r="65" spans="1:3">
      <c r="A65" s="6" t="s">
        <v>1532</v>
      </c>
      <c r="B65" s="6">
        <f t="shared" ref="B65:B128" si="2">FIND(",",A65)</f>
        <v>10</v>
      </c>
      <c r="C65" s="6">
        <f t="shared" ref="C65:C128" si="3">MID(A65,8,B65-8)*1</f>
        <v>65</v>
      </c>
    </row>
    <row r="66" spans="1:3">
      <c r="A66" s="6" t="s">
        <v>1533</v>
      </c>
      <c r="B66" s="6">
        <f t="shared" si="2"/>
        <v>10</v>
      </c>
      <c r="C66" s="6">
        <f t="shared" si="3"/>
        <v>66</v>
      </c>
    </row>
    <row r="67" spans="1:3">
      <c r="A67" s="6" t="s">
        <v>1534</v>
      </c>
      <c r="B67" s="6">
        <f t="shared" si="2"/>
        <v>10</v>
      </c>
      <c r="C67" s="6">
        <f t="shared" si="3"/>
        <v>67</v>
      </c>
    </row>
    <row r="68" spans="1:3">
      <c r="A68" s="6" t="s">
        <v>1535</v>
      </c>
      <c r="B68" s="6">
        <f t="shared" si="2"/>
        <v>10</v>
      </c>
      <c r="C68" s="6">
        <f t="shared" si="3"/>
        <v>68</v>
      </c>
    </row>
    <row r="69" spans="1:3">
      <c r="A69" s="6" t="s">
        <v>1536</v>
      </c>
      <c r="B69" s="6">
        <f t="shared" si="2"/>
        <v>10</v>
      </c>
      <c r="C69" s="6">
        <f t="shared" si="3"/>
        <v>69</v>
      </c>
    </row>
    <row r="70" spans="1:3">
      <c r="A70" s="6" t="s">
        <v>1537</v>
      </c>
      <c r="B70" s="6">
        <f t="shared" si="2"/>
        <v>10</v>
      </c>
      <c r="C70" s="6">
        <f t="shared" si="3"/>
        <v>70</v>
      </c>
    </row>
    <row r="71" spans="1:3">
      <c r="A71" s="6" t="s">
        <v>1538</v>
      </c>
      <c r="B71" s="6">
        <f t="shared" si="2"/>
        <v>10</v>
      </c>
      <c r="C71" s="6">
        <f t="shared" si="3"/>
        <v>71</v>
      </c>
    </row>
    <row r="72" spans="1:3">
      <c r="A72" s="6" t="s">
        <v>1539</v>
      </c>
      <c r="B72" s="6">
        <f t="shared" si="2"/>
        <v>10</v>
      </c>
      <c r="C72" s="6">
        <f t="shared" si="3"/>
        <v>72</v>
      </c>
    </row>
    <row r="73" spans="1:3">
      <c r="A73" s="6" t="s">
        <v>1540</v>
      </c>
      <c r="B73" s="6">
        <f t="shared" si="2"/>
        <v>10</v>
      </c>
      <c r="C73" s="6">
        <f t="shared" si="3"/>
        <v>73</v>
      </c>
    </row>
    <row r="74" spans="1:3">
      <c r="A74" s="6" t="s">
        <v>1541</v>
      </c>
      <c r="B74" s="6">
        <f t="shared" si="2"/>
        <v>10</v>
      </c>
      <c r="C74" s="6">
        <f t="shared" si="3"/>
        <v>74</v>
      </c>
    </row>
    <row r="75" spans="1:3">
      <c r="A75" s="6" t="s">
        <v>1542</v>
      </c>
      <c r="B75" s="6">
        <f t="shared" si="2"/>
        <v>10</v>
      </c>
      <c r="C75" s="6">
        <f t="shared" si="3"/>
        <v>75</v>
      </c>
    </row>
    <row r="76" spans="1:3">
      <c r="A76" s="6" t="s">
        <v>1543</v>
      </c>
      <c r="B76" s="6">
        <f t="shared" si="2"/>
        <v>10</v>
      </c>
      <c r="C76" s="6">
        <f t="shared" si="3"/>
        <v>76</v>
      </c>
    </row>
    <row r="77" spans="1:3">
      <c r="A77" s="6" t="s">
        <v>1544</v>
      </c>
      <c r="B77" s="6">
        <f t="shared" si="2"/>
        <v>10</v>
      </c>
      <c r="C77" s="6">
        <f t="shared" si="3"/>
        <v>77</v>
      </c>
    </row>
    <row r="78" spans="1:3">
      <c r="A78" s="6" t="s">
        <v>1545</v>
      </c>
      <c r="B78" s="6">
        <f t="shared" si="2"/>
        <v>10</v>
      </c>
      <c r="C78" s="6">
        <f t="shared" si="3"/>
        <v>78</v>
      </c>
    </row>
    <row r="79" spans="1:3">
      <c r="A79" s="6" t="s">
        <v>1546</v>
      </c>
      <c r="B79" s="6">
        <f t="shared" si="2"/>
        <v>10</v>
      </c>
      <c r="C79" s="6">
        <f t="shared" si="3"/>
        <v>79</v>
      </c>
    </row>
    <row r="80" spans="1:3">
      <c r="A80" s="6" t="s">
        <v>1547</v>
      </c>
      <c r="B80" s="6">
        <f t="shared" si="2"/>
        <v>10</v>
      </c>
      <c r="C80" s="6">
        <f t="shared" si="3"/>
        <v>80</v>
      </c>
    </row>
    <row r="81" spans="1:3">
      <c r="A81" s="6" t="s">
        <v>1548</v>
      </c>
      <c r="B81" s="6">
        <f t="shared" si="2"/>
        <v>10</v>
      </c>
      <c r="C81" s="6">
        <f t="shared" si="3"/>
        <v>81</v>
      </c>
    </row>
    <row r="82" spans="1:3">
      <c r="A82" s="6" t="s">
        <v>1549</v>
      </c>
      <c r="B82" s="6">
        <f t="shared" si="2"/>
        <v>10</v>
      </c>
      <c r="C82" s="6">
        <f t="shared" si="3"/>
        <v>82</v>
      </c>
    </row>
    <row r="83" spans="1:3">
      <c r="A83" s="6" t="s">
        <v>1550</v>
      </c>
      <c r="B83" s="6">
        <f t="shared" si="2"/>
        <v>10</v>
      </c>
      <c r="C83" s="6">
        <f t="shared" si="3"/>
        <v>83</v>
      </c>
    </row>
    <row r="84" spans="1:3">
      <c r="A84" s="6" t="s">
        <v>1551</v>
      </c>
      <c r="B84" s="6">
        <f t="shared" si="2"/>
        <v>10</v>
      </c>
      <c r="C84" s="6">
        <f t="shared" si="3"/>
        <v>84</v>
      </c>
    </row>
    <row r="85" spans="1:3">
      <c r="A85" s="6" t="s">
        <v>1552</v>
      </c>
      <c r="B85" s="6">
        <f t="shared" si="2"/>
        <v>10</v>
      </c>
      <c r="C85" s="6">
        <f t="shared" si="3"/>
        <v>85</v>
      </c>
    </row>
    <row r="86" spans="1:3">
      <c r="A86" s="6" t="s">
        <v>1553</v>
      </c>
      <c r="B86" s="6">
        <f t="shared" si="2"/>
        <v>10</v>
      </c>
      <c r="C86" s="6">
        <f t="shared" si="3"/>
        <v>86</v>
      </c>
    </row>
    <row r="87" spans="1:3">
      <c r="A87" s="6" t="s">
        <v>1554</v>
      </c>
      <c r="B87" s="6">
        <f t="shared" si="2"/>
        <v>10</v>
      </c>
      <c r="C87" s="6">
        <f t="shared" si="3"/>
        <v>87</v>
      </c>
    </row>
    <row r="88" spans="1:3">
      <c r="A88" s="6" t="s">
        <v>1555</v>
      </c>
      <c r="B88" s="6">
        <f t="shared" si="2"/>
        <v>10</v>
      </c>
      <c r="C88" s="6">
        <f t="shared" si="3"/>
        <v>88</v>
      </c>
    </row>
    <row r="89" spans="1:3">
      <c r="A89" s="6" t="s">
        <v>1556</v>
      </c>
      <c r="B89" s="6">
        <f t="shared" si="2"/>
        <v>10</v>
      </c>
      <c r="C89" s="6">
        <f t="shared" si="3"/>
        <v>89</v>
      </c>
    </row>
    <row r="90" spans="1:3">
      <c r="A90" s="6" t="s">
        <v>1557</v>
      </c>
      <c r="B90" s="6">
        <f t="shared" si="2"/>
        <v>10</v>
      </c>
      <c r="C90" s="6">
        <f t="shared" si="3"/>
        <v>90</v>
      </c>
    </row>
    <row r="91" spans="1:3">
      <c r="A91" s="6" t="s">
        <v>1558</v>
      </c>
      <c r="B91" s="6">
        <f t="shared" si="2"/>
        <v>10</v>
      </c>
      <c r="C91" s="6">
        <f t="shared" si="3"/>
        <v>91</v>
      </c>
    </row>
    <row r="92" spans="1:3">
      <c r="A92" s="6" t="s">
        <v>1559</v>
      </c>
      <c r="B92" s="6">
        <f t="shared" si="2"/>
        <v>10</v>
      </c>
      <c r="C92" s="6">
        <f t="shared" si="3"/>
        <v>92</v>
      </c>
    </row>
    <row r="93" spans="1:3">
      <c r="A93" s="6" t="s">
        <v>1560</v>
      </c>
      <c r="B93" s="6">
        <f t="shared" si="2"/>
        <v>10</v>
      </c>
      <c r="C93" s="6">
        <f t="shared" si="3"/>
        <v>93</v>
      </c>
    </row>
    <row r="94" spans="1:3">
      <c r="A94" s="6" t="s">
        <v>1561</v>
      </c>
      <c r="B94" s="6">
        <f t="shared" si="2"/>
        <v>10</v>
      </c>
      <c r="C94" s="6">
        <f t="shared" si="3"/>
        <v>94</v>
      </c>
    </row>
    <row r="95" spans="1:3">
      <c r="A95" s="6" t="s">
        <v>1562</v>
      </c>
      <c r="B95" s="6">
        <f t="shared" si="2"/>
        <v>10</v>
      </c>
      <c r="C95" s="6">
        <f t="shared" si="3"/>
        <v>95</v>
      </c>
    </row>
    <row r="96" spans="1:3">
      <c r="A96" s="6" t="s">
        <v>1563</v>
      </c>
      <c r="B96" s="6">
        <f t="shared" si="2"/>
        <v>10</v>
      </c>
      <c r="C96" s="6">
        <f t="shared" si="3"/>
        <v>96</v>
      </c>
    </row>
    <row r="97" spans="1:3">
      <c r="A97" s="6" t="s">
        <v>1564</v>
      </c>
      <c r="B97" s="6">
        <f t="shared" si="2"/>
        <v>10</v>
      </c>
      <c r="C97" s="6">
        <f t="shared" si="3"/>
        <v>97</v>
      </c>
    </row>
    <row r="98" spans="1:3">
      <c r="A98" s="6" t="s">
        <v>1865</v>
      </c>
      <c r="B98" s="6">
        <f t="shared" si="2"/>
        <v>10</v>
      </c>
      <c r="C98" s="6">
        <f t="shared" si="3"/>
        <v>98</v>
      </c>
    </row>
    <row r="99" spans="1:3">
      <c r="A99" s="6" t="s">
        <v>1963</v>
      </c>
      <c r="B99" s="6">
        <f t="shared" si="2"/>
        <v>10</v>
      </c>
      <c r="C99" s="6">
        <f t="shared" si="3"/>
        <v>99</v>
      </c>
    </row>
    <row r="100" spans="1:3">
      <c r="A100" s="6" t="s">
        <v>1565</v>
      </c>
      <c r="B100" s="6">
        <f t="shared" si="2"/>
        <v>11</v>
      </c>
      <c r="C100" s="6">
        <f t="shared" si="3"/>
        <v>100</v>
      </c>
    </row>
    <row r="101" spans="1:3">
      <c r="A101" s="6" t="s">
        <v>1566</v>
      </c>
      <c r="B101" s="6">
        <f t="shared" si="2"/>
        <v>11</v>
      </c>
      <c r="C101" s="6">
        <f t="shared" si="3"/>
        <v>101</v>
      </c>
    </row>
    <row r="102" spans="1:3">
      <c r="A102" s="6" t="s">
        <v>1567</v>
      </c>
      <c r="B102" s="6">
        <f t="shared" si="2"/>
        <v>11</v>
      </c>
      <c r="C102" s="6">
        <f t="shared" si="3"/>
        <v>102</v>
      </c>
    </row>
    <row r="103" spans="1:3">
      <c r="A103" s="6" t="s">
        <v>1568</v>
      </c>
      <c r="B103" s="6">
        <f t="shared" si="2"/>
        <v>11</v>
      </c>
      <c r="C103" s="6">
        <f t="shared" si="3"/>
        <v>103</v>
      </c>
    </row>
    <row r="104" spans="1:3">
      <c r="A104" s="6" t="s">
        <v>1569</v>
      </c>
      <c r="B104" s="6">
        <f t="shared" si="2"/>
        <v>11</v>
      </c>
      <c r="C104" s="6">
        <f t="shared" si="3"/>
        <v>104</v>
      </c>
    </row>
    <row r="105" spans="1:3">
      <c r="A105" s="6" t="s">
        <v>1570</v>
      </c>
      <c r="B105" s="6">
        <f t="shared" si="2"/>
        <v>11</v>
      </c>
      <c r="C105" s="6">
        <f t="shared" si="3"/>
        <v>105</v>
      </c>
    </row>
    <row r="106" spans="1:3">
      <c r="A106" s="6" t="s">
        <v>1571</v>
      </c>
      <c r="B106" s="6">
        <f t="shared" si="2"/>
        <v>11</v>
      </c>
      <c r="C106" s="6">
        <f t="shared" si="3"/>
        <v>106</v>
      </c>
    </row>
    <row r="107" spans="1:3">
      <c r="A107" s="6" t="s">
        <v>1572</v>
      </c>
      <c r="B107" s="6">
        <f t="shared" si="2"/>
        <v>11</v>
      </c>
      <c r="C107" s="6">
        <f t="shared" si="3"/>
        <v>107</v>
      </c>
    </row>
    <row r="108" spans="1:3">
      <c r="A108" s="6" t="s">
        <v>1573</v>
      </c>
      <c r="B108" s="6">
        <f t="shared" si="2"/>
        <v>11</v>
      </c>
      <c r="C108" s="6">
        <f t="shared" si="3"/>
        <v>108</v>
      </c>
    </row>
    <row r="109" spans="1:3">
      <c r="A109" s="6" t="s">
        <v>1574</v>
      </c>
      <c r="B109" s="6">
        <f t="shared" si="2"/>
        <v>11</v>
      </c>
      <c r="C109" s="6">
        <f t="shared" si="3"/>
        <v>109</v>
      </c>
    </row>
    <row r="110" spans="1:3">
      <c r="A110" s="6" t="s">
        <v>1866</v>
      </c>
      <c r="B110" s="6">
        <f t="shared" si="2"/>
        <v>11</v>
      </c>
      <c r="C110" s="6">
        <f t="shared" si="3"/>
        <v>110</v>
      </c>
    </row>
    <row r="111" spans="1:3">
      <c r="A111" s="6" t="s">
        <v>1964</v>
      </c>
      <c r="B111" s="6">
        <f t="shared" si="2"/>
        <v>11</v>
      </c>
      <c r="C111" s="6">
        <f t="shared" si="3"/>
        <v>111</v>
      </c>
    </row>
    <row r="112" spans="1:3">
      <c r="A112" s="6" t="s">
        <v>1575</v>
      </c>
      <c r="B112" s="6">
        <f t="shared" si="2"/>
        <v>11</v>
      </c>
      <c r="C112" s="6">
        <f t="shared" si="3"/>
        <v>112</v>
      </c>
    </row>
    <row r="113" spans="1:3">
      <c r="A113" s="6" t="s">
        <v>1576</v>
      </c>
      <c r="B113" s="6">
        <f t="shared" si="2"/>
        <v>11</v>
      </c>
      <c r="C113" s="6">
        <f t="shared" si="3"/>
        <v>113</v>
      </c>
    </row>
    <row r="114" spans="1:3">
      <c r="A114" s="6" t="s">
        <v>1867</v>
      </c>
      <c r="B114" s="6">
        <f t="shared" si="2"/>
        <v>11</v>
      </c>
      <c r="C114" s="6">
        <f t="shared" si="3"/>
        <v>114</v>
      </c>
    </row>
    <row r="115" spans="1:3">
      <c r="A115" s="6" t="s">
        <v>1965</v>
      </c>
      <c r="B115" s="6">
        <f t="shared" si="2"/>
        <v>11</v>
      </c>
      <c r="C115" s="6">
        <f t="shared" si="3"/>
        <v>115</v>
      </c>
    </row>
    <row r="116" spans="1:3">
      <c r="A116" s="6" t="s">
        <v>1868</v>
      </c>
      <c r="B116" s="6">
        <f t="shared" si="2"/>
        <v>11</v>
      </c>
      <c r="C116" s="6">
        <f t="shared" si="3"/>
        <v>116</v>
      </c>
    </row>
    <row r="117" spans="1:3">
      <c r="A117" s="6" t="s">
        <v>1966</v>
      </c>
      <c r="B117" s="6">
        <f t="shared" si="2"/>
        <v>11</v>
      </c>
      <c r="C117" s="6">
        <f t="shared" si="3"/>
        <v>117</v>
      </c>
    </row>
    <row r="118" spans="1:3">
      <c r="A118" s="6" t="s">
        <v>1869</v>
      </c>
      <c r="B118" s="6">
        <f t="shared" si="2"/>
        <v>11</v>
      </c>
      <c r="C118" s="6">
        <f t="shared" si="3"/>
        <v>118</v>
      </c>
    </row>
    <row r="119" spans="1:3">
      <c r="A119" s="6" t="s">
        <v>1967</v>
      </c>
      <c r="B119" s="6">
        <f t="shared" si="2"/>
        <v>11</v>
      </c>
      <c r="C119" s="6">
        <f t="shared" si="3"/>
        <v>119</v>
      </c>
    </row>
    <row r="120" spans="1:3">
      <c r="A120" s="6" t="s">
        <v>1577</v>
      </c>
      <c r="B120" s="6">
        <f t="shared" si="2"/>
        <v>11</v>
      </c>
      <c r="C120" s="6">
        <f t="shared" si="3"/>
        <v>120</v>
      </c>
    </row>
    <row r="121" spans="1:3">
      <c r="A121" s="6" t="s">
        <v>1578</v>
      </c>
      <c r="B121" s="6">
        <f t="shared" si="2"/>
        <v>11</v>
      </c>
      <c r="C121" s="6">
        <f t="shared" si="3"/>
        <v>121</v>
      </c>
    </row>
    <row r="122" spans="1:3">
      <c r="A122" s="6" t="s">
        <v>1579</v>
      </c>
      <c r="B122" s="6">
        <f t="shared" si="2"/>
        <v>11</v>
      </c>
      <c r="C122" s="6">
        <f t="shared" si="3"/>
        <v>122</v>
      </c>
    </row>
    <row r="123" spans="1:3">
      <c r="A123" s="6" t="s">
        <v>1580</v>
      </c>
      <c r="B123" s="6">
        <f t="shared" si="2"/>
        <v>11</v>
      </c>
      <c r="C123" s="6">
        <f t="shared" si="3"/>
        <v>123</v>
      </c>
    </row>
    <row r="124" spans="1:3">
      <c r="A124" s="6" t="s">
        <v>1581</v>
      </c>
      <c r="B124" s="6">
        <f t="shared" si="2"/>
        <v>11</v>
      </c>
      <c r="C124" s="6">
        <f t="shared" si="3"/>
        <v>124</v>
      </c>
    </row>
    <row r="125" spans="1:3">
      <c r="A125" s="6" t="s">
        <v>1582</v>
      </c>
      <c r="B125" s="6">
        <f t="shared" si="2"/>
        <v>11</v>
      </c>
      <c r="C125" s="6">
        <f t="shared" si="3"/>
        <v>125</v>
      </c>
    </row>
    <row r="126" spans="1:3">
      <c r="A126" s="6" t="s">
        <v>1583</v>
      </c>
      <c r="B126" s="6">
        <f t="shared" si="2"/>
        <v>11</v>
      </c>
      <c r="C126" s="6">
        <f t="shared" si="3"/>
        <v>126</v>
      </c>
    </row>
    <row r="127" spans="1:3">
      <c r="A127" s="6" t="s">
        <v>1584</v>
      </c>
      <c r="B127" s="6">
        <f t="shared" si="2"/>
        <v>11</v>
      </c>
      <c r="C127" s="6">
        <f t="shared" si="3"/>
        <v>127</v>
      </c>
    </row>
    <row r="128" spans="1:3">
      <c r="A128" s="6" t="s">
        <v>1585</v>
      </c>
      <c r="B128" s="6">
        <f t="shared" si="2"/>
        <v>11</v>
      </c>
      <c r="C128" s="6">
        <f t="shared" si="3"/>
        <v>128</v>
      </c>
    </row>
    <row r="129" spans="1:3">
      <c r="A129" s="6" t="s">
        <v>1586</v>
      </c>
      <c r="B129" s="6">
        <f t="shared" ref="B129:B192" si="4">FIND(",",A129)</f>
        <v>11</v>
      </c>
      <c r="C129" s="6">
        <f t="shared" ref="C129:C192" si="5">MID(A129,8,B129-8)*1</f>
        <v>129</v>
      </c>
    </row>
    <row r="130" spans="1:3">
      <c r="A130" s="6" t="s">
        <v>1587</v>
      </c>
      <c r="B130" s="6">
        <f t="shared" si="4"/>
        <v>11</v>
      </c>
      <c r="C130" s="6">
        <f t="shared" si="5"/>
        <v>130</v>
      </c>
    </row>
    <row r="131" spans="1:3">
      <c r="A131" s="6" t="s">
        <v>1588</v>
      </c>
      <c r="B131" s="6">
        <f t="shared" si="4"/>
        <v>11</v>
      </c>
      <c r="C131" s="6">
        <f t="shared" si="5"/>
        <v>131</v>
      </c>
    </row>
    <row r="132" spans="1:3">
      <c r="A132" s="6" t="s">
        <v>1589</v>
      </c>
      <c r="B132" s="6">
        <f t="shared" si="4"/>
        <v>11</v>
      </c>
      <c r="C132" s="6">
        <f t="shared" si="5"/>
        <v>132</v>
      </c>
    </row>
    <row r="133" spans="1:3">
      <c r="A133" s="6" t="s">
        <v>1590</v>
      </c>
      <c r="B133" s="6">
        <f t="shared" si="4"/>
        <v>11</v>
      </c>
      <c r="C133" s="6">
        <f t="shared" si="5"/>
        <v>133</v>
      </c>
    </row>
    <row r="134" spans="1:3">
      <c r="A134" s="6" t="s">
        <v>1591</v>
      </c>
      <c r="B134" s="6">
        <f t="shared" si="4"/>
        <v>11</v>
      </c>
      <c r="C134" s="6">
        <f t="shared" si="5"/>
        <v>134</v>
      </c>
    </row>
    <row r="135" spans="1:3">
      <c r="A135" s="6" t="s">
        <v>1592</v>
      </c>
      <c r="B135" s="6">
        <f t="shared" si="4"/>
        <v>11</v>
      </c>
      <c r="C135" s="6">
        <f t="shared" si="5"/>
        <v>135</v>
      </c>
    </row>
    <row r="136" spans="1:3">
      <c r="A136" s="6" t="s">
        <v>1593</v>
      </c>
      <c r="B136" s="6">
        <f t="shared" si="4"/>
        <v>11</v>
      </c>
      <c r="C136" s="6">
        <f t="shared" si="5"/>
        <v>136</v>
      </c>
    </row>
    <row r="137" spans="1:3">
      <c r="A137" s="6" t="s">
        <v>1594</v>
      </c>
      <c r="B137" s="6">
        <f t="shared" si="4"/>
        <v>11</v>
      </c>
      <c r="C137" s="6">
        <f t="shared" si="5"/>
        <v>137</v>
      </c>
    </row>
    <row r="138" spans="1:3">
      <c r="A138" s="6" t="s">
        <v>1595</v>
      </c>
      <c r="B138" s="6">
        <f t="shared" si="4"/>
        <v>11</v>
      </c>
      <c r="C138" s="6">
        <f t="shared" si="5"/>
        <v>138</v>
      </c>
    </row>
    <row r="139" spans="1:3">
      <c r="A139" s="6" t="s">
        <v>1596</v>
      </c>
      <c r="B139" s="6">
        <f t="shared" si="4"/>
        <v>11</v>
      </c>
      <c r="C139" s="6">
        <f t="shared" si="5"/>
        <v>139</v>
      </c>
    </row>
    <row r="140" spans="1:3">
      <c r="A140" s="6" t="s">
        <v>1597</v>
      </c>
      <c r="B140" s="6">
        <f t="shared" si="4"/>
        <v>11</v>
      </c>
      <c r="C140" s="6">
        <f t="shared" si="5"/>
        <v>140</v>
      </c>
    </row>
    <row r="141" spans="1:3">
      <c r="A141" s="6" t="s">
        <v>1598</v>
      </c>
      <c r="B141" s="6">
        <f t="shared" si="4"/>
        <v>11</v>
      </c>
      <c r="C141" s="6">
        <f t="shared" si="5"/>
        <v>141</v>
      </c>
    </row>
    <row r="142" spans="1:3">
      <c r="A142" s="6" t="s">
        <v>1599</v>
      </c>
      <c r="B142" s="6">
        <f t="shared" si="4"/>
        <v>11</v>
      </c>
      <c r="C142" s="6">
        <f t="shared" si="5"/>
        <v>142</v>
      </c>
    </row>
    <row r="143" spans="1:3">
      <c r="A143" s="6" t="s">
        <v>1600</v>
      </c>
      <c r="B143" s="6">
        <f t="shared" si="4"/>
        <v>11</v>
      </c>
      <c r="C143" s="6">
        <f t="shared" si="5"/>
        <v>143</v>
      </c>
    </row>
    <row r="144" spans="1:3">
      <c r="A144" s="6" t="s">
        <v>1601</v>
      </c>
      <c r="B144" s="6">
        <f t="shared" si="4"/>
        <v>11</v>
      </c>
      <c r="C144" s="6">
        <f t="shared" si="5"/>
        <v>144</v>
      </c>
    </row>
    <row r="145" spans="1:3">
      <c r="A145" s="6" t="s">
        <v>1602</v>
      </c>
      <c r="B145" s="6">
        <f t="shared" si="4"/>
        <v>11</v>
      </c>
      <c r="C145" s="6">
        <f t="shared" si="5"/>
        <v>145</v>
      </c>
    </row>
    <row r="146" spans="1:3">
      <c r="A146" s="6" t="s">
        <v>1603</v>
      </c>
      <c r="B146" s="6">
        <f t="shared" si="4"/>
        <v>11</v>
      </c>
      <c r="C146" s="6">
        <f t="shared" si="5"/>
        <v>146</v>
      </c>
    </row>
    <row r="147" spans="1:3">
      <c r="A147" s="6" t="s">
        <v>1604</v>
      </c>
      <c r="B147" s="6">
        <f t="shared" si="4"/>
        <v>11</v>
      </c>
      <c r="C147" s="6">
        <f t="shared" si="5"/>
        <v>147</v>
      </c>
    </row>
    <row r="148" spans="1:3">
      <c r="A148" s="6" t="s">
        <v>1605</v>
      </c>
      <c r="B148" s="6">
        <f t="shared" si="4"/>
        <v>11</v>
      </c>
      <c r="C148" s="6">
        <f t="shared" si="5"/>
        <v>148</v>
      </c>
    </row>
    <row r="149" spans="1:3">
      <c r="A149" s="6" t="s">
        <v>1606</v>
      </c>
      <c r="B149" s="6">
        <f t="shared" si="4"/>
        <v>11</v>
      </c>
      <c r="C149" s="6">
        <f t="shared" si="5"/>
        <v>149</v>
      </c>
    </row>
    <row r="150" spans="1:3">
      <c r="A150" s="6" t="s">
        <v>1607</v>
      </c>
      <c r="B150" s="6">
        <f t="shared" si="4"/>
        <v>11</v>
      </c>
      <c r="C150" s="6">
        <f t="shared" si="5"/>
        <v>150</v>
      </c>
    </row>
    <row r="151" spans="1:3">
      <c r="A151" s="6" t="s">
        <v>1608</v>
      </c>
      <c r="B151" s="6">
        <f t="shared" si="4"/>
        <v>11</v>
      </c>
      <c r="C151" s="6">
        <f t="shared" si="5"/>
        <v>151</v>
      </c>
    </row>
    <row r="152" spans="1:3">
      <c r="A152" s="6" t="s">
        <v>1609</v>
      </c>
      <c r="B152" s="6">
        <f t="shared" si="4"/>
        <v>11</v>
      </c>
      <c r="C152" s="6">
        <f t="shared" si="5"/>
        <v>152</v>
      </c>
    </row>
    <row r="153" spans="1:3">
      <c r="A153" s="6" t="s">
        <v>1610</v>
      </c>
      <c r="B153" s="6">
        <f t="shared" si="4"/>
        <v>11</v>
      </c>
      <c r="C153" s="6">
        <f t="shared" si="5"/>
        <v>153</v>
      </c>
    </row>
    <row r="154" spans="1:3">
      <c r="A154" s="6" t="s">
        <v>1870</v>
      </c>
      <c r="B154" s="6">
        <f t="shared" si="4"/>
        <v>11</v>
      </c>
      <c r="C154" s="6">
        <f t="shared" si="5"/>
        <v>154</v>
      </c>
    </row>
    <row r="155" spans="1:3">
      <c r="A155" s="6" t="s">
        <v>1968</v>
      </c>
      <c r="B155" s="6">
        <f t="shared" si="4"/>
        <v>11</v>
      </c>
      <c r="C155" s="6">
        <f t="shared" si="5"/>
        <v>155</v>
      </c>
    </row>
    <row r="156" spans="1:3">
      <c r="A156" s="6" t="s">
        <v>1611</v>
      </c>
      <c r="B156" s="6">
        <f t="shared" si="4"/>
        <v>11</v>
      </c>
      <c r="C156" s="6">
        <f t="shared" si="5"/>
        <v>156</v>
      </c>
    </row>
    <row r="157" spans="1:3">
      <c r="A157" s="6" t="s">
        <v>1612</v>
      </c>
      <c r="B157" s="6">
        <f t="shared" si="4"/>
        <v>11</v>
      </c>
      <c r="C157" s="6">
        <f t="shared" si="5"/>
        <v>157</v>
      </c>
    </row>
    <row r="158" spans="1:3">
      <c r="A158" s="6" t="s">
        <v>1613</v>
      </c>
      <c r="B158" s="6">
        <f t="shared" si="4"/>
        <v>11</v>
      </c>
      <c r="C158" s="6">
        <f t="shared" si="5"/>
        <v>158</v>
      </c>
    </row>
    <row r="159" spans="1:3">
      <c r="A159" s="6" t="s">
        <v>1614</v>
      </c>
      <c r="B159" s="6">
        <f t="shared" si="4"/>
        <v>11</v>
      </c>
      <c r="C159" s="6">
        <f t="shared" si="5"/>
        <v>159</v>
      </c>
    </row>
    <row r="160" spans="1:3">
      <c r="A160" s="6" t="s">
        <v>1615</v>
      </c>
      <c r="B160" s="6">
        <f t="shared" si="4"/>
        <v>11</v>
      </c>
      <c r="C160" s="6">
        <f t="shared" si="5"/>
        <v>160</v>
      </c>
    </row>
    <row r="161" spans="1:3">
      <c r="A161" s="6" t="s">
        <v>1616</v>
      </c>
      <c r="B161" s="6">
        <f t="shared" si="4"/>
        <v>11</v>
      </c>
      <c r="C161" s="6">
        <f t="shared" si="5"/>
        <v>161</v>
      </c>
    </row>
    <row r="162" spans="1:3">
      <c r="A162" s="6" t="s">
        <v>1871</v>
      </c>
      <c r="B162" s="6">
        <f t="shared" si="4"/>
        <v>11</v>
      </c>
      <c r="C162" s="6">
        <f t="shared" si="5"/>
        <v>162</v>
      </c>
    </row>
    <row r="163" spans="1:3">
      <c r="A163" s="6" t="s">
        <v>1969</v>
      </c>
      <c r="B163" s="6">
        <f t="shared" si="4"/>
        <v>11</v>
      </c>
      <c r="C163" s="6">
        <f t="shared" si="5"/>
        <v>163</v>
      </c>
    </row>
    <row r="164" spans="1:3">
      <c r="A164" s="6" t="s">
        <v>1872</v>
      </c>
      <c r="B164" s="6">
        <f t="shared" si="4"/>
        <v>11</v>
      </c>
      <c r="C164" s="6">
        <f t="shared" si="5"/>
        <v>164</v>
      </c>
    </row>
    <row r="165" spans="1:3">
      <c r="A165" s="6" t="s">
        <v>1970</v>
      </c>
      <c r="B165" s="6">
        <f t="shared" si="4"/>
        <v>11</v>
      </c>
      <c r="C165" s="6">
        <f t="shared" si="5"/>
        <v>165</v>
      </c>
    </row>
    <row r="166" spans="1:3">
      <c r="A166" s="6" t="s">
        <v>1617</v>
      </c>
      <c r="B166" s="6">
        <f t="shared" si="4"/>
        <v>11</v>
      </c>
      <c r="C166" s="6">
        <f t="shared" si="5"/>
        <v>166</v>
      </c>
    </row>
    <row r="167" spans="1:3">
      <c r="A167" s="6" t="s">
        <v>1618</v>
      </c>
      <c r="B167" s="6">
        <f t="shared" si="4"/>
        <v>11</v>
      </c>
      <c r="C167" s="6">
        <f t="shared" si="5"/>
        <v>167</v>
      </c>
    </row>
    <row r="168" spans="1:3">
      <c r="A168" s="6" t="s">
        <v>1619</v>
      </c>
      <c r="B168" s="6">
        <f t="shared" si="4"/>
        <v>11</v>
      </c>
      <c r="C168" s="6">
        <f t="shared" si="5"/>
        <v>168</v>
      </c>
    </row>
    <row r="169" spans="1:3">
      <c r="A169" s="6" t="s">
        <v>1873</v>
      </c>
      <c r="B169" s="6">
        <f t="shared" si="4"/>
        <v>11</v>
      </c>
      <c r="C169" s="6">
        <f t="shared" si="5"/>
        <v>169</v>
      </c>
    </row>
    <row r="170" spans="1:3">
      <c r="A170" s="6" t="s">
        <v>1971</v>
      </c>
      <c r="B170" s="6">
        <f t="shared" si="4"/>
        <v>11</v>
      </c>
      <c r="C170" s="6">
        <f t="shared" si="5"/>
        <v>170</v>
      </c>
    </row>
    <row r="171" spans="1:3">
      <c r="A171" s="6" t="s">
        <v>1874</v>
      </c>
      <c r="B171" s="6">
        <f t="shared" si="4"/>
        <v>11</v>
      </c>
      <c r="C171" s="6">
        <f t="shared" si="5"/>
        <v>171</v>
      </c>
    </row>
    <row r="172" spans="1:3">
      <c r="A172" s="6" t="s">
        <v>1972</v>
      </c>
      <c r="B172" s="6">
        <f t="shared" si="4"/>
        <v>11</v>
      </c>
      <c r="C172" s="6">
        <f t="shared" si="5"/>
        <v>172</v>
      </c>
    </row>
    <row r="173" spans="1:3">
      <c r="A173" s="6" t="s">
        <v>1875</v>
      </c>
      <c r="B173" s="6">
        <f t="shared" si="4"/>
        <v>11</v>
      </c>
      <c r="C173" s="6">
        <f t="shared" si="5"/>
        <v>173</v>
      </c>
    </row>
    <row r="174" spans="1:3">
      <c r="A174" s="6" t="s">
        <v>1973</v>
      </c>
      <c r="B174" s="6">
        <f t="shared" si="4"/>
        <v>11</v>
      </c>
      <c r="C174" s="6">
        <f t="shared" si="5"/>
        <v>174</v>
      </c>
    </row>
    <row r="175" spans="1:3">
      <c r="A175" s="6" t="s">
        <v>1620</v>
      </c>
      <c r="B175" s="6">
        <f t="shared" si="4"/>
        <v>11</v>
      </c>
      <c r="C175" s="6">
        <f t="shared" si="5"/>
        <v>175</v>
      </c>
    </row>
    <row r="176" spans="1:3">
      <c r="A176" s="6" t="s">
        <v>1621</v>
      </c>
      <c r="B176" s="6">
        <f t="shared" si="4"/>
        <v>11</v>
      </c>
      <c r="C176" s="6">
        <f t="shared" si="5"/>
        <v>176</v>
      </c>
    </row>
    <row r="177" spans="1:3">
      <c r="A177" s="6" t="s">
        <v>1622</v>
      </c>
      <c r="B177" s="6">
        <f t="shared" si="4"/>
        <v>11</v>
      </c>
      <c r="C177" s="6">
        <f t="shared" si="5"/>
        <v>177</v>
      </c>
    </row>
    <row r="178" spans="1:3">
      <c r="A178" s="6" t="s">
        <v>1623</v>
      </c>
      <c r="B178" s="6">
        <f t="shared" si="4"/>
        <v>11</v>
      </c>
      <c r="C178" s="6">
        <f t="shared" si="5"/>
        <v>178</v>
      </c>
    </row>
    <row r="179" spans="1:3">
      <c r="A179" s="6" t="s">
        <v>1624</v>
      </c>
      <c r="B179" s="6">
        <f t="shared" si="4"/>
        <v>11</v>
      </c>
      <c r="C179" s="6">
        <f t="shared" si="5"/>
        <v>179</v>
      </c>
    </row>
    <row r="180" spans="1:3">
      <c r="A180" s="6" t="s">
        <v>1876</v>
      </c>
      <c r="B180" s="6">
        <f t="shared" si="4"/>
        <v>11</v>
      </c>
      <c r="C180" s="6">
        <f t="shared" si="5"/>
        <v>180</v>
      </c>
    </row>
    <row r="181" spans="1:3">
      <c r="A181" s="6" t="s">
        <v>1974</v>
      </c>
      <c r="B181" s="6">
        <f t="shared" si="4"/>
        <v>11</v>
      </c>
      <c r="C181" s="6">
        <f t="shared" si="5"/>
        <v>181</v>
      </c>
    </row>
    <row r="182" spans="1:3">
      <c r="A182" s="6" t="s">
        <v>1625</v>
      </c>
      <c r="B182" s="6">
        <f t="shared" si="4"/>
        <v>11</v>
      </c>
      <c r="C182" s="6">
        <f t="shared" si="5"/>
        <v>182</v>
      </c>
    </row>
    <row r="183" spans="1:3">
      <c r="A183" s="6" t="s">
        <v>1626</v>
      </c>
      <c r="B183" s="6">
        <f t="shared" si="4"/>
        <v>11</v>
      </c>
      <c r="C183" s="6">
        <f t="shared" si="5"/>
        <v>183</v>
      </c>
    </row>
    <row r="184" spans="1:3">
      <c r="A184" s="6" t="s">
        <v>1627</v>
      </c>
      <c r="B184" s="6">
        <f t="shared" si="4"/>
        <v>11</v>
      </c>
      <c r="C184" s="6">
        <f t="shared" si="5"/>
        <v>184</v>
      </c>
    </row>
    <row r="185" spans="1:3">
      <c r="A185" s="6" t="s">
        <v>1628</v>
      </c>
      <c r="B185" s="6">
        <f t="shared" si="4"/>
        <v>11</v>
      </c>
      <c r="C185" s="6">
        <f t="shared" si="5"/>
        <v>185</v>
      </c>
    </row>
    <row r="186" spans="1:3">
      <c r="A186" s="6" t="s">
        <v>1877</v>
      </c>
      <c r="B186" s="6">
        <f t="shared" si="4"/>
        <v>11</v>
      </c>
      <c r="C186" s="6">
        <f t="shared" si="5"/>
        <v>186</v>
      </c>
    </row>
    <row r="187" spans="1:3">
      <c r="A187" s="6" t="s">
        <v>1975</v>
      </c>
      <c r="B187" s="6">
        <f t="shared" si="4"/>
        <v>11</v>
      </c>
      <c r="C187" s="6">
        <f t="shared" si="5"/>
        <v>187</v>
      </c>
    </row>
    <row r="188" spans="1:3">
      <c r="A188" s="6" t="s">
        <v>1629</v>
      </c>
      <c r="B188" s="6">
        <f t="shared" si="4"/>
        <v>11</v>
      </c>
      <c r="C188" s="6">
        <f t="shared" si="5"/>
        <v>188</v>
      </c>
    </row>
    <row r="189" spans="1:3">
      <c r="A189" s="6" t="s">
        <v>1630</v>
      </c>
      <c r="B189" s="6">
        <f t="shared" si="4"/>
        <v>11</v>
      </c>
      <c r="C189" s="6">
        <f t="shared" si="5"/>
        <v>189</v>
      </c>
    </row>
    <row r="190" spans="1:3">
      <c r="A190" s="6" t="s">
        <v>1631</v>
      </c>
      <c r="B190" s="6">
        <f t="shared" si="4"/>
        <v>11</v>
      </c>
      <c r="C190" s="6">
        <f t="shared" si="5"/>
        <v>190</v>
      </c>
    </row>
    <row r="191" spans="1:3">
      <c r="A191" s="6" t="s">
        <v>1632</v>
      </c>
      <c r="B191" s="6">
        <f t="shared" si="4"/>
        <v>11</v>
      </c>
      <c r="C191" s="6">
        <f t="shared" si="5"/>
        <v>191</v>
      </c>
    </row>
    <row r="192" spans="1:3">
      <c r="A192" s="6" t="s">
        <v>1633</v>
      </c>
      <c r="B192" s="6">
        <f t="shared" si="4"/>
        <v>11</v>
      </c>
      <c r="C192" s="6">
        <f t="shared" si="5"/>
        <v>192</v>
      </c>
    </row>
    <row r="193" spans="1:3">
      <c r="A193" s="6" t="s">
        <v>1634</v>
      </c>
      <c r="B193" s="6">
        <f t="shared" ref="B193:B256" si="6">FIND(",",A193)</f>
        <v>11</v>
      </c>
      <c r="C193" s="6">
        <f t="shared" ref="C193:C256" si="7">MID(A193,8,B193-8)*1</f>
        <v>193</v>
      </c>
    </row>
    <row r="194" spans="1:3">
      <c r="A194" s="6" t="s">
        <v>1635</v>
      </c>
      <c r="B194" s="6">
        <f t="shared" si="6"/>
        <v>11</v>
      </c>
      <c r="C194" s="6">
        <f t="shared" si="7"/>
        <v>194</v>
      </c>
    </row>
    <row r="195" spans="1:3">
      <c r="A195" s="6" t="s">
        <v>1636</v>
      </c>
      <c r="B195" s="6">
        <f t="shared" si="6"/>
        <v>11</v>
      </c>
      <c r="C195" s="6">
        <f t="shared" si="7"/>
        <v>195</v>
      </c>
    </row>
    <row r="196" spans="1:3">
      <c r="A196" s="6" t="s">
        <v>1637</v>
      </c>
      <c r="B196" s="6">
        <f t="shared" si="6"/>
        <v>11</v>
      </c>
      <c r="C196" s="6">
        <f t="shared" si="7"/>
        <v>196</v>
      </c>
    </row>
    <row r="197" spans="1:3">
      <c r="A197" s="6" t="s">
        <v>1638</v>
      </c>
      <c r="B197" s="6">
        <f t="shared" si="6"/>
        <v>11</v>
      </c>
      <c r="C197" s="6">
        <f t="shared" si="7"/>
        <v>197</v>
      </c>
    </row>
    <row r="198" spans="1:3">
      <c r="A198" s="6" t="s">
        <v>1639</v>
      </c>
      <c r="B198" s="6">
        <f t="shared" si="6"/>
        <v>11</v>
      </c>
      <c r="C198" s="6">
        <f t="shared" si="7"/>
        <v>198</v>
      </c>
    </row>
    <row r="199" spans="1:3">
      <c r="A199" s="6" t="s">
        <v>1640</v>
      </c>
      <c r="B199" s="6">
        <f t="shared" si="6"/>
        <v>11</v>
      </c>
      <c r="C199" s="6">
        <f t="shared" si="7"/>
        <v>199</v>
      </c>
    </row>
    <row r="200" spans="1:3">
      <c r="A200" s="6" t="s">
        <v>1641</v>
      </c>
      <c r="B200" s="6">
        <f t="shared" si="6"/>
        <v>11</v>
      </c>
      <c r="C200" s="6">
        <f t="shared" si="7"/>
        <v>200</v>
      </c>
    </row>
    <row r="201" spans="1:3">
      <c r="A201" s="6" t="s">
        <v>1642</v>
      </c>
      <c r="B201" s="6">
        <f t="shared" si="6"/>
        <v>11</v>
      </c>
      <c r="C201" s="6">
        <f t="shared" si="7"/>
        <v>201</v>
      </c>
    </row>
    <row r="202" spans="1:3">
      <c r="A202" s="6" t="s">
        <v>1643</v>
      </c>
      <c r="B202" s="6">
        <f t="shared" si="6"/>
        <v>11</v>
      </c>
      <c r="C202" s="6">
        <f t="shared" si="7"/>
        <v>202</v>
      </c>
    </row>
    <row r="203" spans="1:3">
      <c r="A203" s="6" t="s">
        <v>1644</v>
      </c>
      <c r="B203" s="6">
        <f t="shared" si="6"/>
        <v>11</v>
      </c>
      <c r="C203" s="6">
        <f t="shared" si="7"/>
        <v>203</v>
      </c>
    </row>
    <row r="204" spans="1:3">
      <c r="A204" s="6" t="s">
        <v>1645</v>
      </c>
      <c r="B204" s="6">
        <f t="shared" si="6"/>
        <v>11</v>
      </c>
      <c r="C204" s="6">
        <f t="shared" si="7"/>
        <v>204</v>
      </c>
    </row>
    <row r="205" spans="1:3">
      <c r="A205" s="6" t="s">
        <v>1646</v>
      </c>
      <c r="B205" s="6">
        <f t="shared" si="6"/>
        <v>11</v>
      </c>
      <c r="C205" s="6">
        <f t="shared" si="7"/>
        <v>205</v>
      </c>
    </row>
    <row r="206" spans="1:3">
      <c r="A206" s="6" t="s">
        <v>1647</v>
      </c>
      <c r="B206" s="6">
        <f t="shared" si="6"/>
        <v>11</v>
      </c>
      <c r="C206" s="6">
        <f t="shared" si="7"/>
        <v>206</v>
      </c>
    </row>
    <row r="207" spans="1:3">
      <c r="A207" s="6" t="s">
        <v>1648</v>
      </c>
      <c r="B207" s="6">
        <f t="shared" si="6"/>
        <v>11</v>
      </c>
      <c r="C207" s="6">
        <f t="shared" si="7"/>
        <v>207</v>
      </c>
    </row>
    <row r="208" spans="1:3">
      <c r="A208" s="6" t="s">
        <v>1649</v>
      </c>
      <c r="B208" s="6">
        <f t="shared" si="6"/>
        <v>11</v>
      </c>
      <c r="C208" s="6">
        <f t="shared" si="7"/>
        <v>208</v>
      </c>
    </row>
    <row r="209" spans="1:3">
      <c r="A209" s="6" t="s">
        <v>1650</v>
      </c>
      <c r="B209" s="6">
        <f t="shared" si="6"/>
        <v>11</v>
      </c>
      <c r="C209" s="6">
        <f t="shared" si="7"/>
        <v>209</v>
      </c>
    </row>
    <row r="210" spans="1:3">
      <c r="A210" s="6" t="s">
        <v>1651</v>
      </c>
      <c r="B210" s="6">
        <f t="shared" si="6"/>
        <v>11</v>
      </c>
      <c r="C210" s="6">
        <f t="shared" si="7"/>
        <v>210</v>
      </c>
    </row>
    <row r="211" spans="1:3">
      <c r="A211" s="6" t="s">
        <v>1652</v>
      </c>
      <c r="B211" s="6">
        <f t="shared" si="6"/>
        <v>11</v>
      </c>
      <c r="C211" s="6">
        <f t="shared" si="7"/>
        <v>211</v>
      </c>
    </row>
    <row r="212" spans="1:3">
      <c r="A212" s="6" t="s">
        <v>1653</v>
      </c>
      <c r="B212" s="6">
        <f t="shared" si="6"/>
        <v>11</v>
      </c>
      <c r="C212" s="6">
        <f t="shared" si="7"/>
        <v>212</v>
      </c>
    </row>
    <row r="213" spans="1:3">
      <c r="A213" s="6" t="s">
        <v>1654</v>
      </c>
      <c r="B213" s="6">
        <f t="shared" si="6"/>
        <v>11</v>
      </c>
      <c r="C213" s="6">
        <f t="shared" si="7"/>
        <v>213</v>
      </c>
    </row>
    <row r="214" spans="1:3">
      <c r="A214" s="6" t="s">
        <v>1655</v>
      </c>
      <c r="B214" s="6">
        <f t="shared" si="6"/>
        <v>11</v>
      </c>
      <c r="C214" s="6">
        <f t="shared" si="7"/>
        <v>214</v>
      </c>
    </row>
    <row r="215" spans="1:3">
      <c r="A215" s="6" t="s">
        <v>1656</v>
      </c>
      <c r="B215" s="6">
        <f t="shared" si="6"/>
        <v>11</v>
      </c>
      <c r="C215" s="6">
        <f t="shared" si="7"/>
        <v>215</v>
      </c>
    </row>
    <row r="216" spans="1:3">
      <c r="A216" s="6" t="s">
        <v>1657</v>
      </c>
      <c r="B216" s="6">
        <f t="shared" si="6"/>
        <v>11</v>
      </c>
      <c r="C216" s="6">
        <f t="shared" si="7"/>
        <v>216</v>
      </c>
    </row>
    <row r="217" spans="1:3">
      <c r="A217" s="6" t="s">
        <v>1658</v>
      </c>
      <c r="B217" s="6">
        <f t="shared" si="6"/>
        <v>11</v>
      </c>
      <c r="C217" s="6">
        <f t="shared" si="7"/>
        <v>217</v>
      </c>
    </row>
    <row r="218" spans="1:3">
      <c r="A218" s="6" t="s">
        <v>1659</v>
      </c>
      <c r="B218" s="6">
        <f t="shared" si="6"/>
        <v>11</v>
      </c>
      <c r="C218" s="6">
        <f t="shared" si="7"/>
        <v>218</v>
      </c>
    </row>
    <row r="219" spans="1:3">
      <c r="A219" s="6" t="s">
        <v>1660</v>
      </c>
      <c r="B219" s="6">
        <f t="shared" si="6"/>
        <v>11</v>
      </c>
      <c r="C219" s="6">
        <f t="shared" si="7"/>
        <v>219</v>
      </c>
    </row>
    <row r="220" spans="1:3">
      <c r="A220" s="6" t="s">
        <v>1661</v>
      </c>
      <c r="B220" s="6">
        <f t="shared" si="6"/>
        <v>11</v>
      </c>
      <c r="C220" s="6">
        <f t="shared" si="7"/>
        <v>220</v>
      </c>
    </row>
    <row r="221" spans="1:3">
      <c r="A221" s="6" t="s">
        <v>1662</v>
      </c>
      <c r="B221" s="6">
        <f t="shared" si="6"/>
        <v>11</v>
      </c>
      <c r="C221" s="6">
        <f t="shared" si="7"/>
        <v>221</v>
      </c>
    </row>
    <row r="222" spans="1:3">
      <c r="A222" s="6" t="s">
        <v>1663</v>
      </c>
      <c r="B222" s="6">
        <f t="shared" si="6"/>
        <v>11</v>
      </c>
      <c r="C222" s="6">
        <f t="shared" si="7"/>
        <v>222</v>
      </c>
    </row>
    <row r="223" spans="1:3">
      <c r="A223" s="6" t="s">
        <v>1664</v>
      </c>
      <c r="B223" s="6">
        <f t="shared" si="6"/>
        <v>11</v>
      </c>
      <c r="C223" s="6">
        <f t="shared" si="7"/>
        <v>223</v>
      </c>
    </row>
    <row r="224" spans="1:3">
      <c r="A224" s="6" t="s">
        <v>1665</v>
      </c>
      <c r="B224" s="6">
        <f t="shared" si="6"/>
        <v>11</v>
      </c>
      <c r="C224" s="6">
        <f t="shared" si="7"/>
        <v>224</v>
      </c>
    </row>
    <row r="225" spans="1:3">
      <c r="A225" s="6" t="s">
        <v>1666</v>
      </c>
      <c r="B225" s="6">
        <f t="shared" si="6"/>
        <v>11</v>
      </c>
      <c r="C225" s="6">
        <f t="shared" si="7"/>
        <v>225</v>
      </c>
    </row>
    <row r="226" spans="1:3">
      <c r="A226" s="6" t="s">
        <v>1667</v>
      </c>
      <c r="B226" s="6">
        <f t="shared" si="6"/>
        <v>11</v>
      </c>
      <c r="C226" s="6">
        <f t="shared" si="7"/>
        <v>226</v>
      </c>
    </row>
    <row r="227" spans="1:3">
      <c r="A227" s="6" t="s">
        <v>1668</v>
      </c>
      <c r="B227" s="6">
        <f t="shared" si="6"/>
        <v>11</v>
      </c>
      <c r="C227" s="6">
        <f t="shared" si="7"/>
        <v>227</v>
      </c>
    </row>
    <row r="228" spans="1:3">
      <c r="A228" s="6" t="s">
        <v>1669</v>
      </c>
      <c r="B228" s="6">
        <f t="shared" si="6"/>
        <v>11</v>
      </c>
      <c r="C228" s="6">
        <f t="shared" si="7"/>
        <v>228</v>
      </c>
    </row>
    <row r="229" spans="1:3">
      <c r="A229" s="6" t="s">
        <v>1670</v>
      </c>
      <c r="B229" s="6">
        <f t="shared" si="6"/>
        <v>11</v>
      </c>
      <c r="C229" s="6">
        <f t="shared" si="7"/>
        <v>229</v>
      </c>
    </row>
    <row r="230" spans="1:3">
      <c r="A230" s="6" t="s">
        <v>1671</v>
      </c>
      <c r="B230" s="6">
        <f t="shared" si="6"/>
        <v>11</v>
      </c>
      <c r="C230" s="6">
        <f t="shared" si="7"/>
        <v>230</v>
      </c>
    </row>
    <row r="231" spans="1:3">
      <c r="A231" s="6" t="s">
        <v>1672</v>
      </c>
      <c r="B231" s="6">
        <f t="shared" si="6"/>
        <v>11</v>
      </c>
      <c r="C231" s="6">
        <f t="shared" si="7"/>
        <v>231</v>
      </c>
    </row>
    <row r="232" spans="1:3">
      <c r="A232" s="6" t="s">
        <v>1673</v>
      </c>
      <c r="B232" s="6">
        <f t="shared" si="6"/>
        <v>11</v>
      </c>
      <c r="C232" s="6">
        <f t="shared" si="7"/>
        <v>232</v>
      </c>
    </row>
    <row r="233" spans="1:3">
      <c r="A233" s="6" t="s">
        <v>1674</v>
      </c>
      <c r="B233" s="6">
        <f t="shared" si="6"/>
        <v>11</v>
      </c>
      <c r="C233" s="6">
        <f t="shared" si="7"/>
        <v>233</v>
      </c>
    </row>
    <row r="234" spans="1:3">
      <c r="A234" s="6" t="s">
        <v>1675</v>
      </c>
      <c r="B234" s="6">
        <f t="shared" si="6"/>
        <v>11</v>
      </c>
      <c r="C234" s="6">
        <f t="shared" si="7"/>
        <v>234</v>
      </c>
    </row>
    <row r="235" spans="1:3">
      <c r="A235" s="6" t="s">
        <v>1676</v>
      </c>
      <c r="B235" s="6">
        <f t="shared" si="6"/>
        <v>11</v>
      </c>
      <c r="C235" s="6">
        <f t="shared" si="7"/>
        <v>235</v>
      </c>
    </row>
    <row r="236" spans="1:3">
      <c r="A236" s="6" t="s">
        <v>1677</v>
      </c>
      <c r="B236" s="6">
        <f t="shared" si="6"/>
        <v>11</v>
      </c>
      <c r="C236" s="6">
        <f t="shared" si="7"/>
        <v>236</v>
      </c>
    </row>
    <row r="237" spans="1:3">
      <c r="A237" s="6" t="s">
        <v>1678</v>
      </c>
      <c r="B237" s="6">
        <f t="shared" si="6"/>
        <v>11</v>
      </c>
      <c r="C237" s="6">
        <f t="shared" si="7"/>
        <v>237</v>
      </c>
    </row>
    <row r="238" spans="1:3">
      <c r="A238" s="6" t="s">
        <v>1679</v>
      </c>
      <c r="B238" s="6">
        <f t="shared" si="6"/>
        <v>11</v>
      </c>
      <c r="C238" s="6">
        <f t="shared" si="7"/>
        <v>238</v>
      </c>
    </row>
    <row r="239" spans="1:3">
      <c r="A239" s="6" t="s">
        <v>1680</v>
      </c>
      <c r="B239" s="6">
        <f t="shared" si="6"/>
        <v>11</v>
      </c>
      <c r="C239" s="6">
        <f t="shared" si="7"/>
        <v>239</v>
      </c>
    </row>
    <row r="240" spans="1:3">
      <c r="A240" s="6" t="s">
        <v>1681</v>
      </c>
      <c r="B240" s="6">
        <f t="shared" si="6"/>
        <v>11</v>
      </c>
      <c r="C240" s="6">
        <f t="shared" si="7"/>
        <v>240</v>
      </c>
    </row>
    <row r="241" spans="1:3">
      <c r="A241" s="6" t="s">
        <v>1682</v>
      </c>
      <c r="B241" s="6">
        <f t="shared" si="6"/>
        <v>11</v>
      </c>
      <c r="C241" s="6">
        <f t="shared" si="7"/>
        <v>241</v>
      </c>
    </row>
    <row r="242" spans="1:3">
      <c r="A242" s="6" t="s">
        <v>1683</v>
      </c>
      <c r="B242" s="6">
        <f t="shared" si="6"/>
        <v>11</v>
      </c>
      <c r="C242" s="6">
        <f t="shared" si="7"/>
        <v>242</v>
      </c>
    </row>
    <row r="243" spans="1:3">
      <c r="A243" s="6" t="s">
        <v>1684</v>
      </c>
      <c r="B243" s="6">
        <f t="shared" si="6"/>
        <v>11</v>
      </c>
      <c r="C243" s="6">
        <f t="shared" si="7"/>
        <v>243</v>
      </c>
    </row>
    <row r="244" spans="1:3">
      <c r="A244" s="6" t="s">
        <v>1685</v>
      </c>
      <c r="B244" s="6">
        <f t="shared" si="6"/>
        <v>11</v>
      </c>
      <c r="C244" s="6">
        <f t="shared" si="7"/>
        <v>244</v>
      </c>
    </row>
    <row r="245" spans="1:3">
      <c r="A245" s="6" t="s">
        <v>1686</v>
      </c>
      <c r="B245" s="6">
        <f t="shared" si="6"/>
        <v>11</v>
      </c>
      <c r="C245" s="6">
        <f t="shared" si="7"/>
        <v>245</v>
      </c>
    </row>
    <row r="246" spans="1:3">
      <c r="A246" s="6" t="s">
        <v>1687</v>
      </c>
      <c r="B246" s="6">
        <f t="shared" si="6"/>
        <v>11</v>
      </c>
      <c r="C246" s="6">
        <f t="shared" si="7"/>
        <v>246</v>
      </c>
    </row>
    <row r="247" spans="1:3">
      <c r="A247" s="6" t="s">
        <v>1688</v>
      </c>
      <c r="B247" s="6">
        <f t="shared" si="6"/>
        <v>11</v>
      </c>
      <c r="C247" s="6">
        <f t="shared" si="7"/>
        <v>247</v>
      </c>
    </row>
    <row r="248" spans="1:3">
      <c r="A248" s="6" t="s">
        <v>1689</v>
      </c>
      <c r="B248" s="6">
        <f t="shared" si="6"/>
        <v>11</v>
      </c>
      <c r="C248" s="6">
        <f t="shared" si="7"/>
        <v>248</v>
      </c>
    </row>
    <row r="249" spans="1:3">
      <c r="A249" s="6" t="s">
        <v>1690</v>
      </c>
      <c r="B249" s="6">
        <f t="shared" si="6"/>
        <v>11</v>
      </c>
      <c r="C249" s="6">
        <f t="shared" si="7"/>
        <v>249</v>
      </c>
    </row>
    <row r="250" spans="1:3">
      <c r="A250" s="6" t="s">
        <v>1691</v>
      </c>
      <c r="B250" s="6">
        <f t="shared" si="6"/>
        <v>11</v>
      </c>
      <c r="C250" s="6">
        <f t="shared" si="7"/>
        <v>250</v>
      </c>
    </row>
    <row r="251" spans="1:3">
      <c r="A251" s="6" t="s">
        <v>1692</v>
      </c>
      <c r="B251" s="6">
        <f t="shared" si="6"/>
        <v>11</v>
      </c>
      <c r="C251" s="6">
        <f t="shared" si="7"/>
        <v>251</v>
      </c>
    </row>
    <row r="252" spans="1:3">
      <c r="A252" s="6" t="s">
        <v>1693</v>
      </c>
      <c r="B252" s="6">
        <f t="shared" si="6"/>
        <v>11</v>
      </c>
      <c r="C252" s="6">
        <f t="shared" si="7"/>
        <v>252</v>
      </c>
    </row>
    <row r="253" spans="1:3">
      <c r="A253" s="6" t="s">
        <v>1694</v>
      </c>
      <c r="B253" s="6">
        <f t="shared" si="6"/>
        <v>11</v>
      </c>
      <c r="C253" s="6">
        <f t="shared" si="7"/>
        <v>253</v>
      </c>
    </row>
    <row r="254" spans="1:3">
      <c r="A254" s="6" t="s">
        <v>1695</v>
      </c>
      <c r="B254" s="6">
        <f t="shared" si="6"/>
        <v>11</v>
      </c>
      <c r="C254" s="6">
        <f t="shared" si="7"/>
        <v>254</v>
      </c>
    </row>
    <row r="255" spans="1:3">
      <c r="A255" s="6" t="s">
        <v>1696</v>
      </c>
      <c r="B255" s="6">
        <f t="shared" si="6"/>
        <v>11</v>
      </c>
      <c r="C255" s="6">
        <f t="shared" si="7"/>
        <v>255</v>
      </c>
    </row>
    <row r="256" spans="1:3">
      <c r="A256" s="6" t="s">
        <v>1697</v>
      </c>
      <c r="B256" s="6">
        <f t="shared" si="6"/>
        <v>11</v>
      </c>
      <c r="C256" s="6">
        <f t="shared" si="7"/>
        <v>256</v>
      </c>
    </row>
    <row r="257" spans="1:3">
      <c r="A257" s="6" t="s">
        <v>1698</v>
      </c>
      <c r="B257" s="6">
        <f t="shared" ref="B257:B320" si="8">FIND(",",A257)</f>
        <v>11</v>
      </c>
      <c r="C257" s="6">
        <f t="shared" ref="C257:C320" si="9">MID(A257,8,B257-8)*1</f>
        <v>257</v>
      </c>
    </row>
    <row r="258" spans="1:3">
      <c r="A258" s="6" t="s">
        <v>1699</v>
      </c>
      <c r="B258" s="6">
        <f t="shared" si="8"/>
        <v>11</v>
      </c>
      <c r="C258" s="6">
        <f t="shared" si="9"/>
        <v>258</v>
      </c>
    </row>
    <row r="259" spans="1:3">
      <c r="A259" s="6" t="s">
        <v>1700</v>
      </c>
      <c r="B259" s="6">
        <f t="shared" si="8"/>
        <v>11</v>
      </c>
      <c r="C259" s="6">
        <f t="shared" si="9"/>
        <v>259</v>
      </c>
    </row>
    <row r="260" spans="1:3">
      <c r="A260" s="6" t="s">
        <v>1701</v>
      </c>
      <c r="B260" s="6">
        <f t="shared" si="8"/>
        <v>11</v>
      </c>
      <c r="C260" s="6">
        <f t="shared" si="9"/>
        <v>260</v>
      </c>
    </row>
    <row r="261" spans="1:3">
      <c r="A261" s="6" t="s">
        <v>1702</v>
      </c>
      <c r="B261" s="6">
        <f t="shared" si="8"/>
        <v>11</v>
      </c>
      <c r="C261" s="6">
        <f t="shared" si="9"/>
        <v>261</v>
      </c>
    </row>
    <row r="262" spans="1:3">
      <c r="A262" s="6" t="s">
        <v>1703</v>
      </c>
      <c r="B262" s="6">
        <f t="shared" si="8"/>
        <v>11</v>
      </c>
      <c r="C262" s="6">
        <f t="shared" si="9"/>
        <v>262</v>
      </c>
    </row>
    <row r="263" spans="1:3">
      <c r="A263" s="6" t="s">
        <v>1704</v>
      </c>
      <c r="B263" s="6">
        <f t="shared" si="8"/>
        <v>11</v>
      </c>
      <c r="C263" s="6">
        <f t="shared" si="9"/>
        <v>263</v>
      </c>
    </row>
    <row r="264" spans="1:3">
      <c r="A264" s="6" t="s">
        <v>1705</v>
      </c>
      <c r="B264" s="6">
        <f t="shared" si="8"/>
        <v>11</v>
      </c>
      <c r="C264" s="6">
        <f t="shared" si="9"/>
        <v>264</v>
      </c>
    </row>
    <row r="265" spans="1:3">
      <c r="A265" s="6" t="s">
        <v>1706</v>
      </c>
      <c r="B265" s="6">
        <f t="shared" si="8"/>
        <v>11</v>
      </c>
      <c r="C265" s="6">
        <f t="shared" si="9"/>
        <v>265</v>
      </c>
    </row>
    <row r="266" spans="1:3">
      <c r="A266" s="6" t="s">
        <v>1707</v>
      </c>
      <c r="B266" s="6">
        <f t="shared" si="8"/>
        <v>11</v>
      </c>
      <c r="C266" s="6">
        <f t="shared" si="9"/>
        <v>266</v>
      </c>
    </row>
    <row r="267" spans="1:3">
      <c r="A267" s="6" t="s">
        <v>1708</v>
      </c>
      <c r="B267" s="6">
        <f t="shared" si="8"/>
        <v>11</v>
      </c>
      <c r="C267" s="6">
        <f t="shared" si="9"/>
        <v>267</v>
      </c>
    </row>
    <row r="268" spans="1:3">
      <c r="A268" s="6" t="s">
        <v>1709</v>
      </c>
      <c r="B268" s="6">
        <f t="shared" si="8"/>
        <v>11</v>
      </c>
      <c r="C268" s="6">
        <f t="shared" si="9"/>
        <v>268</v>
      </c>
    </row>
    <row r="269" spans="1:3">
      <c r="A269" s="6" t="s">
        <v>1710</v>
      </c>
      <c r="B269" s="6">
        <f t="shared" si="8"/>
        <v>11</v>
      </c>
      <c r="C269" s="6">
        <f t="shared" si="9"/>
        <v>269</v>
      </c>
    </row>
    <row r="270" spans="1:3">
      <c r="A270" s="6" t="s">
        <v>1711</v>
      </c>
      <c r="B270" s="6">
        <f t="shared" si="8"/>
        <v>11</v>
      </c>
      <c r="C270" s="6">
        <f t="shared" si="9"/>
        <v>270</v>
      </c>
    </row>
    <row r="271" spans="1:3">
      <c r="A271" s="6" t="s">
        <v>1712</v>
      </c>
      <c r="B271" s="6">
        <f t="shared" si="8"/>
        <v>11</v>
      </c>
      <c r="C271" s="6">
        <f t="shared" si="9"/>
        <v>271</v>
      </c>
    </row>
    <row r="272" spans="1:3">
      <c r="A272" s="6" t="s">
        <v>1713</v>
      </c>
      <c r="B272" s="6">
        <f t="shared" si="8"/>
        <v>11</v>
      </c>
      <c r="C272" s="6">
        <f t="shared" si="9"/>
        <v>272</v>
      </c>
    </row>
    <row r="273" spans="1:3">
      <c r="A273" s="6" t="s">
        <v>1714</v>
      </c>
      <c r="B273" s="6">
        <f t="shared" si="8"/>
        <v>11</v>
      </c>
      <c r="C273" s="6">
        <f t="shared" si="9"/>
        <v>273</v>
      </c>
    </row>
    <row r="274" spans="1:3">
      <c r="A274" s="6" t="s">
        <v>1715</v>
      </c>
      <c r="B274" s="6">
        <f t="shared" si="8"/>
        <v>11</v>
      </c>
      <c r="C274" s="6">
        <f t="shared" si="9"/>
        <v>274</v>
      </c>
    </row>
    <row r="275" spans="1:3">
      <c r="A275" s="6" t="s">
        <v>1716</v>
      </c>
      <c r="B275" s="6">
        <f t="shared" si="8"/>
        <v>11</v>
      </c>
      <c r="C275" s="6">
        <f t="shared" si="9"/>
        <v>275</v>
      </c>
    </row>
    <row r="276" spans="1:3">
      <c r="A276" s="6" t="s">
        <v>1717</v>
      </c>
      <c r="B276" s="6">
        <f t="shared" si="8"/>
        <v>11</v>
      </c>
      <c r="C276" s="6">
        <f t="shared" si="9"/>
        <v>276</v>
      </c>
    </row>
    <row r="277" spans="1:3">
      <c r="A277" s="6" t="s">
        <v>1878</v>
      </c>
      <c r="B277" s="6">
        <f t="shared" si="8"/>
        <v>11</v>
      </c>
      <c r="C277" s="6">
        <f t="shared" si="9"/>
        <v>277</v>
      </c>
    </row>
    <row r="278" spans="1:3">
      <c r="A278" s="6" t="s">
        <v>1976</v>
      </c>
      <c r="B278" s="6">
        <f t="shared" si="8"/>
        <v>11</v>
      </c>
      <c r="C278" s="6">
        <f t="shared" si="9"/>
        <v>278</v>
      </c>
    </row>
    <row r="279" spans="1:3">
      <c r="A279" s="6" t="s">
        <v>1718</v>
      </c>
      <c r="B279" s="6">
        <f t="shared" si="8"/>
        <v>11</v>
      </c>
      <c r="C279" s="6">
        <f t="shared" si="9"/>
        <v>279</v>
      </c>
    </row>
    <row r="280" spans="1:3">
      <c r="A280" s="6" t="s">
        <v>1719</v>
      </c>
      <c r="B280" s="6">
        <f t="shared" si="8"/>
        <v>11</v>
      </c>
      <c r="C280" s="6">
        <f t="shared" si="9"/>
        <v>280</v>
      </c>
    </row>
    <row r="281" spans="1:3">
      <c r="A281" s="6" t="s">
        <v>1720</v>
      </c>
      <c r="B281" s="6">
        <f t="shared" si="8"/>
        <v>11</v>
      </c>
      <c r="C281" s="6">
        <f t="shared" si="9"/>
        <v>281</v>
      </c>
    </row>
    <row r="282" spans="1:3">
      <c r="A282" s="6" t="s">
        <v>1721</v>
      </c>
      <c r="B282" s="6">
        <f t="shared" si="8"/>
        <v>11</v>
      </c>
      <c r="C282" s="6">
        <f t="shared" si="9"/>
        <v>282</v>
      </c>
    </row>
    <row r="283" spans="1:3">
      <c r="A283" s="6" t="s">
        <v>1722</v>
      </c>
      <c r="B283" s="6">
        <f t="shared" si="8"/>
        <v>11</v>
      </c>
      <c r="C283" s="6">
        <f t="shared" si="9"/>
        <v>283</v>
      </c>
    </row>
    <row r="284" spans="1:3">
      <c r="A284" s="6" t="s">
        <v>1723</v>
      </c>
      <c r="B284" s="6">
        <f t="shared" si="8"/>
        <v>11</v>
      </c>
      <c r="C284" s="6">
        <f t="shared" si="9"/>
        <v>284</v>
      </c>
    </row>
    <row r="285" spans="1:3">
      <c r="A285" s="6" t="s">
        <v>1724</v>
      </c>
      <c r="B285" s="6">
        <f t="shared" si="8"/>
        <v>11</v>
      </c>
      <c r="C285" s="6">
        <f t="shared" si="9"/>
        <v>285</v>
      </c>
    </row>
    <row r="286" spans="1:3">
      <c r="A286" s="6" t="s">
        <v>1725</v>
      </c>
      <c r="B286" s="6">
        <f t="shared" si="8"/>
        <v>11</v>
      </c>
      <c r="C286" s="6">
        <f t="shared" si="9"/>
        <v>286</v>
      </c>
    </row>
    <row r="287" spans="1:3">
      <c r="A287" s="6" t="s">
        <v>1726</v>
      </c>
      <c r="B287" s="6">
        <f t="shared" si="8"/>
        <v>11</v>
      </c>
      <c r="C287" s="6">
        <f t="shared" si="9"/>
        <v>287</v>
      </c>
    </row>
    <row r="288" spans="1:3">
      <c r="A288" s="6" t="s">
        <v>1727</v>
      </c>
      <c r="B288" s="6">
        <f t="shared" si="8"/>
        <v>11</v>
      </c>
      <c r="C288" s="6">
        <f t="shared" si="9"/>
        <v>288</v>
      </c>
    </row>
    <row r="289" spans="1:3">
      <c r="A289" s="6" t="s">
        <v>1728</v>
      </c>
      <c r="B289" s="6">
        <f t="shared" si="8"/>
        <v>11</v>
      </c>
      <c r="C289" s="6">
        <f t="shared" si="9"/>
        <v>289</v>
      </c>
    </row>
    <row r="290" spans="1:3">
      <c r="A290" s="6" t="s">
        <v>1729</v>
      </c>
      <c r="B290" s="6">
        <f t="shared" si="8"/>
        <v>11</v>
      </c>
      <c r="C290" s="6">
        <f t="shared" si="9"/>
        <v>290</v>
      </c>
    </row>
    <row r="291" spans="1:3">
      <c r="A291" s="6" t="s">
        <v>1730</v>
      </c>
      <c r="B291" s="6">
        <f t="shared" si="8"/>
        <v>11</v>
      </c>
      <c r="C291" s="6">
        <f t="shared" si="9"/>
        <v>291</v>
      </c>
    </row>
    <row r="292" spans="1:3">
      <c r="A292" s="6" t="s">
        <v>1731</v>
      </c>
      <c r="B292" s="6">
        <f t="shared" si="8"/>
        <v>11</v>
      </c>
      <c r="C292" s="6">
        <f t="shared" si="9"/>
        <v>292</v>
      </c>
    </row>
    <row r="293" spans="1:3">
      <c r="A293" s="6" t="s">
        <v>1732</v>
      </c>
      <c r="B293" s="6">
        <f t="shared" si="8"/>
        <v>11</v>
      </c>
      <c r="C293" s="6">
        <f t="shared" si="9"/>
        <v>293</v>
      </c>
    </row>
    <row r="294" spans="1:3">
      <c r="A294" s="6" t="s">
        <v>1733</v>
      </c>
      <c r="B294" s="6">
        <f t="shared" si="8"/>
        <v>11</v>
      </c>
      <c r="C294" s="6">
        <f t="shared" si="9"/>
        <v>294</v>
      </c>
    </row>
    <row r="295" spans="1:3">
      <c r="A295" s="6" t="s">
        <v>1734</v>
      </c>
      <c r="B295" s="6">
        <f t="shared" si="8"/>
        <v>11</v>
      </c>
      <c r="C295" s="6">
        <f t="shared" si="9"/>
        <v>295</v>
      </c>
    </row>
    <row r="296" spans="1:3">
      <c r="A296" s="6" t="s">
        <v>1735</v>
      </c>
      <c r="B296" s="6">
        <f t="shared" si="8"/>
        <v>11</v>
      </c>
      <c r="C296" s="6">
        <f t="shared" si="9"/>
        <v>296</v>
      </c>
    </row>
    <row r="297" spans="1:3">
      <c r="A297" s="6" t="s">
        <v>1736</v>
      </c>
      <c r="B297" s="6">
        <f t="shared" si="8"/>
        <v>11</v>
      </c>
      <c r="C297" s="6">
        <f t="shared" si="9"/>
        <v>297</v>
      </c>
    </row>
    <row r="298" spans="1:3">
      <c r="A298" s="6" t="s">
        <v>1737</v>
      </c>
      <c r="B298" s="6">
        <f t="shared" si="8"/>
        <v>11</v>
      </c>
      <c r="C298" s="6">
        <f t="shared" si="9"/>
        <v>298</v>
      </c>
    </row>
    <row r="299" spans="1:3">
      <c r="A299" s="6" t="s">
        <v>1879</v>
      </c>
      <c r="B299" s="6">
        <f t="shared" si="8"/>
        <v>11</v>
      </c>
      <c r="C299" s="6">
        <f t="shared" si="9"/>
        <v>299</v>
      </c>
    </row>
    <row r="300" spans="1:3">
      <c r="A300" s="6" t="s">
        <v>1977</v>
      </c>
      <c r="B300" s="6">
        <f t="shared" si="8"/>
        <v>11</v>
      </c>
      <c r="C300" s="6">
        <f t="shared" si="9"/>
        <v>300</v>
      </c>
    </row>
    <row r="301" spans="1:3">
      <c r="A301" s="6" t="s">
        <v>1738</v>
      </c>
      <c r="B301" s="6">
        <f t="shared" si="8"/>
        <v>11</v>
      </c>
      <c r="C301" s="6">
        <f t="shared" si="9"/>
        <v>301</v>
      </c>
    </row>
    <row r="302" spans="1:3">
      <c r="A302" s="6" t="s">
        <v>1739</v>
      </c>
      <c r="B302" s="6">
        <f t="shared" si="8"/>
        <v>11</v>
      </c>
      <c r="C302" s="6">
        <f t="shared" si="9"/>
        <v>302</v>
      </c>
    </row>
    <row r="303" spans="1:3">
      <c r="A303" s="6" t="s">
        <v>1740</v>
      </c>
      <c r="B303" s="6">
        <f t="shared" si="8"/>
        <v>11</v>
      </c>
      <c r="C303" s="6">
        <f t="shared" si="9"/>
        <v>303</v>
      </c>
    </row>
    <row r="304" spans="1:3">
      <c r="A304" s="6" t="s">
        <v>1880</v>
      </c>
      <c r="B304" s="6">
        <f t="shared" si="8"/>
        <v>11</v>
      </c>
      <c r="C304" s="6">
        <f t="shared" si="9"/>
        <v>304</v>
      </c>
    </row>
    <row r="305" spans="1:3">
      <c r="A305" s="6" t="s">
        <v>1978</v>
      </c>
      <c r="B305" s="6">
        <f t="shared" si="8"/>
        <v>11</v>
      </c>
      <c r="C305" s="6">
        <f t="shared" si="9"/>
        <v>305</v>
      </c>
    </row>
    <row r="306" spans="1:3">
      <c r="A306" s="6" t="s">
        <v>1741</v>
      </c>
      <c r="B306" s="6">
        <f t="shared" si="8"/>
        <v>11</v>
      </c>
      <c r="C306" s="6">
        <f t="shared" si="9"/>
        <v>306</v>
      </c>
    </row>
    <row r="307" spans="1:3">
      <c r="A307" s="6" t="s">
        <v>1742</v>
      </c>
      <c r="B307" s="6">
        <f t="shared" si="8"/>
        <v>11</v>
      </c>
      <c r="C307" s="6">
        <f t="shared" si="9"/>
        <v>307</v>
      </c>
    </row>
    <row r="308" spans="1:3">
      <c r="A308" s="6" t="s">
        <v>1743</v>
      </c>
      <c r="B308" s="6">
        <f t="shared" si="8"/>
        <v>11</v>
      </c>
      <c r="C308" s="6">
        <f t="shared" si="9"/>
        <v>308</v>
      </c>
    </row>
    <row r="309" spans="1:3">
      <c r="A309" s="6" t="s">
        <v>1744</v>
      </c>
      <c r="B309" s="6">
        <f t="shared" si="8"/>
        <v>11</v>
      </c>
      <c r="C309" s="6">
        <f t="shared" si="9"/>
        <v>309</v>
      </c>
    </row>
    <row r="310" spans="1:3">
      <c r="A310" s="6" t="s">
        <v>1745</v>
      </c>
      <c r="B310" s="6">
        <f t="shared" si="8"/>
        <v>11</v>
      </c>
      <c r="C310" s="6">
        <f t="shared" si="9"/>
        <v>310</v>
      </c>
    </row>
    <row r="311" spans="1:3">
      <c r="A311" s="6" t="s">
        <v>1746</v>
      </c>
      <c r="B311" s="6">
        <f t="shared" si="8"/>
        <v>11</v>
      </c>
      <c r="C311" s="6">
        <f t="shared" si="9"/>
        <v>311</v>
      </c>
    </row>
    <row r="312" spans="1:3">
      <c r="A312" s="6" t="s">
        <v>1747</v>
      </c>
      <c r="B312" s="6">
        <f t="shared" si="8"/>
        <v>11</v>
      </c>
      <c r="C312" s="6">
        <f t="shared" si="9"/>
        <v>312</v>
      </c>
    </row>
    <row r="313" spans="1:3">
      <c r="A313" s="6" t="s">
        <v>1748</v>
      </c>
      <c r="B313" s="6">
        <f t="shared" si="8"/>
        <v>11</v>
      </c>
      <c r="C313" s="6">
        <f t="shared" si="9"/>
        <v>313</v>
      </c>
    </row>
    <row r="314" spans="1:3">
      <c r="A314" s="6" t="s">
        <v>1749</v>
      </c>
      <c r="B314" s="6">
        <f t="shared" si="8"/>
        <v>11</v>
      </c>
      <c r="C314" s="6">
        <f t="shared" si="9"/>
        <v>314</v>
      </c>
    </row>
    <row r="315" spans="1:3">
      <c r="A315" s="6" t="s">
        <v>1750</v>
      </c>
      <c r="B315" s="6">
        <f t="shared" si="8"/>
        <v>11</v>
      </c>
      <c r="C315" s="6">
        <f t="shared" si="9"/>
        <v>315</v>
      </c>
    </row>
    <row r="316" spans="1:3">
      <c r="A316" s="6" t="s">
        <v>1751</v>
      </c>
      <c r="B316" s="6">
        <f t="shared" si="8"/>
        <v>11</v>
      </c>
      <c r="C316" s="6">
        <f t="shared" si="9"/>
        <v>316</v>
      </c>
    </row>
    <row r="317" spans="1:3">
      <c r="A317" s="6" t="s">
        <v>1752</v>
      </c>
      <c r="B317" s="6">
        <f t="shared" si="8"/>
        <v>11</v>
      </c>
      <c r="C317" s="6">
        <f t="shared" si="9"/>
        <v>317</v>
      </c>
    </row>
    <row r="318" spans="1:3">
      <c r="A318" s="6" t="s">
        <v>1753</v>
      </c>
      <c r="B318" s="6">
        <f t="shared" si="8"/>
        <v>11</v>
      </c>
      <c r="C318" s="6">
        <f t="shared" si="9"/>
        <v>318</v>
      </c>
    </row>
    <row r="319" spans="1:3">
      <c r="A319" s="6" t="s">
        <v>1754</v>
      </c>
      <c r="B319" s="6">
        <f t="shared" si="8"/>
        <v>11</v>
      </c>
      <c r="C319" s="6">
        <f t="shared" si="9"/>
        <v>319</v>
      </c>
    </row>
    <row r="320" spans="1:3">
      <c r="A320" s="6" t="s">
        <v>1755</v>
      </c>
      <c r="B320" s="6">
        <f t="shared" si="8"/>
        <v>11</v>
      </c>
      <c r="C320" s="6">
        <f t="shared" si="9"/>
        <v>320</v>
      </c>
    </row>
    <row r="321" spans="1:3">
      <c r="A321" s="6" t="s">
        <v>1756</v>
      </c>
      <c r="B321" s="6">
        <f t="shared" ref="B321:B384" si="10">FIND(",",A321)</f>
        <v>11</v>
      </c>
      <c r="C321" s="6">
        <f t="shared" ref="C321:C384" si="11">MID(A321,8,B321-8)*1</f>
        <v>321</v>
      </c>
    </row>
    <row r="322" spans="1:3">
      <c r="A322" s="6" t="s">
        <v>1757</v>
      </c>
      <c r="B322" s="6">
        <f t="shared" si="10"/>
        <v>11</v>
      </c>
      <c r="C322" s="6">
        <f t="shared" si="11"/>
        <v>322</v>
      </c>
    </row>
    <row r="323" spans="1:3">
      <c r="A323" s="6" t="s">
        <v>1758</v>
      </c>
      <c r="B323" s="6">
        <f t="shared" si="10"/>
        <v>11</v>
      </c>
      <c r="C323" s="6">
        <f t="shared" si="11"/>
        <v>323</v>
      </c>
    </row>
    <row r="324" spans="1:3">
      <c r="A324" s="6" t="s">
        <v>1759</v>
      </c>
      <c r="B324" s="6">
        <f t="shared" si="10"/>
        <v>11</v>
      </c>
      <c r="C324" s="6">
        <f t="shared" si="11"/>
        <v>324</v>
      </c>
    </row>
    <row r="325" spans="1:3">
      <c r="A325" s="6" t="s">
        <v>1760</v>
      </c>
      <c r="B325" s="6">
        <f t="shared" si="10"/>
        <v>11</v>
      </c>
      <c r="C325" s="6">
        <f t="shared" si="11"/>
        <v>325</v>
      </c>
    </row>
    <row r="326" spans="1:3">
      <c r="A326" s="6" t="s">
        <v>1761</v>
      </c>
      <c r="B326" s="6">
        <f t="shared" si="10"/>
        <v>11</v>
      </c>
      <c r="C326" s="6">
        <f t="shared" si="11"/>
        <v>326</v>
      </c>
    </row>
    <row r="327" spans="1:3">
      <c r="A327" s="6" t="s">
        <v>1762</v>
      </c>
      <c r="B327" s="6">
        <f t="shared" si="10"/>
        <v>11</v>
      </c>
      <c r="C327" s="6">
        <f t="shared" si="11"/>
        <v>327</v>
      </c>
    </row>
    <row r="328" spans="1:3">
      <c r="A328" s="6" t="s">
        <v>1763</v>
      </c>
      <c r="B328" s="6">
        <f t="shared" si="10"/>
        <v>11</v>
      </c>
      <c r="C328" s="6">
        <f t="shared" si="11"/>
        <v>328</v>
      </c>
    </row>
    <row r="329" spans="1:3">
      <c r="A329" s="6" t="s">
        <v>1764</v>
      </c>
      <c r="B329" s="6">
        <f t="shared" si="10"/>
        <v>11</v>
      </c>
      <c r="C329" s="6">
        <f t="shared" si="11"/>
        <v>329</v>
      </c>
    </row>
    <row r="330" spans="1:3">
      <c r="A330" s="6" t="s">
        <v>1765</v>
      </c>
      <c r="B330" s="6">
        <f t="shared" si="10"/>
        <v>11</v>
      </c>
      <c r="C330" s="6">
        <f t="shared" si="11"/>
        <v>330</v>
      </c>
    </row>
    <row r="331" spans="1:3">
      <c r="A331" s="6" t="s">
        <v>1766</v>
      </c>
      <c r="B331" s="6">
        <f t="shared" si="10"/>
        <v>11</v>
      </c>
      <c r="C331" s="6">
        <f t="shared" si="11"/>
        <v>331</v>
      </c>
    </row>
    <row r="332" spans="1:3">
      <c r="A332" s="6" t="s">
        <v>1767</v>
      </c>
      <c r="B332" s="6">
        <f t="shared" si="10"/>
        <v>11</v>
      </c>
      <c r="C332" s="6">
        <f t="shared" si="11"/>
        <v>332</v>
      </c>
    </row>
    <row r="333" spans="1:3">
      <c r="A333" s="6" t="s">
        <v>1768</v>
      </c>
      <c r="B333" s="6">
        <f t="shared" si="10"/>
        <v>11</v>
      </c>
      <c r="C333" s="6">
        <f t="shared" si="11"/>
        <v>333</v>
      </c>
    </row>
    <row r="334" spans="1:3">
      <c r="A334" s="6" t="s">
        <v>1769</v>
      </c>
      <c r="B334" s="6">
        <f t="shared" si="10"/>
        <v>11</v>
      </c>
      <c r="C334" s="6">
        <f t="shared" si="11"/>
        <v>334</v>
      </c>
    </row>
    <row r="335" spans="1:3">
      <c r="A335" s="6" t="s">
        <v>1770</v>
      </c>
      <c r="B335" s="6">
        <f t="shared" si="10"/>
        <v>11</v>
      </c>
      <c r="C335" s="6">
        <f t="shared" si="11"/>
        <v>335</v>
      </c>
    </row>
    <row r="336" spans="1:3">
      <c r="A336" s="6" t="s">
        <v>1771</v>
      </c>
      <c r="B336" s="6">
        <f t="shared" si="10"/>
        <v>11</v>
      </c>
      <c r="C336" s="6">
        <f t="shared" si="11"/>
        <v>336</v>
      </c>
    </row>
    <row r="337" spans="1:3">
      <c r="A337" s="6" t="s">
        <v>1772</v>
      </c>
      <c r="B337" s="6">
        <f t="shared" si="10"/>
        <v>11</v>
      </c>
      <c r="C337" s="6">
        <f t="shared" si="11"/>
        <v>337</v>
      </c>
    </row>
    <row r="338" spans="1:3">
      <c r="A338" s="6" t="s">
        <v>1773</v>
      </c>
      <c r="B338" s="6">
        <f t="shared" si="10"/>
        <v>11</v>
      </c>
      <c r="C338" s="6">
        <f t="shared" si="11"/>
        <v>338</v>
      </c>
    </row>
    <row r="339" spans="1:3">
      <c r="A339" s="6" t="s">
        <v>1774</v>
      </c>
      <c r="B339" s="6">
        <f t="shared" si="10"/>
        <v>11</v>
      </c>
      <c r="C339" s="6">
        <f t="shared" si="11"/>
        <v>339</v>
      </c>
    </row>
    <row r="340" spans="1:3">
      <c r="A340" s="6" t="s">
        <v>1775</v>
      </c>
      <c r="B340" s="6">
        <f t="shared" si="10"/>
        <v>11</v>
      </c>
      <c r="C340" s="6">
        <f t="shared" si="11"/>
        <v>340</v>
      </c>
    </row>
    <row r="341" spans="1:3">
      <c r="A341" s="6" t="s">
        <v>1776</v>
      </c>
      <c r="B341" s="6">
        <f t="shared" si="10"/>
        <v>11</v>
      </c>
      <c r="C341" s="6">
        <f t="shared" si="11"/>
        <v>341</v>
      </c>
    </row>
    <row r="342" spans="1:3">
      <c r="A342" s="6" t="s">
        <v>1777</v>
      </c>
      <c r="B342" s="6">
        <f t="shared" si="10"/>
        <v>11</v>
      </c>
      <c r="C342" s="6">
        <f t="shared" si="11"/>
        <v>342</v>
      </c>
    </row>
    <row r="343" spans="1:3">
      <c r="A343" s="6" t="s">
        <v>1778</v>
      </c>
      <c r="B343" s="6">
        <f t="shared" si="10"/>
        <v>11</v>
      </c>
      <c r="C343" s="6">
        <f t="shared" si="11"/>
        <v>343</v>
      </c>
    </row>
    <row r="344" spans="1:3">
      <c r="A344" s="6" t="s">
        <v>1779</v>
      </c>
      <c r="B344" s="6">
        <f t="shared" si="10"/>
        <v>11</v>
      </c>
      <c r="C344" s="6">
        <f t="shared" si="11"/>
        <v>344</v>
      </c>
    </row>
    <row r="345" spans="1:3">
      <c r="A345" s="6" t="s">
        <v>1780</v>
      </c>
      <c r="B345" s="6">
        <f t="shared" si="10"/>
        <v>11</v>
      </c>
      <c r="C345" s="6">
        <f t="shared" si="11"/>
        <v>345</v>
      </c>
    </row>
    <row r="346" spans="1:3">
      <c r="A346" s="6" t="s">
        <v>1781</v>
      </c>
      <c r="B346" s="6">
        <f t="shared" si="10"/>
        <v>11</v>
      </c>
      <c r="C346" s="6">
        <f t="shared" si="11"/>
        <v>346</v>
      </c>
    </row>
    <row r="347" spans="1:3">
      <c r="A347" s="6" t="s">
        <v>1782</v>
      </c>
      <c r="B347" s="6">
        <f t="shared" si="10"/>
        <v>11</v>
      </c>
      <c r="C347" s="6">
        <f t="shared" si="11"/>
        <v>347</v>
      </c>
    </row>
    <row r="348" spans="1:3">
      <c r="A348" s="6" t="s">
        <v>1783</v>
      </c>
      <c r="B348" s="6">
        <f t="shared" si="10"/>
        <v>11</v>
      </c>
      <c r="C348" s="6">
        <f t="shared" si="11"/>
        <v>348</v>
      </c>
    </row>
    <row r="349" spans="1:3">
      <c r="A349" s="6" t="s">
        <v>1784</v>
      </c>
      <c r="B349" s="6">
        <f t="shared" si="10"/>
        <v>11</v>
      </c>
      <c r="C349" s="6">
        <f t="shared" si="11"/>
        <v>349</v>
      </c>
    </row>
    <row r="350" spans="1:3">
      <c r="A350" s="6" t="s">
        <v>1785</v>
      </c>
      <c r="B350" s="6">
        <f t="shared" si="10"/>
        <v>11</v>
      </c>
      <c r="C350" s="6">
        <f t="shared" si="11"/>
        <v>350</v>
      </c>
    </row>
    <row r="351" spans="1:3">
      <c r="A351" s="6" t="s">
        <v>1786</v>
      </c>
      <c r="B351" s="6">
        <f t="shared" si="10"/>
        <v>11</v>
      </c>
      <c r="C351" s="6">
        <f t="shared" si="11"/>
        <v>351</v>
      </c>
    </row>
    <row r="352" spans="1:3">
      <c r="A352" s="6" t="s">
        <v>1787</v>
      </c>
      <c r="B352" s="6">
        <f t="shared" si="10"/>
        <v>11</v>
      </c>
      <c r="C352" s="6">
        <f t="shared" si="11"/>
        <v>352</v>
      </c>
    </row>
    <row r="353" spans="1:3">
      <c r="A353" s="6" t="s">
        <v>1788</v>
      </c>
      <c r="B353" s="6">
        <f t="shared" si="10"/>
        <v>11</v>
      </c>
      <c r="C353" s="6">
        <f t="shared" si="11"/>
        <v>353</v>
      </c>
    </row>
    <row r="354" spans="1:3">
      <c r="A354" s="6" t="s">
        <v>1789</v>
      </c>
      <c r="B354" s="6">
        <f t="shared" si="10"/>
        <v>11</v>
      </c>
      <c r="C354" s="6">
        <f t="shared" si="11"/>
        <v>354</v>
      </c>
    </row>
    <row r="355" spans="1:3">
      <c r="A355" s="6" t="s">
        <v>1790</v>
      </c>
      <c r="B355" s="6">
        <f t="shared" si="10"/>
        <v>11</v>
      </c>
      <c r="C355" s="6">
        <f t="shared" si="11"/>
        <v>355</v>
      </c>
    </row>
    <row r="356" spans="1:3">
      <c r="A356" s="6" t="s">
        <v>1791</v>
      </c>
      <c r="B356" s="6">
        <f t="shared" si="10"/>
        <v>11</v>
      </c>
      <c r="C356" s="6">
        <f t="shared" si="11"/>
        <v>356</v>
      </c>
    </row>
    <row r="357" spans="1:3">
      <c r="A357" s="6" t="s">
        <v>1792</v>
      </c>
      <c r="B357" s="6">
        <f t="shared" si="10"/>
        <v>11</v>
      </c>
      <c r="C357" s="6">
        <f t="shared" si="11"/>
        <v>357</v>
      </c>
    </row>
    <row r="358" spans="1:3">
      <c r="A358" s="6" t="s">
        <v>1793</v>
      </c>
      <c r="B358" s="6">
        <f t="shared" si="10"/>
        <v>11</v>
      </c>
      <c r="C358" s="6">
        <f t="shared" si="11"/>
        <v>358</v>
      </c>
    </row>
    <row r="359" spans="1:3">
      <c r="A359" s="6" t="s">
        <v>1794</v>
      </c>
      <c r="B359" s="6">
        <f t="shared" si="10"/>
        <v>11</v>
      </c>
      <c r="C359" s="6">
        <f t="shared" si="11"/>
        <v>359</v>
      </c>
    </row>
    <row r="360" spans="1:3">
      <c r="A360" s="6" t="s">
        <v>1795</v>
      </c>
      <c r="B360" s="6">
        <f t="shared" si="10"/>
        <v>11</v>
      </c>
      <c r="C360" s="6">
        <f t="shared" si="11"/>
        <v>360</v>
      </c>
    </row>
    <row r="361" spans="1:3">
      <c r="A361" s="6" t="s">
        <v>1796</v>
      </c>
      <c r="B361" s="6">
        <f t="shared" si="10"/>
        <v>11</v>
      </c>
      <c r="C361" s="6">
        <f t="shared" si="11"/>
        <v>361</v>
      </c>
    </row>
    <row r="362" spans="1:3">
      <c r="A362" s="6" t="s">
        <v>1797</v>
      </c>
      <c r="B362" s="6">
        <f t="shared" si="10"/>
        <v>11</v>
      </c>
      <c r="C362" s="6">
        <f t="shared" si="11"/>
        <v>362</v>
      </c>
    </row>
    <row r="363" spans="1:3">
      <c r="A363" s="6" t="s">
        <v>1798</v>
      </c>
      <c r="B363" s="6">
        <f t="shared" si="10"/>
        <v>11</v>
      </c>
      <c r="C363" s="6">
        <f t="shared" si="11"/>
        <v>363</v>
      </c>
    </row>
    <row r="364" spans="1:3">
      <c r="A364" s="6" t="s">
        <v>1799</v>
      </c>
      <c r="B364" s="6">
        <f t="shared" si="10"/>
        <v>11</v>
      </c>
      <c r="C364" s="6">
        <f t="shared" si="11"/>
        <v>364</v>
      </c>
    </row>
    <row r="365" spans="1:3">
      <c r="A365" s="6" t="s">
        <v>1800</v>
      </c>
      <c r="B365" s="6">
        <f t="shared" si="10"/>
        <v>11</v>
      </c>
      <c r="C365" s="6">
        <f t="shared" si="11"/>
        <v>365</v>
      </c>
    </row>
    <row r="366" spans="1:3">
      <c r="A366" s="6" t="s">
        <v>1801</v>
      </c>
      <c r="B366" s="6">
        <f t="shared" si="10"/>
        <v>11</v>
      </c>
      <c r="C366" s="6">
        <f t="shared" si="11"/>
        <v>366</v>
      </c>
    </row>
    <row r="367" spans="1:3">
      <c r="A367" s="6" t="s">
        <v>1802</v>
      </c>
      <c r="B367" s="6">
        <f t="shared" si="10"/>
        <v>11</v>
      </c>
      <c r="C367" s="6">
        <f t="shared" si="11"/>
        <v>367</v>
      </c>
    </row>
    <row r="368" spans="1:3">
      <c r="A368" s="6" t="s">
        <v>1803</v>
      </c>
      <c r="B368" s="6">
        <f t="shared" si="10"/>
        <v>11</v>
      </c>
      <c r="C368" s="6">
        <f t="shared" si="11"/>
        <v>368</v>
      </c>
    </row>
    <row r="369" spans="1:3">
      <c r="A369" s="6" t="s">
        <v>1804</v>
      </c>
      <c r="B369" s="6">
        <f t="shared" si="10"/>
        <v>11</v>
      </c>
      <c r="C369" s="6">
        <f t="shared" si="11"/>
        <v>369</v>
      </c>
    </row>
    <row r="370" spans="1:3">
      <c r="A370" s="6" t="s">
        <v>1805</v>
      </c>
      <c r="B370" s="6">
        <f t="shared" si="10"/>
        <v>11</v>
      </c>
      <c r="C370" s="6">
        <f t="shared" si="11"/>
        <v>370</v>
      </c>
    </row>
    <row r="371" spans="1:3">
      <c r="A371" s="6" t="s">
        <v>1806</v>
      </c>
      <c r="B371" s="6">
        <f t="shared" si="10"/>
        <v>11</v>
      </c>
      <c r="C371" s="6">
        <f t="shared" si="11"/>
        <v>371</v>
      </c>
    </row>
    <row r="372" spans="1:3">
      <c r="A372" s="6" t="s">
        <v>1807</v>
      </c>
      <c r="B372" s="6">
        <f t="shared" si="10"/>
        <v>11</v>
      </c>
      <c r="C372" s="6">
        <f t="shared" si="11"/>
        <v>372</v>
      </c>
    </row>
    <row r="373" spans="1:3">
      <c r="A373" s="6" t="s">
        <v>1808</v>
      </c>
      <c r="B373" s="6">
        <f t="shared" si="10"/>
        <v>11</v>
      </c>
      <c r="C373" s="6">
        <f t="shared" si="11"/>
        <v>373</v>
      </c>
    </row>
    <row r="374" spans="1:3">
      <c r="A374" s="6" t="s">
        <v>1809</v>
      </c>
      <c r="B374" s="6">
        <f t="shared" si="10"/>
        <v>11</v>
      </c>
      <c r="C374" s="6">
        <f t="shared" si="11"/>
        <v>374</v>
      </c>
    </row>
    <row r="375" spans="1:3">
      <c r="A375" s="6" t="s">
        <v>1810</v>
      </c>
      <c r="B375" s="6">
        <f t="shared" si="10"/>
        <v>11</v>
      </c>
      <c r="C375" s="6">
        <f t="shared" si="11"/>
        <v>375</v>
      </c>
    </row>
    <row r="376" spans="1:3">
      <c r="A376" s="6" t="s">
        <v>1811</v>
      </c>
      <c r="B376" s="6">
        <f t="shared" si="10"/>
        <v>11</v>
      </c>
      <c r="C376" s="6">
        <f t="shared" si="11"/>
        <v>376</v>
      </c>
    </row>
    <row r="377" spans="1:3">
      <c r="A377" s="6" t="s">
        <v>1812</v>
      </c>
      <c r="B377" s="6">
        <f t="shared" si="10"/>
        <v>11</v>
      </c>
      <c r="C377" s="6">
        <f t="shared" si="11"/>
        <v>377</v>
      </c>
    </row>
    <row r="378" spans="1:3">
      <c r="A378" s="6" t="s">
        <v>1813</v>
      </c>
      <c r="B378" s="6">
        <f t="shared" si="10"/>
        <v>11</v>
      </c>
      <c r="C378" s="6">
        <f t="shared" si="11"/>
        <v>378</v>
      </c>
    </row>
    <row r="379" spans="1:3">
      <c r="A379" s="6" t="s">
        <v>1814</v>
      </c>
      <c r="B379" s="6">
        <f t="shared" si="10"/>
        <v>11</v>
      </c>
      <c r="C379" s="6">
        <f t="shared" si="11"/>
        <v>379</v>
      </c>
    </row>
    <row r="380" spans="1:3">
      <c r="A380" s="6" t="s">
        <v>1815</v>
      </c>
      <c r="B380" s="6">
        <f t="shared" si="10"/>
        <v>11</v>
      </c>
      <c r="C380" s="6">
        <f t="shared" si="11"/>
        <v>380</v>
      </c>
    </row>
    <row r="381" spans="1:3">
      <c r="A381" s="6" t="s">
        <v>1816</v>
      </c>
      <c r="B381" s="6">
        <f t="shared" si="10"/>
        <v>11</v>
      </c>
      <c r="C381" s="6">
        <f t="shared" si="11"/>
        <v>381</v>
      </c>
    </row>
    <row r="382" spans="1:3">
      <c r="A382" s="6" t="s">
        <v>1817</v>
      </c>
      <c r="B382" s="6">
        <f t="shared" si="10"/>
        <v>11</v>
      </c>
      <c r="C382" s="6">
        <f t="shared" si="11"/>
        <v>382</v>
      </c>
    </row>
    <row r="383" spans="1:3">
      <c r="A383" s="6" t="s">
        <v>1818</v>
      </c>
      <c r="B383" s="6">
        <f t="shared" si="10"/>
        <v>11</v>
      </c>
      <c r="C383" s="6">
        <f t="shared" si="11"/>
        <v>383</v>
      </c>
    </row>
    <row r="384" spans="1:3">
      <c r="A384" s="6" t="s">
        <v>1819</v>
      </c>
      <c r="B384" s="6">
        <f t="shared" si="10"/>
        <v>11</v>
      </c>
      <c r="C384" s="6">
        <f t="shared" si="11"/>
        <v>384</v>
      </c>
    </row>
    <row r="385" spans="1:3">
      <c r="A385" s="6" t="s">
        <v>1820</v>
      </c>
      <c r="B385" s="6">
        <f t="shared" ref="B385:B448" si="12">FIND(",",A385)</f>
        <v>11</v>
      </c>
      <c r="C385" s="6">
        <f t="shared" ref="C385:C448" si="13">MID(A385,8,B385-8)*1</f>
        <v>385</v>
      </c>
    </row>
    <row r="386" spans="1:3">
      <c r="A386" s="6" t="s">
        <v>1821</v>
      </c>
      <c r="B386" s="6">
        <f t="shared" si="12"/>
        <v>11</v>
      </c>
      <c r="C386" s="6">
        <f t="shared" si="13"/>
        <v>386</v>
      </c>
    </row>
    <row r="387" spans="1:3">
      <c r="A387" s="6" t="s">
        <v>1822</v>
      </c>
      <c r="B387" s="6">
        <f t="shared" si="12"/>
        <v>11</v>
      </c>
      <c r="C387" s="6">
        <f t="shared" si="13"/>
        <v>387</v>
      </c>
    </row>
    <row r="388" spans="1:3">
      <c r="A388" s="6" t="s">
        <v>1823</v>
      </c>
      <c r="B388" s="6">
        <f t="shared" si="12"/>
        <v>11</v>
      </c>
      <c r="C388" s="6">
        <f t="shared" si="13"/>
        <v>388</v>
      </c>
    </row>
    <row r="389" spans="1:3">
      <c r="A389" s="6" t="s">
        <v>1824</v>
      </c>
      <c r="B389" s="6">
        <f t="shared" si="12"/>
        <v>11</v>
      </c>
      <c r="C389" s="6">
        <f t="shared" si="13"/>
        <v>389</v>
      </c>
    </row>
    <row r="390" spans="1:3">
      <c r="A390" s="6" t="s">
        <v>1825</v>
      </c>
      <c r="B390" s="6">
        <f t="shared" si="12"/>
        <v>11</v>
      </c>
      <c r="C390" s="6">
        <f t="shared" si="13"/>
        <v>390</v>
      </c>
    </row>
    <row r="391" spans="1:3">
      <c r="A391" t="s">
        <v>1826</v>
      </c>
      <c r="B391" s="6">
        <f t="shared" si="12"/>
        <v>11</v>
      </c>
      <c r="C391" s="6">
        <f t="shared" si="13"/>
        <v>391</v>
      </c>
    </row>
    <row r="392" spans="1:3">
      <c r="A392" t="s">
        <v>1827</v>
      </c>
      <c r="B392" s="6">
        <f t="shared" si="12"/>
        <v>11</v>
      </c>
      <c r="C392" s="6">
        <f t="shared" si="13"/>
        <v>392</v>
      </c>
    </row>
    <row r="393" spans="1:3">
      <c r="A393" t="s">
        <v>1828</v>
      </c>
      <c r="B393" s="6">
        <f t="shared" si="12"/>
        <v>11</v>
      </c>
      <c r="C393" s="6">
        <f t="shared" si="13"/>
        <v>393</v>
      </c>
    </row>
    <row r="394" spans="1:3">
      <c r="A394" t="s">
        <v>1829</v>
      </c>
      <c r="B394" s="6">
        <f t="shared" si="12"/>
        <v>11</v>
      </c>
      <c r="C394" s="6">
        <f t="shared" si="13"/>
        <v>394</v>
      </c>
    </row>
    <row r="395" spans="1:3">
      <c r="A395" t="s">
        <v>1830</v>
      </c>
      <c r="B395" s="6">
        <f t="shared" si="12"/>
        <v>11</v>
      </c>
      <c r="C395" s="6">
        <f t="shared" si="13"/>
        <v>395</v>
      </c>
    </row>
    <row r="396" spans="1:3">
      <c r="A396" t="s">
        <v>1831</v>
      </c>
      <c r="B396" s="6">
        <f t="shared" si="12"/>
        <v>11</v>
      </c>
      <c r="C396" s="6">
        <f t="shared" si="13"/>
        <v>396</v>
      </c>
    </row>
    <row r="397" spans="1:3">
      <c r="A397" t="s">
        <v>1832</v>
      </c>
      <c r="B397" s="6">
        <f t="shared" si="12"/>
        <v>11</v>
      </c>
      <c r="C397" s="6">
        <f t="shared" si="13"/>
        <v>397</v>
      </c>
    </row>
    <row r="398" spans="1:3">
      <c r="A398" t="s">
        <v>1833</v>
      </c>
      <c r="B398" s="6">
        <f t="shared" si="12"/>
        <v>11</v>
      </c>
      <c r="C398" s="6">
        <f t="shared" si="13"/>
        <v>398</v>
      </c>
    </row>
    <row r="399" spans="1:3">
      <c r="A399" t="s">
        <v>1834</v>
      </c>
      <c r="B399" s="6">
        <f t="shared" si="12"/>
        <v>11</v>
      </c>
      <c r="C399" s="6">
        <f t="shared" si="13"/>
        <v>399</v>
      </c>
    </row>
    <row r="400" spans="1:3">
      <c r="A400" t="s">
        <v>1835</v>
      </c>
      <c r="B400" s="6">
        <f t="shared" si="12"/>
        <v>11</v>
      </c>
      <c r="C400" s="6">
        <f t="shared" si="13"/>
        <v>400</v>
      </c>
    </row>
    <row r="401" spans="1:3">
      <c r="A401" t="s">
        <v>1836</v>
      </c>
      <c r="B401" s="6">
        <f t="shared" si="12"/>
        <v>11</v>
      </c>
      <c r="C401" s="6">
        <f t="shared" si="13"/>
        <v>401</v>
      </c>
    </row>
    <row r="402" spans="1:3">
      <c r="A402" t="s">
        <v>1837</v>
      </c>
      <c r="B402" s="6">
        <f t="shared" si="12"/>
        <v>11</v>
      </c>
      <c r="C402" s="6">
        <f t="shared" si="13"/>
        <v>402</v>
      </c>
    </row>
    <row r="403" spans="1:3">
      <c r="A403" t="s">
        <v>1881</v>
      </c>
      <c r="B403" s="6">
        <f t="shared" si="12"/>
        <v>11</v>
      </c>
      <c r="C403" s="6">
        <f t="shared" si="13"/>
        <v>403</v>
      </c>
    </row>
    <row r="404" spans="1:3">
      <c r="A404" t="s">
        <v>1979</v>
      </c>
      <c r="B404" s="6">
        <f t="shared" si="12"/>
        <v>11</v>
      </c>
      <c r="C404" s="6">
        <f t="shared" si="13"/>
        <v>404</v>
      </c>
    </row>
    <row r="405" spans="1:3">
      <c r="A405" t="s">
        <v>1882</v>
      </c>
      <c r="B405" s="6">
        <f t="shared" si="12"/>
        <v>11</v>
      </c>
      <c r="C405" s="6">
        <f t="shared" si="13"/>
        <v>405</v>
      </c>
    </row>
    <row r="406" spans="1:3">
      <c r="A406" t="s">
        <v>1980</v>
      </c>
      <c r="B406" s="6">
        <f t="shared" si="12"/>
        <v>11</v>
      </c>
      <c r="C406" s="6">
        <f t="shared" si="13"/>
        <v>406</v>
      </c>
    </row>
    <row r="407" spans="1:3">
      <c r="A407" t="s">
        <v>1883</v>
      </c>
      <c r="B407" s="6">
        <f t="shared" si="12"/>
        <v>11</v>
      </c>
      <c r="C407" s="6">
        <f t="shared" si="13"/>
        <v>407</v>
      </c>
    </row>
    <row r="408" spans="1:3">
      <c r="A408" t="s">
        <v>1981</v>
      </c>
      <c r="B408" s="6">
        <f t="shared" si="12"/>
        <v>11</v>
      </c>
      <c r="C408" s="6">
        <f t="shared" si="13"/>
        <v>408</v>
      </c>
    </row>
    <row r="409" spans="1:3">
      <c r="A409" t="s">
        <v>1838</v>
      </c>
      <c r="B409" s="6">
        <f t="shared" si="12"/>
        <v>11</v>
      </c>
      <c r="C409" s="6">
        <f t="shared" si="13"/>
        <v>409</v>
      </c>
    </row>
    <row r="410" spans="1:3">
      <c r="A410" t="s">
        <v>1839</v>
      </c>
      <c r="B410" s="6">
        <f t="shared" si="12"/>
        <v>11</v>
      </c>
      <c r="C410" s="6">
        <f t="shared" si="13"/>
        <v>410</v>
      </c>
    </row>
    <row r="411" spans="1:3">
      <c r="A411" t="s">
        <v>1840</v>
      </c>
      <c r="B411" s="6">
        <f t="shared" si="12"/>
        <v>11</v>
      </c>
      <c r="C411" s="6">
        <f t="shared" si="13"/>
        <v>411</v>
      </c>
    </row>
    <row r="412" spans="1:3">
      <c r="A412" t="s">
        <v>1841</v>
      </c>
      <c r="B412" s="6">
        <f t="shared" si="12"/>
        <v>11</v>
      </c>
      <c r="C412" s="6">
        <f t="shared" si="13"/>
        <v>412</v>
      </c>
    </row>
    <row r="413" spans="1:3">
      <c r="A413" t="s">
        <v>1842</v>
      </c>
      <c r="B413" s="6">
        <f t="shared" si="12"/>
        <v>11</v>
      </c>
      <c r="C413" s="6">
        <f t="shared" si="13"/>
        <v>413</v>
      </c>
    </row>
    <row r="414" spans="1:3">
      <c r="A414" t="s">
        <v>1843</v>
      </c>
      <c r="B414" s="6">
        <f t="shared" si="12"/>
        <v>11</v>
      </c>
      <c r="C414" s="6">
        <f t="shared" si="13"/>
        <v>414</v>
      </c>
    </row>
    <row r="415" spans="1:3">
      <c r="A415" t="s">
        <v>1844</v>
      </c>
      <c r="B415" s="6">
        <f t="shared" si="12"/>
        <v>11</v>
      </c>
      <c r="C415" s="6">
        <f t="shared" si="13"/>
        <v>415</v>
      </c>
    </row>
    <row r="416" spans="1:3">
      <c r="A416" t="s">
        <v>1845</v>
      </c>
      <c r="B416" s="6">
        <f t="shared" si="12"/>
        <v>11</v>
      </c>
      <c r="C416" s="6">
        <f t="shared" si="13"/>
        <v>416</v>
      </c>
    </row>
    <row r="417" spans="1:3">
      <c r="A417" t="s">
        <v>1846</v>
      </c>
      <c r="B417" s="6">
        <f t="shared" si="12"/>
        <v>11</v>
      </c>
      <c r="C417" s="6">
        <f t="shared" si="13"/>
        <v>417</v>
      </c>
    </row>
    <row r="418" spans="1:3">
      <c r="A418" t="s">
        <v>1884</v>
      </c>
      <c r="B418" s="6">
        <f t="shared" si="12"/>
        <v>11</v>
      </c>
      <c r="C418" s="6">
        <f t="shared" si="13"/>
        <v>418</v>
      </c>
    </row>
    <row r="419" spans="1:3">
      <c r="A419" t="s">
        <v>1885</v>
      </c>
      <c r="B419" s="6">
        <f t="shared" si="12"/>
        <v>11</v>
      </c>
      <c r="C419" s="6">
        <f t="shared" si="13"/>
        <v>419</v>
      </c>
    </row>
    <row r="420" spans="1:3">
      <c r="A420" t="s">
        <v>1847</v>
      </c>
      <c r="B420" s="6">
        <f t="shared" si="12"/>
        <v>11</v>
      </c>
      <c r="C420" s="6">
        <f t="shared" si="13"/>
        <v>420</v>
      </c>
    </row>
    <row r="421" spans="1:3">
      <c r="A421" t="s">
        <v>1848</v>
      </c>
      <c r="B421" s="6">
        <f t="shared" si="12"/>
        <v>11</v>
      </c>
      <c r="C421" s="6">
        <f t="shared" si="13"/>
        <v>421</v>
      </c>
    </row>
    <row r="422" spans="1:3">
      <c r="A422" t="s">
        <v>1886</v>
      </c>
      <c r="B422" s="6">
        <f t="shared" si="12"/>
        <v>11</v>
      </c>
      <c r="C422" s="6">
        <f t="shared" si="13"/>
        <v>422</v>
      </c>
    </row>
    <row r="423" spans="1:3">
      <c r="A423" t="s">
        <v>1982</v>
      </c>
      <c r="B423" s="6">
        <f t="shared" si="12"/>
        <v>11</v>
      </c>
      <c r="C423" s="6">
        <f t="shared" si="13"/>
        <v>423</v>
      </c>
    </row>
    <row r="424" spans="1:3">
      <c r="A424" t="s">
        <v>1849</v>
      </c>
      <c r="B424" s="6">
        <f t="shared" si="12"/>
        <v>11</v>
      </c>
      <c r="C424" s="6">
        <f t="shared" si="13"/>
        <v>424</v>
      </c>
    </row>
    <row r="425" spans="1:3">
      <c r="A425" t="s">
        <v>1887</v>
      </c>
      <c r="B425" s="6">
        <f t="shared" si="12"/>
        <v>11</v>
      </c>
      <c r="C425" s="6">
        <f t="shared" si="13"/>
        <v>425</v>
      </c>
    </row>
    <row r="426" spans="1:3">
      <c r="A426" t="s">
        <v>1983</v>
      </c>
      <c r="B426" s="6">
        <f t="shared" si="12"/>
        <v>11</v>
      </c>
      <c r="C426" s="6">
        <f t="shared" si="13"/>
        <v>426</v>
      </c>
    </row>
    <row r="427" spans="1:3">
      <c r="A427" t="s">
        <v>1850</v>
      </c>
      <c r="B427" s="6">
        <f t="shared" si="12"/>
        <v>11</v>
      </c>
      <c r="C427" s="6">
        <f t="shared" si="13"/>
        <v>427</v>
      </c>
    </row>
    <row r="428" spans="1:3">
      <c r="A428" t="s">
        <v>1851</v>
      </c>
      <c r="B428" s="6">
        <f t="shared" si="12"/>
        <v>11</v>
      </c>
      <c r="C428" s="6">
        <f t="shared" si="13"/>
        <v>428</v>
      </c>
    </row>
    <row r="429" spans="1:3">
      <c r="A429" t="s">
        <v>1852</v>
      </c>
      <c r="B429" s="6">
        <f t="shared" si="12"/>
        <v>11</v>
      </c>
      <c r="C429" s="6">
        <f t="shared" si="13"/>
        <v>429</v>
      </c>
    </row>
    <row r="430" spans="1:3">
      <c r="A430" t="s">
        <v>1853</v>
      </c>
      <c r="B430" s="6">
        <f t="shared" si="12"/>
        <v>11</v>
      </c>
      <c r="C430" s="6">
        <f t="shared" si="13"/>
        <v>430</v>
      </c>
    </row>
    <row r="431" spans="1:3">
      <c r="A431" t="s">
        <v>1854</v>
      </c>
      <c r="B431" s="6">
        <f t="shared" si="12"/>
        <v>11</v>
      </c>
      <c r="C431" s="6">
        <f t="shared" si="13"/>
        <v>431</v>
      </c>
    </row>
    <row r="432" spans="1:3">
      <c r="A432" t="s">
        <v>1888</v>
      </c>
      <c r="B432" s="6">
        <f t="shared" si="12"/>
        <v>11</v>
      </c>
      <c r="C432" s="6">
        <f t="shared" si="13"/>
        <v>432</v>
      </c>
    </row>
    <row r="433" spans="1:3">
      <c r="A433" t="s">
        <v>1889</v>
      </c>
      <c r="B433" s="6">
        <f t="shared" si="12"/>
        <v>11</v>
      </c>
      <c r="C433" s="6">
        <f t="shared" si="13"/>
        <v>433</v>
      </c>
    </row>
    <row r="434" spans="1:3">
      <c r="A434" t="s">
        <v>1890</v>
      </c>
      <c r="B434" s="6">
        <f t="shared" si="12"/>
        <v>11</v>
      </c>
      <c r="C434" s="6">
        <f t="shared" si="13"/>
        <v>434</v>
      </c>
    </row>
    <row r="435" spans="1:3">
      <c r="A435" t="s">
        <v>1891</v>
      </c>
      <c r="B435" s="6">
        <f t="shared" si="12"/>
        <v>11</v>
      </c>
      <c r="C435" s="6">
        <f t="shared" si="13"/>
        <v>435</v>
      </c>
    </row>
    <row r="436" spans="1:3">
      <c r="A436" t="s">
        <v>1892</v>
      </c>
      <c r="B436" s="6">
        <f t="shared" si="12"/>
        <v>11</v>
      </c>
      <c r="C436" s="6">
        <f t="shared" si="13"/>
        <v>436</v>
      </c>
    </row>
    <row r="437" spans="1:3">
      <c r="A437" t="s">
        <v>1893</v>
      </c>
      <c r="B437" s="6">
        <f t="shared" si="12"/>
        <v>11</v>
      </c>
      <c r="C437" s="6">
        <f t="shared" si="13"/>
        <v>437</v>
      </c>
    </row>
    <row r="438" spans="1:3">
      <c r="A438" t="s">
        <v>1855</v>
      </c>
      <c r="B438" s="6">
        <f t="shared" si="12"/>
        <v>11</v>
      </c>
      <c r="C438" s="6">
        <f t="shared" si="13"/>
        <v>438</v>
      </c>
    </row>
    <row r="439" spans="1:3">
      <c r="A439" t="s">
        <v>1856</v>
      </c>
      <c r="B439" s="6">
        <f t="shared" si="12"/>
        <v>11</v>
      </c>
      <c r="C439" s="6">
        <f t="shared" si="13"/>
        <v>439</v>
      </c>
    </row>
    <row r="440" spans="1:3">
      <c r="A440" t="s">
        <v>1894</v>
      </c>
      <c r="B440" s="6">
        <f t="shared" si="12"/>
        <v>11</v>
      </c>
      <c r="C440" s="6">
        <f t="shared" si="13"/>
        <v>440</v>
      </c>
    </row>
    <row r="441" spans="1:3">
      <c r="A441" t="s">
        <v>1984</v>
      </c>
      <c r="B441" s="6">
        <f t="shared" si="12"/>
        <v>11</v>
      </c>
      <c r="C441" s="6">
        <f t="shared" si="13"/>
        <v>441</v>
      </c>
    </row>
    <row r="442" spans="1:3">
      <c r="A442" t="s">
        <v>1895</v>
      </c>
      <c r="B442" s="6">
        <f t="shared" si="12"/>
        <v>11</v>
      </c>
      <c r="C442" s="6">
        <f t="shared" si="13"/>
        <v>442</v>
      </c>
    </row>
    <row r="443" spans="1:3">
      <c r="A443" t="s">
        <v>1985</v>
      </c>
      <c r="B443" s="6">
        <f t="shared" si="12"/>
        <v>11</v>
      </c>
      <c r="C443" s="6">
        <f t="shared" si="13"/>
        <v>443</v>
      </c>
    </row>
    <row r="444" spans="1:3">
      <c r="A444" t="s">
        <v>1896</v>
      </c>
      <c r="B444" s="6">
        <f t="shared" si="12"/>
        <v>11</v>
      </c>
      <c r="C444" s="6">
        <f t="shared" si="13"/>
        <v>444</v>
      </c>
    </row>
    <row r="445" spans="1:3">
      <c r="A445" t="s">
        <v>1986</v>
      </c>
      <c r="B445" s="6">
        <f t="shared" si="12"/>
        <v>11</v>
      </c>
      <c r="C445" s="6">
        <f t="shared" si="13"/>
        <v>445</v>
      </c>
    </row>
    <row r="446" spans="1:3">
      <c r="A446" t="s">
        <v>1897</v>
      </c>
      <c r="B446" s="6">
        <f t="shared" si="12"/>
        <v>11</v>
      </c>
      <c r="C446" s="6">
        <f t="shared" si="13"/>
        <v>446</v>
      </c>
    </row>
    <row r="447" spans="1:3">
      <c r="A447" t="s">
        <v>1987</v>
      </c>
      <c r="B447" s="6">
        <f t="shared" si="12"/>
        <v>11</v>
      </c>
      <c r="C447" s="6">
        <f t="shared" si="13"/>
        <v>447</v>
      </c>
    </row>
    <row r="448" spans="1:3">
      <c r="A448" t="s">
        <v>1898</v>
      </c>
      <c r="B448" s="6">
        <f t="shared" si="12"/>
        <v>11</v>
      </c>
      <c r="C448" s="6">
        <f t="shared" si="13"/>
        <v>448</v>
      </c>
    </row>
    <row r="449" spans="1:3">
      <c r="A449" t="s">
        <v>1899</v>
      </c>
      <c r="B449" s="6">
        <f t="shared" ref="B449:B503" si="14">FIND(",",A449)</f>
        <v>11</v>
      </c>
      <c r="C449" s="6">
        <f t="shared" ref="C449:C503" si="15">MID(A449,8,B449-8)*1</f>
        <v>449</v>
      </c>
    </row>
    <row r="450" spans="1:3">
      <c r="A450" t="s">
        <v>1900</v>
      </c>
      <c r="B450" s="6">
        <f t="shared" si="14"/>
        <v>11</v>
      </c>
      <c r="C450" s="6">
        <f t="shared" si="15"/>
        <v>450</v>
      </c>
    </row>
    <row r="451" spans="1:3">
      <c r="A451" t="s">
        <v>1901</v>
      </c>
      <c r="B451" s="6">
        <f t="shared" si="14"/>
        <v>11</v>
      </c>
      <c r="C451" s="6">
        <f t="shared" si="15"/>
        <v>451</v>
      </c>
    </row>
    <row r="452" spans="1:3">
      <c r="A452" t="s">
        <v>1902</v>
      </c>
      <c r="B452" s="6">
        <f t="shared" si="14"/>
        <v>11</v>
      </c>
      <c r="C452" s="6">
        <f t="shared" si="15"/>
        <v>452</v>
      </c>
    </row>
    <row r="453" spans="1:3">
      <c r="A453" t="s">
        <v>1903</v>
      </c>
      <c r="B453" s="6">
        <f t="shared" si="14"/>
        <v>11</v>
      </c>
      <c r="C453" s="6">
        <f t="shared" si="15"/>
        <v>453</v>
      </c>
    </row>
    <row r="454" spans="1:3">
      <c r="A454" t="s">
        <v>1904</v>
      </c>
      <c r="B454" s="6">
        <f t="shared" si="14"/>
        <v>11</v>
      </c>
      <c r="C454" s="6">
        <f t="shared" si="15"/>
        <v>454</v>
      </c>
    </row>
    <row r="455" spans="1:3">
      <c r="A455" t="s">
        <v>1905</v>
      </c>
      <c r="B455" s="6">
        <f t="shared" si="14"/>
        <v>11</v>
      </c>
      <c r="C455" s="6">
        <f t="shared" si="15"/>
        <v>455</v>
      </c>
    </row>
    <row r="456" spans="1:3">
      <c r="A456" t="s">
        <v>1906</v>
      </c>
      <c r="B456" s="6">
        <f t="shared" si="14"/>
        <v>11</v>
      </c>
      <c r="C456" s="6">
        <f t="shared" si="15"/>
        <v>456</v>
      </c>
    </row>
    <row r="457" spans="1:3">
      <c r="A457" t="s">
        <v>1907</v>
      </c>
      <c r="B457" s="6">
        <f t="shared" si="14"/>
        <v>11</v>
      </c>
      <c r="C457" s="6">
        <f t="shared" si="15"/>
        <v>457</v>
      </c>
    </row>
    <row r="458" spans="1:3">
      <c r="A458" t="s">
        <v>1908</v>
      </c>
      <c r="B458" s="6">
        <f t="shared" si="14"/>
        <v>11</v>
      </c>
      <c r="C458" s="6">
        <f t="shared" si="15"/>
        <v>458</v>
      </c>
    </row>
    <row r="459" spans="1:3">
      <c r="A459" t="s">
        <v>1909</v>
      </c>
      <c r="B459" s="6">
        <f t="shared" si="14"/>
        <v>11</v>
      </c>
      <c r="C459" s="6">
        <f t="shared" si="15"/>
        <v>459</v>
      </c>
    </row>
    <row r="460" spans="1:3">
      <c r="A460" t="s">
        <v>1910</v>
      </c>
      <c r="B460" s="6">
        <f t="shared" si="14"/>
        <v>11</v>
      </c>
      <c r="C460" s="6">
        <f t="shared" si="15"/>
        <v>460</v>
      </c>
    </row>
    <row r="461" spans="1:3">
      <c r="A461" t="s">
        <v>1911</v>
      </c>
      <c r="B461" s="6">
        <f t="shared" si="14"/>
        <v>11</v>
      </c>
      <c r="C461" s="6">
        <f t="shared" si="15"/>
        <v>461</v>
      </c>
    </row>
    <row r="462" spans="1:3">
      <c r="A462" t="s">
        <v>1912</v>
      </c>
      <c r="B462" s="6">
        <f t="shared" si="14"/>
        <v>11</v>
      </c>
      <c r="C462" s="6">
        <f t="shared" si="15"/>
        <v>462</v>
      </c>
    </row>
    <row r="463" spans="1:3">
      <c r="A463" t="s">
        <v>1913</v>
      </c>
      <c r="B463" s="6">
        <f t="shared" si="14"/>
        <v>11</v>
      </c>
      <c r="C463" s="6">
        <f t="shared" si="15"/>
        <v>463</v>
      </c>
    </row>
    <row r="464" spans="1:3">
      <c r="A464" t="s">
        <v>1914</v>
      </c>
      <c r="B464" s="6">
        <f t="shared" si="14"/>
        <v>11</v>
      </c>
      <c r="C464" s="6">
        <f t="shared" si="15"/>
        <v>464</v>
      </c>
    </row>
    <row r="465" spans="1:3">
      <c r="A465" t="s">
        <v>1915</v>
      </c>
      <c r="B465" s="6">
        <f t="shared" si="14"/>
        <v>11</v>
      </c>
      <c r="C465" s="6">
        <f t="shared" si="15"/>
        <v>465</v>
      </c>
    </row>
    <row r="466" spans="1:3">
      <c r="A466" t="s">
        <v>1916</v>
      </c>
      <c r="B466" s="6">
        <f t="shared" si="14"/>
        <v>11</v>
      </c>
      <c r="C466" s="6">
        <f t="shared" si="15"/>
        <v>466</v>
      </c>
    </row>
    <row r="467" spans="1:3">
      <c r="A467" t="s">
        <v>1917</v>
      </c>
      <c r="B467" s="6">
        <f t="shared" si="14"/>
        <v>11</v>
      </c>
      <c r="C467" s="6">
        <f t="shared" si="15"/>
        <v>467</v>
      </c>
    </row>
    <row r="468" spans="1:3">
      <c r="A468" t="s">
        <v>1918</v>
      </c>
      <c r="B468" s="6">
        <f t="shared" si="14"/>
        <v>11</v>
      </c>
      <c r="C468" s="6">
        <f t="shared" si="15"/>
        <v>468</v>
      </c>
    </row>
    <row r="469" spans="1:3">
      <c r="A469" t="s">
        <v>1919</v>
      </c>
      <c r="B469" s="6">
        <f t="shared" si="14"/>
        <v>11</v>
      </c>
      <c r="C469" s="6">
        <f t="shared" si="15"/>
        <v>469</v>
      </c>
    </row>
    <row r="470" spans="1:3">
      <c r="A470" t="s">
        <v>1920</v>
      </c>
      <c r="B470" s="6">
        <f t="shared" si="14"/>
        <v>11</v>
      </c>
      <c r="C470" s="6">
        <f t="shared" si="15"/>
        <v>470</v>
      </c>
    </row>
    <row r="471" spans="1:3">
      <c r="A471" t="s">
        <v>1921</v>
      </c>
      <c r="B471" s="6">
        <f t="shared" si="14"/>
        <v>11</v>
      </c>
      <c r="C471" s="6">
        <f t="shared" si="15"/>
        <v>471</v>
      </c>
    </row>
    <row r="472" spans="1:3">
      <c r="A472" t="s">
        <v>1922</v>
      </c>
      <c r="B472" s="6">
        <f t="shared" si="14"/>
        <v>11</v>
      </c>
      <c r="C472" s="6">
        <f t="shared" si="15"/>
        <v>472</v>
      </c>
    </row>
    <row r="473" spans="1:3">
      <c r="A473" t="s">
        <v>1923</v>
      </c>
      <c r="B473" s="6">
        <f t="shared" si="14"/>
        <v>11</v>
      </c>
      <c r="C473" s="6">
        <f t="shared" si="15"/>
        <v>473</v>
      </c>
    </row>
    <row r="474" spans="1:3">
      <c r="A474" t="s">
        <v>1924</v>
      </c>
      <c r="B474" s="6">
        <f t="shared" si="14"/>
        <v>11</v>
      </c>
      <c r="C474" s="6">
        <f t="shared" si="15"/>
        <v>474</v>
      </c>
    </row>
    <row r="475" spans="1:3">
      <c r="A475" t="s">
        <v>1925</v>
      </c>
      <c r="B475" s="6">
        <f t="shared" si="14"/>
        <v>11</v>
      </c>
      <c r="C475" s="6">
        <f t="shared" si="15"/>
        <v>475</v>
      </c>
    </row>
    <row r="476" spans="1:3">
      <c r="A476" t="s">
        <v>1926</v>
      </c>
      <c r="B476" s="6">
        <f t="shared" si="14"/>
        <v>11</v>
      </c>
      <c r="C476" s="6">
        <f t="shared" si="15"/>
        <v>476</v>
      </c>
    </row>
    <row r="477" spans="1:3">
      <c r="A477" t="s">
        <v>1927</v>
      </c>
      <c r="B477" s="6">
        <f t="shared" si="14"/>
        <v>11</v>
      </c>
      <c r="C477" s="6">
        <f t="shared" si="15"/>
        <v>477</v>
      </c>
    </row>
    <row r="478" spans="1:3">
      <c r="A478" t="s">
        <v>1928</v>
      </c>
      <c r="B478" s="6">
        <f t="shared" si="14"/>
        <v>11</v>
      </c>
      <c r="C478" s="6">
        <f t="shared" si="15"/>
        <v>478</v>
      </c>
    </row>
    <row r="479" spans="1:3">
      <c r="A479" t="s">
        <v>1929</v>
      </c>
      <c r="B479" s="6">
        <f t="shared" si="14"/>
        <v>11</v>
      </c>
      <c r="C479" s="6">
        <f t="shared" si="15"/>
        <v>479</v>
      </c>
    </row>
    <row r="480" spans="1:3">
      <c r="A480" t="s">
        <v>1930</v>
      </c>
      <c r="B480" s="6">
        <f t="shared" si="14"/>
        <v>11</v>
      </c>
      <c r="C480" s="6">
        <f t="shared" si="15"/>
        <v>480</v>
      </c>
    </row>
    <row r="481" spans="1:3">
      <c r="A481" t="s">
        <v>1931</v>
      </c>
      <c r="B481" s="6">
        <f t="shared" si="14"/>
        <v>11</v>
      </c>
      <c r="C481" s="6">
        <f t="shared" si="15"/>
        <v>481</v>
      </c>
    </row>
    <row r="482" spans="1:3">
      <c r="A482" t="s">
        <v>1932</v>
      </c>
      <c r="B482" s="6">
        <f t="shared" si="14"/>
        <v>11</v>
      </c>
      <c r="C482" s="6">
        <f t="shared" si="15"/>
        <v>482</v>
      </c>
    </row>
    <row r="483" spans="1:3">
      <c r="A483" t="s">
        <v>1933</v>
      </c>
      <c r="B483" s="6">
        <f t="shared" si="14"/>
        <v>11</v>
      </c>
      <c r="C483" s="6">
        <f t="shared" si="15"/>
        <v>483</v>
      </c>
    </row>
    <row r="484" spans="1:3">
      <c r="A484" t="s">
        <v>1934</v>
      </c>
      <c r="B484" s="6">
        <f t="shared" si="14"/>
        <v>11</v>
      </c>
      <c r="C484" s="6">
        <f t="shared" si="15"/>
        <v>484</v>
      </c>
    </row>
    <row r="485" spans="1:3">
      <c r="A485" t="s">
        <v>1935</v>
      </c>
      <c r="B485" s="6">
        <f t="shared" si="14"/>
        <v>11</v>
      </c>
      <c r="C485" s="6">
        <f t="shared" si="15"/>
        <v>485</v>
      </c>
    </row>
    <row r="486" spans="1:3">
      <c r="A486" t="s">
        <v>1936</v>
      </c>
      <c r="B486" s="6">
        <f t="shared" si="14"/>
        <v>11</v>
      </c>
      <c r="C486" s="6">
        <f t="shared" si="15"/>
        <v>486</v>
      </c>
    </row>
    <row r="487" spans="1:3">
      <c r="A487" t="s">
        <v>1937</v>
      </c>
      <c r="B487" s="6">
        <f t="shared" si="14"/>
        <v>11</v>
      </c>
      <c r="C487" s="6">
        <f t="shared" si="15"/>
        <v>487</v>
      </c>
    </row>
    <row r="488" spans="1:3">
      <c r="A488" t="s">
        <v>1938</v>
      </c>
      <c r="B488" s="6">
        <f t="shared" si="14"/>
        <v>11</v>
      </c>
      <c r="C488" s="6">
        <f t="shared" si="15"/>
        <v>488</v>
      </c>
    </row>
    <row r="489" spans="1:3">
      <c r="A489" t="s">
        <v>1939</v>
      </c>
      <c r="B489" s="6">
        <f t="shared" si="14"/>
        <v>11</v>
      </c>
      <c r="C489" s="6">
        <f t="shared" si="15"/>
        <v>489</v>
      </c>
    </row>
    <row r="490" spans="1:3">
      <c r="A490" t="s">
        <v>1940</v>
      </c>
      <c r="B490" s="6">
        <f t="shared" si="14"/>
        <v>11</v>
      </c>
      <c r="C490" s="6">
        <f t="shared" si="15"/>
        <v>490</v>
      </c>
    </row>
    <row r="491" spans="1:3">
      <c r="A491" t="s">
        <v>1941</v>
      </c>
      <c r="B491" s="6">
        <f t="shared" si="14"/>
        <v>11</v>
      </c>
      <c r="C491" s="6">
        <f t="shared" si="15"/>
        <v>491</v>
      </c>
    </row>
    <row r="492" spans="1:3">
      <c r="A492" t="s">
        <v>1942</v>
      </c>
      <c r="B492" s="6">
        <f t="shared" si="14"/>
        <v>11</v>
      </c>
      <c r="C492" s="6">
        <f t="shared" si="15"/>
        <v>492</v>
      </c>
    </row>
    <row r="493" spans="1:3">
      <c r="A493" t="s">
        <v>1943</v>
      </c>
      <c r="B493" s="6">
        <f t="shared" si="14"/>
        <v>11</v>
      </c>
      <c r="C493" s="6">
        <f t="shared" si="15"/>
        <v>493</v>
      </c>
    </row>
    <row r="494" spans="1:3">
      <c r="A494" t="s">
        <v>1944</v>
      </c>
      <c r="B494" s="6">
        <f t="shared" si="14"/>
        <v>11</v>
      </c>
      <c r="C494" s="6">
        <f t="shared" si="15"/>
        <v>494</v>
      </c>
    </row>
    <row r="495" spans="1:3">
      <c r="A495" t="s">
        <v>1945</v>
      </c>
      <c r="B495" s="6">
        <f t="shared" si="14"/>
        <v>11</v>
      </c>
      <c r="C495" s="6">
        <f t="shared" si="15"/>
        <v>495</v>
      </c>
    </row>
    <row r="496" spans="1:3">
      <c r="A496" t="s">
        <v>1946</v>
      </c>
      <c r="B496" s="6">
        <f t="shared" si="14"/>
        <v>11</v>
      </c>
      <c r="C496" s="6">
        <f t="shared" si="15"/>
        <v>496</v>
      </c>
    </row>
    <row r="497" spans="1:3">
      <c r="A497" t="s">
        <v>1947</v>
      </c>
      <c r="B497" s="6">
        <f t="shared" si="14"/>
        <v>11</v>
      </c>
      <c r="C497" s="6">
        <f t="shared" si="15"/>
        <v>497</v>
      </c>
    </row>
    <row r="498" spans="1:3">
      <c r="A498" t="s">
        <v>1948</v>
      </c>
      <c r="B498" s="6">
        <f t="shared" si="14"/>
        <v>11</v>
      </c>
      <c r="C498" s="6">
        <f t="shared" si="15"/>
        <v>498</v>
      </c>
    </row>
    <row r="499" spans="1:3">
      <c r="A499" t="s">
        <v>1949</v>
      </c>
      <c r="B499" s="6">
        <f t="shared" si="14"/>
        <v>11</v>
      </c>
      <c r="C499" s="6">
        <f t="shared" si="15"/>
        <v>499</v>
      </c>
    </row>
    <row r="500" spans="1:3">
      <c r="A500" t="s">
        <v>1950</v>
      </c>
      <c r="B500" s="6">
        <f t="shared" si="14"/>
        <v>11</v>
      </c>
      <c r="C500" s="6">
        <f t="shared" si="15"/>
        <v>500</v>
      </c>
    </row>
    <row r="501" spans="1:3">
      <c r="A501" t="s">
        <v>1951</v>
      </c>
      <c r="B501" s="6">
        <f t="shared" si="14"/>
        <v>11</v>
      </c>
      <c r="C501" s="6">
        <f t="shared" si="15"/>
        <v>501</v>
      </c>
    </row>
    <row r="502" spans="1:3">
      <c r="A502" t="s">
        <v>1952</v>
      </c>
      <c r="B502" s="6">
        <f t="shared" si="14"/>
        <v>11</v>
      </c>
      <c r="C502" s="6">
        <f t="shared" si="15"/>
        <v>502</v>
      </c>
    </row>
    <row r="503" spans="1:3">
      <c r="A503" t="s">
        <v>1953</v>
      </c>
      <c r="B503" s="6">
        <f t="shared" si="14"/>
        <v>11</v>
      </c>
      <c r="C503" s="6">
        <f t="shared" si="15"/>
        <v>503</v>
      </c>
    </row>
  </sheetData>
  <sortState ref="A1:C503">
    <sortCondition ref="C1:C50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B612"/>
  <sheetViews>
    <sheetView topLeftCell="A576" workbookViewId="0">
      <selection activeCell="E595" sqref="E595"/>
    </sheetView>
  </sheetViews>
  <sheetFormatPr defaultRowHeight="15"/>
  <cols>
    <col min="1" max="1" width="30.140625" bestFit="1" customWidth="1"/>
  </cols>
  <sheetData>
    <row r="1" spans="1:2">
      <c r="A1" s="6" t="s">
        <v>1988</v>
      </c>
      <c r="B1" s="6"/>
    </row>
    <row r="2" spans="1:2">
      <c r="A2" s="6" t="s">
        <v>1997</v>
      </c>
      <c r="B2" s="6"/>
    </row>
    <row r="3" spans="1:2">
      <c r="A3" s="6" t="s">
        <v>2087</v>
      </c>
      <c r="B3" s="6"/>
    </row>
    <row r="4" spans="1:2">
      <c r="A4" s="6" t="s">
        <v>2088</v>
      </c>
      <c r="B4" s="6"/>
    </row>
    <row r="5" spans="1:2">
      <c r="A5" s="6" t="s">
        <v>2089</v>
      </c>
      <c r="B5" s="6"/>
    </row>
    <row r="6" spans="1:2">
      <c r="A6" s="6" t="s">
        <v>2090</v>
      </c>
      <c r="B6" s="6"/>
    </row>
    <row r="7" spans="1:2">
      <c r="A7" s="6" t="s">
        <v>2091</v>
      </c>
      <c r="B7" s="6"/>
    </row>
    <row r="8" spans="1:2">
      <c r="A8" s="6" t="s">
        <v>2092</v>
      </c>
      <c r="B8" s="6"/>
    </row>
    <row r="9" spans="1:2">
      <c r="A9" s="6" t="s">
        <v>2093</v>
      </c>
      <c r="B9" s="6"/>
    </row>
    <row r="10" spans="1:2">
      <c r="A10" s="6" t="s">
        <v>2094</v>
      </c>
      <c r="B10" s="6"/>
    </row>
    <row r="11" spans="1:2">
      <c r="A11" s="6" t="s">
        <v>2095</v>
      </c>
      <c r="B11" s="6"/>
    </row>
    <row r="12" spans="1:2">
      <c r="A12" s="6" t="s">
        <v>2096</v>
      </c>
      <c r="B12" s="6"/>
    </row>
    <row r="13" spans="1:2">
      <c r="A13" s="6" t="s">
        <v>1998</v>
      </c>
      <c r="B13" s="6"/>
    </row>
    <row r="14" spans="1:2">
      <c r="A14" s="6" t="s">
        <v>2097</v>
      </c>
      <c r="B14" s="6"/>
    </row>
    <row r="15" spans="1:2">
      <c r="A15" s="6" t="s">
        <v>2098</v>
      </c>
      <c r="B15" s="6"/>
    </row>
    <row r="16" spans="1:2">
      <c r="A16" s="6" t="s">
        <v>2099</v>
      </c>
      <c r="B16" s="6"/>
    </row>
    <row r="17" spans="1:2">
      <c r="A17" s="6" t="s">
        <v>2100</v>
      </c>
      <c r="B17" s="6"/>
    </row>
    <row r="18" spans="1:2">
      <c r="A18" s="6" t="s">
        <v>2101</v>
      </c>
      <c r="B18" s="6"/>
    </row>
    <row r="19" spans="1:2">
      <c r="A19" s="6" t="s">
        <v>2102</v>
      </c>
      <c r="B19" s="6"/>
    </row>
    <row r="20" spans="1:2">
      <c r="A20" s="6" t="s">
        <v>2103</v>
      </c>
      <c r="B20" s="6"/>
    </row>
    <row r="21" spans="1:2">
      <c r="A21" s="6" t="s">
        <v>2104</v>
      </c>
      <c r="B21" s="6"/>
    </row>
    <row r="22" spans="1:2">
      <c r="A22" s="6" t="s">
        <v>2105</v>
      </c>
      <c r="B22" s="6"/>
    </row>
    <row r="23" spans="1:2">
      <c r="A23" s="6" t="s">
        <v>2106</v>
      </c>
      <c r="B23" s="6"/>
    </row>
    <row r="24" spans="1:2">
      <c r="A24" s="6" t="s">
        <v>1999</v>
      </c>
      <c r="B24" s="6"/>
    </row>
    <row r="25" spans="1:2">
      <c r="A25" s="6" t="s">
        <v>2107</v>
      </c>
      <c r="B25" s="6"/>
    </row>
    <row r="26" spans="1:2">
      <c r="A26" s="6" t="s">
        <v>2108</v>
      </c>
      <c r="B26" s="6"/>
    </row>
    <row r="27" spans="1:2">
      <c r="A27" s="6" t="s">
        <v>2109</v>
      </c>
      <c r="B27" s="6"/>
    </row>
    <row r="28" spans="1:2">
      <c r="A28" s="6" t="s">
        <v>2110</v>
      </c>
      <c r="B28" s="6"/>
    </row>
    <row r="29" spans="1:2">
      <c r="A29" s="6" t="s">
        <v>2111</v>
      </c>
      <c r="B29" s="6"/>
    </row>
    <row r="30" spans="1:2">
      <c r="A30" s="6" t="s">
        <v>2112</v>
      </c>
      <c r="B30" s="6"/>
    </row>
    <row r="31" spans="1:2">
      <c r="A31" s="6" t="s">
        <v>2113</v>
      </c>
      <c r="B31" s="6"/>
    </row>
    <row r="32" spans="1:2">
      <c r="A32" s="6" t="s">
        <v>2114</v>
      </c>
      <c r="B32" s="6"/>
    </row>
    <row r="33" spans="1:2">
      <c r="A33" s="6" t="s">
        <v>2115</v>
      </c>
      <c r="B33" s="6"/>
    </row>
    <row r="34" spans="1:2">
      <c r="A34" s="6" t="s">
        <v>2116</v>
      </c>
      <c r="B34" s="6"/>
    </row>
    <row r="35" spans="1:2">
      <c r="A35" s="6" t="s">
        <v>2000</v>
      </c>
      <c r="B35" s="6"/>
    </row>
    <row r="36" spans="1:2">
      <c r="A36" s="6" t="s">
        <v>2117</v>
      </c>
      <c r="B36" s="6"/>
    </row>
    <row r="37" spans="1:2">
      <c r="A37" s="6" t="s">
        <v>2118</v>
      </c>
      <c r="B37" s="6"/>
    </row>
    <row r="38" spans="1:2">
      <c r="A38" s="6" t="s">
        <v>2119</v>
      </c>
      <c r="B38" s="6"/>
    </row>
    <row r="39" spans="1:2">
      <c r="A39" s="6" t="s">
        <v>2120</v>
      </c>
      <c r="B39" s="6"/>
    </row>
    <row r="40" spans="1:2">
      <c r="A40" s="6" t="s">
        <v>2121</v>
      </c>
      <c r="B40" s="6"/>
    </row>
    <row r="41" spans="1:2">
      <c r="A41" s="6" t="s">
        <v>2122</v>
      </c>
      <c r="B41" s="6"/>
    </row>
    <row r="42" spans="1:2">
      <c r="A42" s="6" t="s">
        <v>2123</v>
      </c>
      <c r="B42" s="6"/>
    </row>
    <row r="43" spans="1:2">
      <c r="A43" s="6" t="s">
        <v>2124</v>
      </c>
      <c r="B43" s="6"/>
    </row>
    <row r="44" spans="1:2">
      <c r="A44" s="6" t="s">
        <v>2125</v>
      </c>
      <c r="B44" s="6"/>
    </row>
    <row r="45" spans="1:2">
      <c r="A45" s="6" t="s">
        <v>2126</v>
      </c>
      <c r="B45" s="6"/>
    </row>
    <row r="46" spans="1:2">
      <c r="A46" s="6" t="s">
        <v>2001</v>
      </c>
      <c r="B46" s="6"/>
    </row>
    <row r="47" spans="1:2">
      <c r="A47" s="6" t="s">
        <v>2127</v>
      </c>
      <c r="B47" s="6"/>
    </row>
    <row r="48" spans="1:2">
      <c r="A48" s="6" t="s">
        <v>2128</v>
      </c>
      <c r="B48" s="6"/>
    </row>
    <row r="49" spans="1:2">
      <c r="A49" s="6" t="s">
        <v>2129</v>
      </c>
      <c r="B49" s="6"/>
    </row>
    <row r="50" spans="1:2">
      <c r="A50" s="6" t="s">
        <v>2130</v>
      </c>
      <c r="B50" s="6"/>
    </row>
    <row r="51" spans="1:2">
      <c r="A51" s="6" t="s">
        <v>2131</v>
      </c>
      <c r="B51" s="6"/>
    </row>
    <row r="52" spans="1:2">
      <c r="A52" s="6" t="s">
        <v>2132</v>
      </c>
      <c r="B52" s="6"/>
    </row>
    <row r="53" spans="1:2">
      <c r="A53" s="6" t="s">
        <v>2133</v>
      </c>
      <c r="B53" s="6"/>
    </row>
    <row r="54" spans="1:2">
      <c r="A54" s="6" t="s">
        <v>2134</v>
      </c>
      <c r="B54" s="6"/>
    </row>
    <row r="55" spans="1:2">
      <c r="A55" s="6" t="s">
        <v>2135</v>
      </c>
      <c r="B55" s="6"/>
    </row>
    <row r="56" spans="1:2">
      <c r="A56" s="6" t="s">
        <v>2136</v>
      </c>
      <c r="B56" s="6"/>
    </row>
    <row r="57" spans="1:2">
      <c r="A57" s="6" t="s">
        <v>2002</v>
      </c>
      <c r="B57" s="6"/>
    </row>
    <row r="58" spans="1:2">
      <c r="A58" s="6" t="s">
        <v>2137</v>
      </c>
      <c r="B58" s="6"/>
    </row>
    <row r="59" spans="1:2">
      <c r="A59" s="6" t="s">
        <v>2138</v>
      </c>
      <c r="B59" s="6"/>
    </row>
    <row r="60" spans="1:2">
      <c r="A60" s="6" t="s">
        <v>2139</v>
      </c>
      <c r="B60" s="6"/>
    </row>
    <row r="61" spans="1:2">
      <c r="A61" s="6" t="s">
        <v>2140</v>
      </c>
      <c r="B61" s="6"/>
    </row>
    <row r="62" spans="1:2">
      <c r="A62" s="6" t="s">
        <v>2141</v>
      </c>
      <c r="B62" s="6"/>
    </row>
    <row r="63" spans="1:2">
      <c r="A63" s="6" t="s">
        <v>2142</v>
      </c>
      <c r="B63" s="6"/>
    </row>
    <row r="64" spans="1:2">
      <c r="A64" s="6" t="s">
        <v>2143</v>
      </c>
      <c r="B64" s="6"/>
    </row>
    <row r="65" spans="1:2">
      <c r="A65" s="6" t="s">
        <v>2144</v>
      </c>
      <c r="B65" s="6"/>
    </row>
    <row r="66" spans="1:2">
      <c r="A66" s="6" t="s">
        <v>2145</v>
      </c>
      <c r="B66" s="6"/>
    </row>
    <row r="67" spans="1:2">
      <c r="A67" s="6" t="s">
        <v>2146</v>
      </c>
      <c r="B67" s="6"/>
    </row>
    <row r="68" spans="1:2">
      <c r="A68" s="6" t="s">
        <v>2003</v>
      </c>
      <c r="B68" s="6"/>
    </row>
    <row r="69" spans="1:2">
      <c r="A69" s="6" t="s">
        <v>2147</v>
      </c>
      <c r="B69" s="6"/>
    </row>
    <row r="70" spans="1:2">
      <c r="A70" s="6" t="s">
        <v>2148</v>
      </c>
      <c r="B70" s="6"/>
    </row>
    <row r="71" spans="1:2">
      <c r="A71" s="6" t="s">
        <v>2149</v>
      </c>
      <c r="B71" s="6"/>
    </row>
    <row r="72" spans="1:2">
      <c r="A72" s="6" t="s">
        <v>2150</v>
      </c>
      <c r="B72" s="6"/>
    </row>
    <row r="73" spans="1:2">
      <c r="A73" s="6" t="s">
        <v>2151</v>
      </c>
      <c r="B73" s="6"/>
    </row>
    <row r="74" spans="1:2">
      <c r="A74" s="6" t="s">
        <v>2152</v>
      </c>
      <c r="B74" s="6"/>
    </row>
    <row r="75" spans="1:2">
      <c r="A75" s="6" t="s">
        <v>2153</v>
      </c>
      <c r="B75" s="6"/>
    </row>
    <row r="76" spans="1:2">
      <c r="A76" s="6" t="s">
        <v>2154</v>
      </c>
      <c r="B76" s="6"/>
    </row>
    <row r="77" spans="1:2">
      <c r="A77" s="6" t="s">
        <v>2155</v>
      </c>
      <c r="B77" s="6"/>
    </row>
    <row r="78" spans="1:2">
      <c r="A78" s="6" t="s">
        <v>2156</v>
      </c>
      <c r="B78" s="6"/>
    </row>
    <row r="79" spans="1:2">
      <c r="A79" s="6" t="s">
        <v>2004</v>
      </c>
      <c r="B79" s="6"/>
    </row>
    <row r="80" spans="1:2">
      <c r="A80" s="6" t="s">
        <v>2157</v>
      </c>
      <c r="B80" s="6"/>
    </row>
    <row r="81" spans="1:2">
      <c r="A81" s="6" t="s">
        <v>2158</v>
      </c>
      <c r="B81" s="6"/>
    </row>
    <row r="82" spans="1:2">
      <c r="A82" s="6" t="s">
        <v>2159</v>
      </c>
      <c r="B82" s="6"/>
    </row>
    <row r="83" spans="1:2">
      <c r="A83" s="6" t="s">
        <v>2160</v>
      </c>
      <c r="B83" s="6"/>
    </row>
    <row r="84" spans="1:2">
      <c r="A84" s="6" t="s">
        <v>2161</v>
      </c>
      <c r="B84" s="6"/>
    </row>
    <row r="85" spans="1:2">
      <c r="A85" s="6" t="s">
        <v>2162</v>
      </c>
      <c r="B85" s="6"/>
    </row>
    <row r="86" spans="1:2">
      <c r="A86" s="6" t="s">
        <v>2163</v>
      </c>
      <c r="B86" s="6"/>
    </row>
    <row r="87" spans="1:2">
      <c r="A87" s="6" t="s">
        <v>2164</v>
      </c>
      <c r="B87" s="6"/>
    </row>
    <row r="88" spans="1:2">
      <c r="A88" s="6" t="s">
        <v>2165</v>
      </c>
      <c r="B88" s="6"/>
    </row>
    <row r="89" spans="1:2">
      <c r="A89" s="6" t="s">
        <v>2166</v>
      </c>
      <c r="B89" s="6"/>
    </row>
    <row r="90" spans="1:2">
      <c r="A90" s="6" t="s">
        <v>2005</v>
      </c>
      <c r="B90" s="6"/>
    </row>
    <row r="91" spans="1:2">
      <c r="A91" s="6" t="s">
        <v>2167</v>
      </c>
      <c r="B91" s="6"/>
    </row>
    <row r="92" spans="1:2">
      <c r="A92" s="6" t="s">
        <v>2168</v>
      </c>
      <c r="B92" s="6"/>
    </row>
    <row r="93" spans="1:2">
      <c r="A93" s="6" t="s">
        <v>2169</v>
      </c>
      <c r="B93" s="6"/>
    </row>
    <row r="94" spans="1:2">
      <c r="A94" s="6" t="s">
        <v>2170</v>
      </c>
      <c r="B94" s="6"/>
    </row>
    <row r="95" spans="1:2">
      <c r="A95" s="6" t="s">
        <v>2171</v>
      </c>
      <c r="B95" s="6"/>
    </row>
    <row r="96" spans="1:2">
      <c r="A96" s="6" t="s">
        <v>2172</v>
      </c>
      <c r="B96" s="6"/>
    </row>
    <row r="97" spans="1:2">
      <c r="A97" s="6" t="s">
        <v>2173</v>
      </c>
      <c r="B97" s="6"/>
    </row>
    <row r="98" spans="1:2">
      <c r="A98" s="6" t="s">
        <v>2174</v>
      </c>
      <c r="B98" s="6"/>
    </row>
    <row r="99" spans="1:2">
      <c r="A99" s="6" t="s">
        <v>2175</v>
      </c>
      <c r="B99" s="6"/>
    </row>
    <row r="100" spans="1:2">
      <c r="A100" s="6" t="s">
        <v>2176</v>
      </c>
      <c r="B100" s="6"/>
    </row>
    <row r="101" spans="1:2">
      <c r="A101" s="6" t="s">
        <v>2006</v>
      </c>
      <c r="B101" s="6"/>
    </row>
    <row r="102" spans="1:2">
      <c r="A102" s="6" t="s">
        <v>2177</v>
      </c>
      <c r="B102" s="6"/>
    </row>
    <row r="103" spans="1:2">
      <c r="A103" s="6" t="s">
        <v>2178</v>
      </c>
      <c r="B103" s="6"/>
    </row>
    <row r="104" spans="1:2">
      <c r="A104" s="6" t="s">
        <v>2179</v>
      </c>
      <c r="B104" s="6"/>
    </row>
    <row r="105" spans="1:2">
      <c r="A105" s="6" t="s">
        <v>2180</v>
      </c>
      <c r="B105" s="6"/>
    </row>
    <row r="106" spans="1:2">
      <c r="A106" s="6" t="s">
        <v>2181</v>
      </c>
      <c r="B106" s="6"/>
    </row>
    <row r="107" spans="1:2">
      <c r="A107" s="6" t="s">
        <v>2182</v>
      </c>
      <c r="B107" s="6"/>
    </row>
    <row r="108" spans="1:2">
      <c r="A108" s="6" t="s">
        <v>2183</v>
      </c>
      <c r="B108" s="6"/>
    </row>
    <row r="109" spans="1:2">
      <c r="A109" s="6" t="s">
        <v>2184</v>
      </c>
      <c r="B109" s="6"/>
    </row>
    <row r="110" spans="1:2">
      <c r="A110" s="6" t="s">
        <v>2185</v>
      </c>
      <c r="B110" s="6"/>
    </row>
    <row r="111" spans="1:2">
      <c r="A111" s="6" t="s">
        <v>2186</v>
      </c>
      <c r="B111" s="6"/>
    </row>
    <row r="112" spans="1:2">
      <c r="A112" s="6" t="s">
        <v>1989</v>
      </c>
      <c r="B112" s="6"/>
    </row>
    <row r="113" spans="1:2">
      <c r="A113" s="6" t="s">
        <v>2007</v>
      </c>
      <c r="B113" s="6"/>
    </row>
    <row r="114" spans="1:2">
      <c r="A114" s="6" t="s">
        <v>2187</v>
      </c>
      <c r="B114" s="6"/>
    </row>
    <row r="115" spans="1:2">
      <c r="A115" s="6" t="s">
        <v>2188</v>
      </c>
      <c r="B115" s="6"/>
    </row>
    <row r="116" spans="1:2">
      <c r="A116" s="6" t="s">
        <v>2189</v>
      </c>
      <c r="B116" s="6"/>
    </row>
    <row r="117" spans="1:2">
      <c r="A117" s="6" t="s">
        <v>2190</v>
      </c>
      <c r="B117" s="6"/>
    </row>
    <row r="118" spans="1:2">
      <c r="A118" s="6" t="s">
        <v>2191</v>
      </c>
      <c r="B118" s="6"/>
    </row>
    <row r="119" spans="1:2">
      <c r="A119" s="6" t="s">
        <v>2192</v>
      </c>
      <c r="B119" s="6"/>
    </row>
    <row r="120" spans="1:2">
      <c r="A120" s="6" t="s">
        <v>2193</v>
      </c>
      <c r="B120" s="6"/>
    </row>
    <row r="121" spans="1:2">
      <c r="A121" s="6" t="s">
        <v>2194</v>
      </c>
      <c r="B121" s="6"/>
    </row>
    <row r="122" spans="1:2">
      <c r="A122" s="6" t="s">
        <v>2195</v>
      </c>
      <c r="B122" s="6"/>
    </row>
    <row r="123" spans="1:2">
      <c r="A123" s="6" t="s">
        <v>2196</v>
      </c>
      <c r="B123" s="6"/>
    </row>
    <row r="124" spans="1:2">
      <c r="A124" s="6" t="s">
        <v>2008</v>
      </c>
      <c r="B124" s="6"/>
    </row>
    <row r="125" spans="1:2">
      <c r="A125" s="6" t="s">
        <v>2197</v>
      </c>
      <c r="B125" s="6"/>
    </row>
    <row r="126" spans="1:2">
      <c r="A126" s="6" t="s">
        <v>2198</v>
      </c>
      <c r="B126" s="6"/>
    </row>
    <row r="127" spans="1:2">
      <c r="A127" s="6" t="s">
        <v>2199</v>
      </c>
      <c r="B127" s="6"/>
    </row>
    <row r="128" spans="1:2">
      <c r="A128" s="6" t="s">
        <v>2200</v>
      </c>
      <c r="B128" s="6"/>
    </row>
    <row r="129" spans="1:2">
      <c r="A129" s="6" t="s">
        <v>2201</v>
      </c>
      <c r="B129" s="6"/>
    </row>
    <row r="130" spans="1:2">
      <c r="A130" s="6" t="s">
        <v>2202</v>
      </c>
      <c r="B130" s="6"/>
    </row>
    <row r="131" spans="1:2">
      <c r="A131" s="6" t="s">
        <v>2203</v>
      </c>
      <c r="B131" s="6"/>
    </row>
    <row r="132" spans="1:2">
      <c r="A132" s="6" t="s">
        <v>2204</v>
      </c>
      <c r="B132" s="6"/>
    </row>
    <row r="133" spans="1:2">
      <c r="A133" s="6" t="s">
        <v>2205</v>
      </c>
      <c r="B133" s="6"/>
    </row>
    <row r="134" spans="1:2">
      <c r="A134" s="6" t="s">
        <v>2206</v>
      </c>
      <c r="B134" s="6"/>
    </row>
    <row r="135" spans="1:2">
      <c r="A135" s="6" t="s">
        <v>2009</v>
      </c>
      <c r="B135" s="6"/>
    </row>
    <row r="136" spans="1:2">
      <c r="A136" s="6" t="s">
        <v>2207</v>
      </c>
      <c r="B136" s="6"/>
    </row>
    <row r="137" spans="1:2">
      <c r="A137" s="6" t="s">
        <v>2208</v>
      </c>
      <c r="B137" s="6"/>
    </row>
    <row r="138" spans="1:2">
      <c r="A138" s="6" t="s">
        <v>2209</v>
      </c>
      <c r="B138" s="6"/>
    </row>
    <row r="139" spans="1:2">
      <c r="A139" s="6" t="s">
        <v>2210</v>
      </c>
      <c r="B139" s="6"/>
    </row>
    <row r="140" spans="1:2">
      <c r="A140" s="6" t="s">
        <v>2211</v>
      </c>
      <c r="B140" s="6"/>
    </row>
    <row r="141" spans="1:2">
      <c r="A141" s="6" t="s">
        <v>2212</v>
      </c>
      <c r="B141" s="6"/>
    </row>
    <row r="142" spans="1:2">
      <c r="A142" s="6" t="s">
        <v>2213</v>
      </c>
      <c r="B142" s="6"/>
    </row>
    <row r="143" spans="1:2">
      <c r="A143" s="6" t="s">
        <v>2214</v>
      </c>
      <c r="B143" s="6"/>
    </row>
    <row r="144" spans="1:2">
      <c r="A144" s="6" t="s">
        <v>2215</v>
      </c>
      <c r="B144" s="6"/>
    </row>
    <row r="145" spans="1:2">
      <c r="A145" s="6" t="s">
        <v>2216</v>
      </c>
      <c r="B145" s="6"/>
    </row>
    <row r="146" spans="1:2">
      <c r="A146" s="6" t="s">
        <v>2010</v>
      </c>
      <c r="B146" s="6"/>
    </row>
    <row r="147" spans="1:2">
      <c r="A147" s="6" t="s">
        <v>2217</v>
      </c>
      <c r="B147" s="6"/>
    </row>
    <row r="148" spans="1:2">
      <c r="A148" s="6" t="s">
        <v>2218</v>
      </c>
      <c r="B148" s="6"/>
    </row>
    <row r="149" spans="1:2">
      <c r="A149" s="6" t="s">
        <v>2219</v>
      </c>
      <c r="B149" s="6"/>
    </row>
    <row r="150" spans="1:2">
      <c r="A150" s="6" t="s">
        <v>2220</v>
      </c>
      <c r="B150" s="6"/>
    </row>
    <row r="151" spans="1:2">
      <c r="A151" s="6" t="s">
        <v>2221</v>
      </c>
      <c r="B151" s="6"/>
    </row>
    <row r="152" spans="1:2">
      <c r="A152" s="6" t="s">
        <v>2222</v>
      </c>
      <c r="B152" s="6"/>
    </row>
    <row r="153" spans="1:2">
      <c r="A153" s="6" t="s">
        <v>2223</v>
      </c>
      <c r="B153" s="6"/>
    </row>
    <row r="154" spans="1:2">
      <c r="A154" s="6" t="s">
        <v>2224</v>
      </c>
    </row>
    <row r="155" spans="1:2">
      <c r="A155" s="6" t="s">
        <v>2225</v>
      </c>
    </row>
    <row r="156" spans="1:2">
      <c r="A156" s="6" t="s">
        <v>2226</v>
      </c>
    </row>
    <row r="157" spans="1:2">
      <c r="A157" s="6" t="s">
        <v>2011</v>
      </c>
    </row>
    <row r="158" spans="1:2">
      <c r="A158" s="6" t="s">
        <v>2227</v>
      </c>
    </row>
    <row r="159" spans="1:2">
      <c r="A159" s="6" t="s">
        <v>2228</v>
      </c>
    </row>
    <row r="160" spans="1:2">
      <c r="A160" s="6" t="s">
        <v>2229</v>
      </c>
    </row>
    <row r="161" spans="1:1">
      <c r="A161" s="6" t="s">
        <v>2230</v>
      </c>
    </row>
    <row r="162" spans="1:1">
      <c r="A162" s="6" t="s">
        <v>2231</v>
      </c>
    </row>
    <row r="163" spans="1:1">
      <c r="A163" s="6" t="s">
        <v>2232</v>
      </c>
    </row>
    <row r="164" spans="1:1">
      <c r="A164" s="6" t="s">
        <v>2233</v>
      </c>
    </row>
    <row r="165" spans="1:1">
      <c r="A165" s="6" t="s">
        <v>2234</v>
      </c>
    </row>
    <row r="166" spans="1:1">
      <c r="A166" s="6" t="s">
        <v>2235</v>
      </c>
    </row>
    <row r="167" spans="1:1">
      <c r="A167" s="6" t="s">
        <v>2236</v>
      </c>
    </row>
    <row r="168" spans="1:1">
      <c r="A168" s="6" t="s">
        <v>2012</v>
      </c>
    </row>
    <row r="169" spans="1:1">
      <c r="A169" s="6" t="s">
        <v>2237</v>
      </c>
    </row>
    <row r="170" spans="1:1">
      <c r="A170" s="6" t="s">
        <v>2238</v>
      </c>
    </row>
    <row r="171" spans="1:1">
      <c r="A171" s="6" t="s">
        <v>2239</v>
      </c>
    </row>
    <row r="172" spans="1:1">
      <c r="A172" s="6" t="s">
        <v>2240</v>
      </c>
    </row>
    <row r="173" spans="1:1">
      <c r="A173" s="6" t="s">
        <v>2241</v>
      </c>
    </row>
    <row r="174" spans="1:1">
      <c r="A174" s="6" t="s">
        <v>2242</v>
      </c>
    </row>
    <row r="175" spans="1:1">
      <c r="A175" s="6" t="s">
        <v>2243</v>
      </c>
    </row>
    <row r="176" spans="1:1">
      <c r="A176" s="6" t="s">
        <v>2244</v>
      </c>
    </row>
    <row r="177" spans="1:1">
      <c r="A177" s="6" t="s">
        <v>2245</v>
      </c>
    </row>
    <row r="178" spans="1:1">
      <c r="A178" s="6" t="s">
        <v>2246</v>
      </c>
    </row>
    <row r="179" spans="1:1">
      <c r="A179" s="6" t="s">
        <v>2013</v>
      </c>
    </row>
    <row r="180" spans="1:1">
      <c r="A180" s="6" t="s">
        <v>2247</v>
      </c>
    </row>
    <row r="181" spans="1:1">
      <c r="A181" s="6" t="s">
        <v>2248</v>
      </c>
    </row>
    <row r="182" spans="1:1">
      <c r="A182" s="6" t="s">
        <v>2249</v>
      </c>
    </row>
    <row r="183" spans="1:1">
      <c r="A183" s="6" t="s">
        <v>2250</v>
      </c>
    </row>
    <row r="184" spans="1:1">
      <c r="A184" s="6" t="s">
        <v>2251</v>
      </c>
    </row>
    <row r="185" spans="1:1">
      <c r="A185" s="6" t="s">
        <v>2252</v>
      </c>
    </row>
    <row r="186" spans="1:1">
      <c r="A186" s="6" t="s">
        <v>2253</v>
      </c>
    </row>
    <row r="187" spans="1:1">
      <c r="A187" s="6" t="s">
        <v>2254</v>
      </c>
    </row>
    <row r="188" spans="1:1">
      <c r="A188" s="6" t="s">
        <v>2255</v>
      </c>
    </row>
    <row r="189" spans="1:1">
      <c r="A189" s="6" t="s">
        <v>2256</v>
      </c>
    </row>
    <row r="190" spans="1:1">
      <c r="A190" s="6" t="s">
        <v>2014</v>
      </c>
    </row>
    <row r="191" spans="1:1">
      <c r="A191" s="6" t="s">
        <v>2257</v>
      </c>
    </row>
    <row r="192" spans="1:1">
      <c r="A192" s="6" t="s">
        <v>2258</v>
      </c>
    </row>
    <row r="193" spans="1:1">
      <c r="A193" s="6" t="s">
        <v>2259</v>
      </c>
    </row>
    <row r="194" spans="1:1">
      <c r="A194" s="6" t="s">
        <v>2260</v>
      </c>
    </row>
    <row r="195" spans="1:1">
      <c r="A195" s="6" t="s">
        <v>2261</v>
      </c>
    </row>
    <row r="196" spans="1:1">
      <c r="A196" s="6" t="s">
        <v>2262</v>
      </c>
    </row>
    <row r="197" spans="1:1">
      <c r="A197" s="6" t="s">
        <v>2263</v>
      </c>
    </row>
    <row r="198" spans="1:1">
      <c r="A198" s="6" t="s">
        <v>2264</v>
      </c>
    </row>
    <row r="199" spans="1:1">
      <c r="A199" s="6" t="s">
        <v>2265</v>
      </c>
    </row>
    <row r="200" spans="1:1">
      <c r="A200" s="6" t="s">
        <v>2266</v>
      </c>
    </row>
    <row r="201" spans="1:1">
      <c r="A201" s="6" t="s">
        <v>2015</v>
      </c>
    </row>
    <row r="202" spans="1:1">
      <c r="A202" s="6" t="s">
        <v>2267</v>
      </c>
    </row>
    <row r="203" spans="1:1">
      <c r="A203" s="6" t="s">
        <v>2268</v>
      </c>
    </row>
    <row r="204" spans="1:1">
      <c r="A204" s="6" t="s">
        <v>2269</v>
      </c>
    </row>
    <row r="205" spans="1:1">
      <c r="A205" s="6" t="s">
        <v>2270</v>
      </c>
    </row>
    <row r="206" spans="1:1">
      <c r="A206" s="6" t="s">
        <v>2271</v>
      </c>
    </row>
    <row r="207" spans="1:1">
      <c r="A207" s="6" t="s">
        <v>2272</v>
      </c>
    </row>
    <row r="208" spans="1:1">
      <c r="A208" s="6" t="s">
        <v>2273</v>
      </c>
    </row>
    <row r="209" spans="1:1">
      <c r="A209" s="6" t="s">
        <v>2274</v>
      </c>
    </row>
    <row r="210" spans="1:1">
      <c r="A210" s="6" t="s">
        <v>2275</v>
      </c>
    </row>
    <row r="211" spans="1:1">
      <c r="A211" s="6" t="s">
        <v>2276</v>
      </c>
    </row>
    <row r="212" spans="1:1">
      <c r="A212" s="6" t="s">
        <v>2016</v>
      </c>
    </row>
    <row r="213" spans="1:1">
      <c r="A213" s="6" t="s">
        <v>2277</v>
      </c>
    </row>
    <row r="214" spans="1:1">
      <c r="A214" s="6" t="s">
        <v>2278</v>
      </c>
    </row>
    <row r="215" spans="1:1">
      <c r="A215" s="6" t="s">
        <v>2279</v>
      </c>
    </row>
    <row r="216" spans="1:1">
      <c r="A216" s="6" t="s">
        <v>2280</v>
      </c>
    </row>
    <row r="217" spans="1:1">
      <c r="A217" s="6" t="s">
        <v>2281</v>
      </c>
    </row>
    <row r="218" spans="1:1">
      <c r="A218" s="6" t="s">
        <v>2282</v>
      </c>
    </row>
    <row r="219" spans="1:1">
      <c r="A219" s="6" t="s">
        <v>2283</v>
      </c>
    </row>
    <row r="220" spans="1:1">
      <c r="A220" s="6" t="s">
        <v>2284</v>
      </c>
    </row>
    <row r="221" spans="1:1">
      <c r="A221" s="6" t="s">
        <v>2285</v>
      </c>
    </row>
    <row r="222" spans="1:1">
      <c r="A222" s="6" t="s">
        <v>2286</v>
      </c>
    </row>
    <row r="223" spans="1:1">
      <c r="A223" s="6" t="s">
        <v>1990</v>
      </c>
    </row>
    <row r="224" spans="1:1">
      <c r="A224" s="6" t="s">
        <v>2017</v>
      </c>
    </row>
    <row r="225" spans="1:1">
      <c r="A225" s="6" t="s">
        <v>2287</v>
      </c>
    </row>
    <row r="226" spans="1:1">
      <c r="A226" s="6" t="s">
        <v>2288</v>
      </c>
    </row>
    <row r="227" spans="1:1">
      <c r="A227" s="6" t="s">
        <v>2289</v>
      </c>
    </row>
    <row r="228" spans="1:1">
      <c r="A228" s="6" t="s">
        <v>2290</v>
      </c>
    </row>
    <row r="229" spans="1:1">
      <c r="A229" s="6" t="s">
        <v>2291</v>
      </c>
    </row>
    <row r="230" spans="1:1">
      <c r="A230" s="6" t="s">
        <v>2292</v>
      </c>
    </row>
    <row r="231" spans="1:1">
      <c r="A231" s="6" t="s">
        <v>2293</v>
      </c>
    </row>
    <row r="232" spans="1:1">
      <c r="A232" s="6" t="s">
        <v>2294</v>
      </c>
    </row>
    <row r="233" spans="1:1">
      <c r="A233" s="6" t="s">
        <v>2295</v>
      </c>
    </row>
    <row r="234" spans="1:1">
      <c r="A234" s="6" t="s">
        <v>2296</v>
      </c>
    </row>
    <row r="235" spans="1:1">
      <c r="A235" s="6" t="s">
        <v>2018</v>
      </c>
    </row>
    <row r="236" spans="1:1">
      <c r="A236" s="6" t="s">
        <v>2297</v>
      </c>
    </row>
    <row r="237" spans="1:1">
      <c r="A237" s="6" t="s">
        <v>2298</v>
      </c>
    </row>
    <row r="238" spans="1:1">
      <c r="A238" s="6" t="s">
        <v>2299</v>
      </c>
    </row>
    <row r="239" spans="1:1">
      <c r="A239" s="6" t="s">
        <v>2300</v>
      </c>
    </row>
    <row r="240" spans="1:1">
      <c r="A240" s="6" t="s">
        <v>2301</v>
      </c>
    </row>
    <row r="241" spans="1:1">
      <c r="A241" s="6" t="s">
        <v>2302</v>
      </c>
    </row>
    <row r="242" spans="1:1">
      <c r="A242" s="6" t="s">
        <v>2303</v>
      </c>
    </row>
    <row r="243" spans="1:1">
      <c r="A243" s="6" t="s">
        <v>2304</v>
      </c>
    </row>
    <row r="244" spans="1:1">
      <c r="A244" s="6" t="s">
        <v>2305</v>
      </c>
    </row>
    <row r="245" spans="1:1">
      <c r="A245" s="6" t="s">
        <v>2306</v>
      </c>
    </row>
    <row r="246" spans="1:1">
      <c r="A246" s="6" t="s">
        <v>2019</v>
      </c>
    </row>
    <row r="247" spans="1:1">
      <c r="A247" s="6" t="s">
        <v>2307</v>
      </c>
    </row>
    <row r="248" spans="1:1">
      <c r="A248" s="6" t="s">
        <v>2308</v>
      </c>
    </row>
    <row r="249" spans="1:1">
      <c r="A249" s="6" t="s">
        <v>2309</v>
      </c>
    </row>
    <row r="250" spans="1:1">
      <c r="A250" s="6" t="s">
        <v>2310</v>
      </c>
    </row>
    <row r="251" spans="1:1">
      <c r="A251" s="6" t="s">
        <v>2311</v>
      </c>
    </row>
    <row r="252" spans="1:1">
      <c r="A252" s="6" t="s">
        <v>2312</v>
      </c>
    </row>
    <row r="253" spans="1:1">
      <c r="A253" s="6" t="s">
        <v>2313</v>
      </c>
    </row>
    <row r="254" spans="1:1">
      <c r="A254" s="6" t="s">
        <v>2314</v>
      </c>
    </row>
    <row r="255" spans="1:1">
      <c r="A255" s="6" t="s">
        <v>2315</v>
      </c>
    </row>
    <row r="256" spans="1:1">
      <c r="A256" s="6" t="s">
        <v>2316</v>
      </c>
    </row>
    <row r="257" spans="1:1">
      <c r="A257" s="6" t="s">
        <v>2020</v>
      </c>
    </row>
    <row r="258" spans="1:1">
      <c r="A258" s="6" t="s">
        <v>2317</v>
      </c>
    </row>
    <row r="259" spans="1:1">
      <c r="A259" s="6" t="s">
        <v>2318</v>
      </c>
    </row>
    <row r="260" spans="1:1">
      <c r="A260" s="6" t="s">
        <v>2319</v>
      </c>
    </row>
    <row r="261" spans="1:1">
      <c r="A261" s="6" t="s">
        <v>2320</v>
      </c>
    </row>
    <row r="262" spans="1:1">
      <c r="A262" s="6" t="s">
        <v>2321</v>
      </c>
    </row>
    <row r="263" spans="1:1">
      <c r="A263" s="6" t="s">
        <v>2322</v>
      </c>
    </row>
    <row r="264" spans="1:1">
      <c r="A264" s="6" t="s">
        <v>2323</v>
      </c>
    </row>
    <row r="265" spans="1:1">
      <c r="A265" s="6" t="s">
        <v>2324</v>
      </c>
    </row>
    <row r="266" spans="1:1">
      <c r="A266" s="6" t="s">
        <v>2325</v>
      </c>
    </row>
    <row r="267" spans="1:1">
      <c r="A267" s="6" t="s">
        <v>2326</v>
      </c>
    </row>
    <row r="268" spans="1:1">
      <c r="A268" s="6" t="s">
        <v>2021</v>
      </c>
    </row>
    <row r="269" spans="1:1">
      <c r="A269" s="6" t="s">
        <v>2327</v>
      </c>
    </row>
    <row r="270" spans="1:1">
      <c r="A270" s="6" t="s">
        <v>2328</v>
      </c>
    </row>
    <row r="271" spans="1:1">
      <c r="A271" s="6" t="s">
        <v>2329</v>
      </c>
    </row>
    <row r="272" spans="1:1">
      <c r="A272" s="6" t="s">
        <v>2330</v>
      </c>
    </row>
    <row r="273" spans="1:1">
      <c r="A273" s="6" t="s">
        <v>2331</v>
      </c>
    </row>
    <row r="274" spans="1:1">
      <c r="A274" s="6" t="s">
        <v>2332</v>
      </c>
    </row>
    <row r="275" spans="1:1">
      <c r="A275" s="6" t="s">
        <v>2333</v>
      </c>
    </row>
    <row r="276" spans="1:1">
      <c r="A276" s="6" t="s">
        <v>2334</v>
      </c>
    </row>
    <row r="277" spans="1:1">
      <c r="A277" s="6" t="s">
        <v>2335</v>
      </c>
    </row>
    <row r="278" spans="1:1">
      <c r="A278" s="6" t="s">
        <v>2336</v>
      </c>
    </row>
    <row r="279" spans="1:1">
      <c r="A279" s="6" t="s">
        <v>2022</v>
      </c>
    </row>
    <row r="280" spans="1:1">
      <c r="A280" s="6" t="s">
        <v>2337</v>
      </c>
    </row>
    <row r="281" spans="1:1">
      <c r="A281" s="6" t="s">
        <v>2338</v>
      </c>
    </row>
    <row r="282" spans="1:1">
      <c r="A282" s="6" t="s">
        <v>2339</v>
      </c>
    </row>
    <row r="283" spans="1:1">
      <c r="A283" s="6" t="s">
        <v>2340</v>
      </c>
    </row>
    <row r="284" spans="1:1">
      <c r="A284" s="6" t="s">
        <v>2341</v>
      </c>
    </row>
    <row r="285" spans="1:1">
      <c r="A285" s="6" t="s">
        <v>2342</v>
      </c>
    </row>
    <row r="286" spans="1:1">
      <c r="A286" s="6" t="s">
        <v>2343</v>
      </c>
    </row>
    <row r="287" spans="1:1">
      <c r="A287" s="6" t="s">
        <v>2344</v>
      </c>
    </row>
    <row r="288" spans="1:1">
      <c r="A288" s="6" t="s">
        <v>2345</v>
      </c>
    </row>
    <row r="289" spans="1:1">
      <c r="A289" s="6" t="s">
        <v>2346</v>
      </c>
    </row>
    <row r="290" spans="1:1">
      <c r="A290" s="6" t="s">
        <v>2023</v>
      </c>
    </row>
    <row r="291" spans="1:1">
      <c r="A291" s="6" t="s">
        <v>2347</v>
      </c>
    </row>
    <row r="292" spans="1:1">
      <c r="A292" s="6" t="s">
        <v>2348</v>
      </c>
    </row>
    <row r="293" spans="1:1">
      <c r="A293" s="6" t="s">
        <v>2349</v>
      </c>
    </row>
    <row r="294" spans="1:1">
      <c r="A294" s="6" t="s">
        <v>2350</v>
      </c>
    </row>
    <row r="295" spans="1:1">
      <c r="A295" s="6" t="s">
        <v>2351</v>
      </c>
    </row>
    <row r="296" spans="1:1">
      <c r="A296" s="6" t="s">
        <v>2352</v>
      </c>
    </row>
    <row r="297" spans="1:1">
      <c r="A297" s="6" t="s">
        <v>2353</v>
      </c>
    </row>
    <row r="298" spans="1:1">
      <c r="A298" s="6" t="s">
        <v>2354</v>
      </c>
    </row>
    <row r="299" spans="1:1">
      <c r="A299" s="6" t="s">
        <v>2355</v>
      </c>
    </row>
    <row r="300" spans="1:1">
      <c r="A300" s="6" t="s">
        <v>2356</v>
      </c>
    </row>
    <row r="301" spans="1:1">
      <c r="A301" s="6" t="s">
        <v>2024</v>
      </c>
    </row>
    <row r="302" spans="1:1">
      <c r="A302" s="6" t="s">
        <v>2357</v>
      </c>
    </row>
    <row r="303" spans="1:1">
      <c r="A303" s="6" t="s">
        <v>2358</v>
      </c>
    </row>
    <row r="304" spans="1:1">
      <c r="A304" s="6" t="s">
        <v>2359</v>
      </c>
    </row>
    <row r="305" spans="1:1">
      <c r="A305" s="6" t="s">
        <v>2360</v>
      </c>
    </row>
    <row r="306" spans="1:1">
      <c r="A306" s="6" t="s">
        <v>2361</v>
      </c>
    </row>
    <row r="307" spans="1:1">
      <c r="A307" s="6" t="s">
        <v>2362</v>
      </c>
    </row>
    <row r="308" spans="1:1">
      <c r="A308" s="6" t="s">
        <v>2363</v>
      </c>
    </row>
    <row r="309" spans="1:1">
      <c r="A309" s="6" t="s">
        <v>2364</v>
      </c>
    </row>
    <row r="310" spans="1:1">
      <c r="A310" s="6" t="s">
        <v>2365</v>
      </c>
    </row>
    <row r="311" spans="1:1">
      <c r="A311" s="6" t="s">
        <v>2366</v>
      </c>
    </row>
    <row r="312" spans="1:1">
      <c r="A312" s="6" t="s">
        <v>2025</v>
      </c>
    </row>
    <row r="313" spans="1:1">
      <c r="A313" s="6" t="s">
        <v>2367</v>
      </c>
    </row>
    <row r="314" spans="1:1">
      <c r="A314" s="6" t="s">
        <v>2368</v>
      </c>
    </row>
    <row r="315" spans="1:1">
      <c r="A315" s="6" t="s">
        <v>2369</v>
      </c>
    </row>
    <row r="316" spans="1:1">
      <c r="A316" s="6" t="s">
        <v>2370</v>
      </c>
    </row>
    <row r="317" spans="1:1">
      <c r="A317" s="6" t="s">
        <v>2371</v>
      </c>
    </row>
    <row r="318" spans="1:1">
      <c r="A318" s="6" t="s">
        <v>2372</v>
      </c>
    </row>
    <row r="319" spans="1:1">
      <c r="A319" s="6" t="s">
        <v>2373</v>
      </c>
    </row>
    <row r="320" spans="1:1">
      <c r="A320" s="6" t="s">
        <v>2374</v>
      </c>
    </row>
    <row r="321" spans="1:1">
      <c r="A321" s="6" t="s">
        <v>2375</v>
      </c>
    </row>
    <row r="322" spans="1:1">
      <c r="A322" s="6" t="s">
        <v>2376</v>
      </c>
    </row>
    <row r="323" spans="1:1">
      <c r="A323" s="6" t="s">
        <v>2026</v>
      </c>
    </row>
    <row r="324" spans="1:1">
      <c r="A324" s="6" t="s">
        <v>2377</v>
      </c>
    </row>
    <row r="325" spans="1:1">
      <c r="A325" s="6" t="s">
        <v>2378</v>
      </c>
    </row>
    <row r="326" spans="1:1">
      <c r="A326" s="6" t="s">
        <v>2379</v>
      </c>
    </row>
    <row r="327" spans="1:1">
      <c r="A327" s="6" t="s">
        <v>2380</v>
      </c>
    </row>
    <row r="328" spans="1:1">
      <c r="A328" s="6" t="s">
        <v>2381</v>
      </c>
    </row>
    <row r="329" spans="1:1">
      <c r="A329" s="6" t="s">
        <v>2382</v>
      </c>
    </row>
    <row r="330" spans="1:1">
      <c r="A330" s="6" t="s">
        <v>2383</v>
      </c>
    </row>
    <row r="331" spans="1:1">
      <c r="A331" s="6" t="s">
        <v>2384</v>
      </c>
    </row>
    <row r="332" spans="1:1">
      <c r="A332" s="6" t="s">
        <v>2385</v>
      </c>
    </row>
    <row r="333" spans="1:1">
      <c r="A333" s="6" t="s">
        <v>2386</v>
      </c>
    </row>
    <row r="334" spans="1:1">
      <c r="A334" s="6" t="s">
        <v>1991</v>
      </c>
    </row>
    <row r="335" spans="1:1">
      <c r="A335" s="6" t="s">
        <v>2027</v>
      </c>
    </row>
    <row r="336" spans="1:1">
      <c r="A336" s="6" t="s">
        <v>2387</v>
      </c>
    </row>
    <row r="337" spans="1:1">
      <c r="A337" s="6" t="s">
        <v>2388</v>
      </c>
    </row>
    <row r="338" spans="1:1">
      <c r="A338" s="6" t="s">
        <v>2389</v>
      </c>
    </row>
    <row r="339" spans="1:1">
      <c r="A339" s="6" t="s">
        <v>2390</v>
      </c>
    </row>
    <row r="340" spans="1:1">
      <c r="A340" s="6" t="s">
        <v>2391</v>
      </c>
    </row>
    <row r="341" spans="1:1">
      <c r="A341" s="6" t="s">
        <v>2392</v>
      </c>
    </row>
    <row r="342" spans="1:1">
      <c r="A342" s="6" t="s">
        <v>2393</v>
      </c>
    </row>
    <row r="343" spans="1:1">
      <c r="A343" s="6" t="s">
        <v>2394</v>
      </c>
    </row>
    <row r="344" spans="1:1">
      <c r="A344" s="6" t="s">
        <v>2395</v>
      </c>
    </row>
    <row r="345" spans="1:1">
      <c r="A345" s="6" t="s">
        <v>2396</v>
      </c>
    </row>
    <row r="346" spans="1:1">
      <c r="A346" s="6" t="s">
        <v>2028</v>
      </c>
    </row>
    <row r="347" spans="1:1">
      <c r="A347" s="6" t="s">
        <v>2397</v>
      </c>
    </row>
    <row r="348" spans="1:1">
      <c r="A348" s="6" t="s">
        <v>2398</v>
      </c>
    </row>
    <row r="349" spans="1:1">
      <c r="A349" s="6" t="s">
        <v>2399</v>
      </c>
    </row>
    <row r="350" spans="1:1">
      <c r="A350" s="6" t="s">
        <v>2400</v>
      </c>
    </row>
    <row r="351" spans="1:1">
      <c r="A351" s="6" t="s">
        <v>2401</v>
      </c>
    </row>
    <row r="352" spans="1:1">
      <c r="A352" s="6" t="s">
        <v>2402</v>
      </c>
    </row>
    <row r="353" spans="1:1">
      <c r="A353" s="6" t="s">
        <v>2403</v>
      </c>
    </row>
    <row r="354" spans="1:1">
      <c r="A354" s="6" t="s">
        <v>2404</v>
      </c>
    </row>
    <row r="355" spans="1:1">
      <c r="A355" s="6" t="s">
        <v>2405</v>
      </c>
    </row>
    <row r="356" spans="1:1">
      <c r="A356" s="6" t="s">
        <v>2406</v>
      </c>
    </row>
    <row r="357" spans="1:1">
      <c r="A357" s="6" t="s">
        <v>2029</v>
      </c>
    </row>
    <row r="358" spans="1:1">
      <c r="A358" s="6" t="s">
        <v>2407</v>
      </c>
    </row>
    <row r="359" spans="1:1">
      <c r="A359" s="6" t="s">
        <v>2408</v>
      </c>
    </row>
    <row r="360" spans="1:1">
      <c r="A360" s="6" t="s">
        <v>2409</v>
      </c>
    </row>
    <row r="361" spans="1:1">
      <c r="A361" s="6" t="s">
        <v>2410</v>
      </c>
    </row>
    <row r="362" spans="1:1">
      <c r="A362" s="6" t="s">
        <v>2411</v>
      </c>
    </row>
    <row r="363" spans="1:1">
      <c r="A363" s="6" t="s">
        <v>2412</v>
      </c>
    </row>
    <row r="364" spans="1:1">
      <c r="A364" s="6" t="s">
        <v>2413</v>
      </c>
    </row>
    <row r="365" spans="1:1">
      <c r="A365" s="6" t="s">
        <v>2414</v>
      </c>
    </row>
    <row r="366" spans="1:1">
      <c r="A366" s="6" t="s">
        <v>2415</v>
      </c>
    </row>
    <row r="367" spans="1:1">
      <c r="A367" s="6" t="s">
        <v>2416</v>
      </c>
    </row>
    <row r="368" spans="1:1">
      <c r="A368" s="6" t="s">
        <v>2030</v>
      </c>
    </row>
    <row r="369" spans="1:1">
      <c r="A369" s="6" t="s">
        <v>2417</v>
      </c>
    </row>
    <row r="370" spans="1:1">
      <c r="A370" s="6" t="s">
        <v>2418</v>
      </c>
    </row>
    <row r="371" spans="1:1">
      <c r="A371" s="6" t="s">
        <v>2419</v>
      </c>
    </row>
    <row r="372" spans="1:1">
      <c r="A372" s="6" t="s">
        <v>2420</v>
      </c>
    </row>
    <row r="373" spans="1:1">
      <c r="A373" s="6" t="s">
        <v>2421</v>
      </c>
    </row>
    <row r="374" spans="1:1">
      <c r="A374" s="6" t="s">
        <v>2422</v>
      </c>
    </row>
    <row r="375" spans="1:1">
      <c r="A375" s="6" t="s">
        <v>2423</v>
      </c>
    </row>
    <row r="376" spans="1:1">
      <c r="A376" s="6" t="s">
        <v>2424</v>
      </c>
    </row>
    <row r="377" spans="1:1">
      <c r="A377" s="6" t="s">
        <v>2425</v>
      </c>
    </row>
    <row r="378" spans="1:1">
      <c r="A378" s="6" t="s">
        <v>2426</v>
      </c>
    </row>
    <row r="379" spans="1:1">
      <c r="A379" s="6" t="s">
        <v>2031</v>
      </c>
    </row>
    <row r="380" spans="1:1">
      <c r="A380" s="6" t="s">
        <v>2427</v>
      </c>
    </row>
    <row r="381" spans="1:1">
      <c r="A381" s="6" t="s">
        <v>2428</v>
      </c>
    </row>
    <row r="382" spans="1:1">
      <c r="A382" s="6" t="s">
        <v>2429</v>
      </c>
    </row>
    <row r="383" spans="1:1">
      <c r="A383" s="6" t="s">
        <v>2430</v>
      </c>
    </row>
    <row r="384" spans="1:1">
      <c r="A384" s="6" t="s">
        <v>2431</v>
      </c>
    </row>
    <row r="385" spans="1:1">
      <c r="A385" s="6" t="s">
        <v>2432</v>
      </c>
    </row>
    <row r="386" spans="1:1">
      <c r="A386" s="6" t="s">
        <v>2433</v>
      </c>
    </row>
    <row r="387" spans="1:1">
      <c r="A387" s="6" t="s">
        <v>2434</v>
      </c>
    </row>
    <row r="388" spans="1:1">
      <c r="A388" s="6" t="s">
        <v>2435</v>
      </c>
    </row>
    <row r="389" spans="1:1">
      <c r="A389" s="6" t="s">
        <v>2436</v>
      </c>
    </row>
    <row r="390" spans="1:1">
      <c r="A390" s="6" t="s">
        <v>2032</v>
      </c>
    </row>
    <row r="391" spans="1:1">
      <c r="A391" s="6" t="s">
        <v>2437</v>
      </c>
    </row>
    <row r="392" spans="1:1">
      <c r="A392" s="6" t="s">
        <v>2438</v>
      </c>
    </row>
    <row r="393" spans="1:1">
      <c r="A393" s="6" t="s">
        <v>2439</v>
      </c>
    </row>
    <row r="394" spans="1:1">
      <c r="A394" s="6" t="s">
        <v>2440</v>
      </c>
    </row>
    <row r="395" spans="1:1">
      <c r="A395" s="6" t="s">
        <v>2441</v>
      </c>
    </row>
    <row r="396" spans="1:1">
      <c r="A396" s="6" t="s">
        <v>2442</v>
      </c>
    </row>
    <row r="397" spans="1:1">
      <c r="A397" s="6" t="s">
        <v>2443</v>
      </c>
    </row>
    <row r="398" spans="1:1">
      <c r="A398" s="6" t="s">
        <v>2444</v>
      </c>
    </row>
    <row r="399" spans="1:1">
      <c r="A399" s="6" t="s">
        <v>2445</v>
      </c>
    </row>
    <row r="400" spans="1:1">
      <c r="A400" s="6" t="s">
        <v>2446</v>
      </c>
    </row>
    <row r="401" spans="1:1">
      <c r="A401" s="6" t="s">
        <v>2033</v>
      </c>
    </row>
    <row r="402" spans="1:1">
      <c r="A402" s="6" t="s">
        <v>2447</v>
      </c>
    </row>
    <row r="403" spans="1:1">
      <c r="A403" s="6" t="s">
        <v>2448</v>
      </c>
    </row>
    <row r="404" spans="1:1">
      <c r="A404" s="6" t="s">
        <v>2449</v>
      </c>
    </row>
    <row r="405" spans="1:1">
      <c r="A405" s="6" t="s">
        <v>2450</v>
      </c>
    </row>
    <row r="406" spans="1:1">
      <c r="A406" s="6" t="s">
        <v>2451</v>
      </c>
    </row>
    <row r="407" spans="1:1">
      <c r="A407" s="6" t="s">
        <v>2452</v>
      </c>
    </row>
    <row r="408" spans="1:1">
      <c r="A408" s="6" t="s">
        <v>2453</v>
      </c>
    </row>
    <row r="409" spans="1:1">
      <c r="A409" s="6" t="s">
        <v>2454</v>
      </c>
    </row>
    <row r="410" spans="1:1">
      <c r="A410" s="6" t="s">
        <v>2455</v>
      </c>
    </row>
    <row r="411" spans="1:1">
      <c r="A411" s="6" t="s">
        <v>2456</v>
      </c>
    </row>
    <row r="412" spans="1:1">
      <c r="A412" s="6" t="s">
        <v>2034</v>
      </c>
    </row>
    <row r="413" spans="1:1">
      <c r="A413" s="6" t="s">
        <v>2457</v>
      </c>
    </row>
    <row r="414" spans="1:1">
      <c r="A414" s="6" t="s">
        <v>2458</v>
      </c>
    </row>
    <row r="415" spans="1:1">
      <c r="A415" s="6" t="s">
        <v>2459</v>
      </c>
    </row>
    <row r="416" spans="1:1">
      <c r="A416" s="6" t="s">
        <v>2460</v>
      </c>
    </row>
    <row r="417" spans="1:1">
      <c r="A417" s="6" t="s">
        <v>2461</v>
      </c>
    </row>
    <row r="418" spans="1:1">
      <c r="A418" s="6" t="s">
        <v>2462</v>
      </c>
    </row>
    <row r="419" spans="1:1">
      <c r="A419" s="6" t="s">
        <v>2463</v>
      </c>
    </row>
    <row r="420" spans="1:1">
      <c r="A420" s="6" t="s">
        <v>2464</v>
      </c>
    </row>
    <row r="421" spans="1:1">
      <c r="A421" s="6" t="s">
        <v>2465</v>
      </c>
    </row>
    <row r="422" spans="1:1">
      <c r="A422" s="6" t="s">
        <v>2466</v>
      </c>
    </row>
    <row r="423" spans="1:1">
      <c r="A423" s="6" t="s">
        <v>2035</v>
      </c>
    </row>
    <row r="424" spans="1:1">
      <c r="A424" s="6" t="s">
        <v>2467</v>
      </c>
    </row>
    <row r="425" spans="1:1">
      <c r="A425" s="6" t="s">
        <v>2468</v>
      </c>
    </row>
    <row r="426" spans="1:1">
      <c r="A426" s="6" t="s">
        <v>2469</v>
      </c>
    </row>
    <row r="427" spans="1:1">
      <c r="A427" s="6" t="s">
        <v>2470</v>
      </c>
    </row>
    <row r="428" spans="1:1">
      <c r="A428" s="6" t="s">
        <v>2471</v>
      </c>
    </row>
    <row r="429" spans="1:1">
      <c r="A429" s="6" t="s">
        <v>2472</v>
      </c>
    </row>
    <row r="430" spans="1:1">
      <c r="A430" s="6" t="s">
        <v>2473</v>
      </c>
    </row>
    <row r="431" spans="1:1">
      <c r="A431" s="6" t="s">
        <v>2474</v>
      </c>
    </row>
    <row r="432" spans="1:1">
      <c r="A432" s="6" t="s">
        <v>2475</v>
      </c>
    </row>
    <row r="433" spans="1:1">
      <c r="A433" s="6" t="s">
        <v>2476</v>
      </c>
    </row>
    <row r="434" spans="1:1">
      <c r="A434" s="6" t="s">
        <v>2036</v>
      </c>
    </row>
    <row r="435" spans="1:1">
      <c r="A435" s="6" t="s">
        <v>2477</v>
      </c>
    </row>
    <row r="436" spans="1:1">
      <c r="A436" s="6" t="s">
        <v>2478</v>
      </c>
    </row>
    <row r="437" spans="1:1">
      <c r="A437" s="6" t="s">
        <v>2479</v>
      </c>
    </row>
    <row r="438" spans="1:1">
      <c r="A438" s="6" t="s">
        <v>2480</v>
      </c>
    </row>
    <row r="439" spans="1:1">
      <c r="A439" s="6" t="s">
        <v>2481</v>
      </c>
    </row>
    <row r="440" spans="1:1">
      <c r="A440" s="6" t="s">
        <v>2482</v>
      </c>
    </row>
    <row r="441" spans="1:1">
      <c r="A441" s="6" t="s">
        <v>2483</v>
      </c>
    </row>
    <row r="442" spans="1:1">
      <c r="A442" s="6" t="s">
        <v>2484</v>
      </c>
    </row>
    <row r="443" spans="1:1">
      <c r="A443" s="6" t="s">
        <v>2485</v>
      </c>
    </row>
    <row r="444" spans="1:1">
      <c r="A444" s="6" t="s">
        <v>2486</v>
      </c>
    </row>
    <row r="445" spans="1:1">
      <c r="A445" s="6" t="s">
        <v>1992</v>
      </c>
    </row>
    <row r="446" spans="1:1">
      <c r="A446" s="6" t="s">
        <v>2037</v>
      </c>
    </row>
    <row r="447" spans="1:1">
      <c r="A447" s="6" t="s">
        <v>2487</v>
      </c>
    </row>
    <row r="448" spans="1:1">
      <c r="A448" s="6" t="s">
        <v>2488</v>
      </c>
    </row>
    <row r="449" spans="1:1">
      <c r="A449" s="6" t="s">
        <v>2489</v>
      </c>
    </row>
    <row r="450" spans="1:1">
      <c r="A450" s="6" t="s">
        <v>2490</v>
      </c>
    </row>
    <row r="451" spans="1:1">
      <c r="A451" s="6" t="s">
        <v>2491</v>
      </c>
    </row>
    <row r="452" spans="1:1">
      <c r="A452" s="6" t="s">
        <v>2492</v>
      </c>
    </row>
    <row r="453" spans="1:1">
      <c r="A453" s="6" t="s">
        <v>2493</v>
      </c>
    </row>
    <row r="454" spans="1:1">
      <c r="A454" s="6" t="s">
        <v>2494</v>
      </c>
    </row>
    <row r="455" spans="1:1">
      <c r="A455" s="6" t="s">
        <v>2495</v>
      </c>
    </row>
    <row r="456" spans="1:1">
      <c r="A456" s="6" t="s">
        <v>2496</v>
      </c>
    </row>
    <row r="457" spans="1:1">
      <c r="A457" s="6" t="s">
        <v>2038</v>
      </c>
    </row>
    <row r="458" spans="1:1">
      <c r="A458" s="6" t="s">
        <v>2497</v>
      </c>
    </row>
    <row r="459" spans="1:1">
      <c r="A459" s="6" t="s">
        <v>2498</v>
      </c>
    </row>
    <row r="460" spans="1:1">
      <c r="A460" s="6" t="s">
        <v>2499</v>
      </c>
    </row>
    <row r="461" spans="1:1">
      <c r="A461" s="6" t="s">
        <v>2500</v>
      </c>
    </row>
    <row r="462" spans="1:1">
      <c r="A462" s="6" t="s">
        <v>2501</v>
      </c>
    </row>
    <row r="463" spans="1:1">
      <c r="A463" s="6" t="s">
        <v>2502</v>
      </c>
    </row>
    <row r="464" spans="1:1">
      <c r="A464" s="6" t="s">
        <v>2503</v>
      </c>
    </row>
    <row r="465" spans="1:1">
      <c r="A465" s="6" t="s">
        <v>2504</v>
      </c>
    </row>
    <row r="466" spans="1:1">
      <c r="A466" s="6" t="s">
        <v>2505</v>
      </c>
    </row>
    <row r="467" spans="1:1">
      <c r="A467" s="6" t="s">
        <v>2506</v>
      </c>
    </row>
    <row r="468" spans="1:1">
      <c r="A468" s="6" t="s">
        <v>2039</v>
      </c>
    </row>
    <row r="469" spans="1:1">
      <c r="A469" s="6" t="s">
        <v>2507</v>
      </c>
    </row>
    <row r="470" spans="1:1">
      <c r="A470" s="6" t="s">
        <v>2508</v>
      </c>
    </row>
    <row r="471" spans="1:1">
      <c r="A471" s="6" t="s">
        <v>2509</v>
      </c>
    </row>
    <row r="472" spans="1:1">
      <c r="A472" s="6" t="s">
        <v>2510</v>
      </c>
    </row>
    <row r="473" spans="1:1">
      <c r="A473" s="6" t="s">
        <v>2511</v>
      </c>
    </row>
    <row r="474" spans="1:1">
      <c r="A474" s="6" t="s">
        <v>2512</v>
      </c>
    </row>
    <row r="475" spans="1:1">
      <c r="A475" s="6" t="s">
        <v>2513</v>
      </c>
    </row>
    <row r="476" spans="1:1">
      <c r="A476" s="6" t="s">
        <v>2514</v>
      </c>
    </row>
    <row r="477" spans="1:1">
      <c r="A477" s="6" t="s">
        <v>2515</v>
      </c>
    </row>
    <row r="478" spans="1:1">
      <c r="A478" s="6" t="s">
        <v>2516</v>
      </c>
    </row>
    <row r="479" spans="1:1">
      <c r="A479" s="6" t="s">
        <v>2040</v>
      </c>
    </row>
    <row r="480" spans="1:1">
      <c r="A480" s="6" t="s">
        <v>2517</v>
      </c>
    </row>
    <row r="481" spans="1:1">
      <c r="A481" s="6" t="s">
        <v>2518</v>
      </c>
    </row>
    <row r="482" spans="1:1">
      <c r="A482" s="6" t="s">
        <v>2519</v>
      </c>
    </row>
    <row r="483" spans="1:1">
      <c r="A483" s="6" t="s">
        <v>2520</v>
      </c>
    </row>
    <row r="484" spans="1:1">
      <c r="A484" s="6" t="s">
        <v>2521</v>
      </c>
    </row>
    <row r="485" spans="1:1">
      <c r="A485" s="6" t="s">
        <v>2522</v>
      </c>
    </row>
    <row r="486" spans="1:1">
      <c r="A486" s="6" t="s">
        <v>2523</v>
      </c>
    </row>
    <row r="487" spans="1:1">
      <c r="A487" s="6" t="s">
        <v>2524</v>
      </c>
    </row>
    <row r="488" spans="1:1">
      <c r="A488" s="6" t="s">
        <v>2525</v>
      </c>
    </row>
    <row r="489" spans="1:1">
      <c r="A489" s="6" t="s">
        <v>2526</v>
      </c>
    </row>
    <row r="490" spans="1:1">
      <c r="A490" s="6" t="s">
        <v>2041</v>
      </c>
    </row>
    <row r="491" spans="1:1">
      <c r="A491" s="6" t="s">
        <v>2527</v>
      </c>
    </row>
    <row r="492" spans="1:1">
      <c r="A492" s="6" t="s">
        <v>2528</v>
      </c>
    </row>
    <row r="493" spans="1:1">
      <c r="A493" s="6" t="s">
        <v>2529</v>
      </c>
    </row>
    <row r="494" spans="1:1">
      <c r="A494" s="6" t="s">
        <v>2530</v>
      </c>
    </row>
    <row r="495" spans="1:1">
      <c r="A495" s="6" t="s">
        <v>2531</v>
      </c>
    </row>
    <row r="496" spans="1:1">
      <c r="A496" s="6" t="s">
        <v>2532</v>
      </c>
    </row>
    <row r="497" spans="1:1">
      <c r="A497" s="6" t="s">
        <v>2533</v>
      </c>
    </row>
    <row r="498" spans="1:1">
      <c r="A498" s="6" t="s">
        <v>2534</v>
      </c>
    </row>
    <row r="499" spans="1:1">
      <c r="A499" s="6" t="s">
        <v>2535</v>
      </c>
    </row>
    <row r="500" spans="1:1">
      <c r="A500" s="6" t="s">
        <v>2536</v>
      </c>
    </row>
    <row r="501" spans="1:1">
      <c r="A501" s="6" t="s">
        <v>2042</v>
      </c>
    </row>
    <row r="502" spans="1:1">
      <c r="A502" s="6" t="s">
        <v>2537</v>
      </c>
    </row>
    <row r="503" spans="1:1">
      <c r="A503" s="6" t="s">
        <v>2538</v>
      </c>
    </row>
    <row r="504" spans="1:1">
      <c r="A504" s="6" t="s">
        <v>2539</v>
      </c>
    </row>
    <row r="505" spans="1:1">
      <c r="A505" s="6" t="s">
        <v>2540</v>
      </c>
    </row>
    <row r="506" spans="1:1">
      <c r="A506" s="6" t="s">
        <v>2541</v>
      </c>
    </row>
    <row r="507" spans="1:1">
      <c r="A507" s="6" t="s">
        <v>2542</v>
      </c>
    </row>
    <row r="508" spans="1:1">
      <c r="A508" s="6" t="s">
        <v>2543</v>
      </c>
    </row>
    <row r="509" spans="1:1">
      <c r="A509" s="6" t="s">
        <v>2544</v>
      </c>
    </row>
    <row r="510" spans="1:1">
      <c r="A510" s="6" t="s">
        <v>2545</v>
      </c>
    </row>
    <row r="511" spans="1:1">
      <c r="A511" s="6" t="s">
        <v>2546</v>
      </c>
    </row>
    <row r="512" spans="1:1">
      <c r="A512" s="6" t="s">
        <v>2043</v>
      </c>
    </row>
    <row r="513" spans="1:1">
      <c r="A513" s="6" t="s">
        <v>2547</v>
      </c>
    </row>
    <row r="514" spans="1:1">
      <c r="A514" s="6" t="s">
        <v>2548</v>
      </c>
    </row>
    <row r="515" spans="1:1">
      <c r="A515" s="6" t="s">
        <v>2549</v>
      </c>
    </row>
    <row r="516" spans="1:1">
      <c r="A516" s="6" t="s">
        <v>2550</v>
      </c>
    </row>
    <row r="517" spans="1:1">
      <c r="A517" s="6" t="s">
        <v>2551</v>
      </c>
    </row>
    <row r="518" spans="1:1">
      <c r="A518" s="6" t="s">
        <v>2552</v>
      </c>
    </row>
    <row r="519" spans="1:1">
      <c r="A519" s="6" t="s">
        <v>2553</v>
      </c>
    </row>
    <row r="520" spans="1:1">
      <c r="A520" s="6" t="s">
        <v>2554</v>
      </c>
    </row>
    <row r="521" spans="1:1">
      <c r="A521" s="6" t="s">
        <v>2555</v>
      </c>
    </row>
    <row r="522" spans="1:1">
      <c r="A522" s="6" t="s">
        <v>2556</v>
      </c>
    </row>
    <row r="523" spans="1:1">
      <c r="A523" s="6" t="s">
        <v>2044</v>
      </c>
    </row>
    <row r="524" spans="1:1">
      <c r="A524" s="6" t="s">
        <v>2557</v>
      </c>
    </row>
    <row r="525" spans="1:1">
      <c r="A525" s="6" t="s">
        <v>2558</v>
      </c>
    </row>
    <row r="526" spans="1:1">
      <c r="A526" s="6" t="s">
        <v>2559</v>
      </c>
    </row>
    <row r="527" spans="1:1">
      <c r="A527" s="6" t="s">
        <v>2560</v>
      </c>
    </row>
    <row r="528" spans="1:1">
      <c r="A528" s="6" t="s">
        <v>2561</v>
      </c>
    </row>
    <row r="529" spans="1:1">
      <c r="A529" s="6" t="s">
        <v>2562</v>
      </c>
    </row>
    <row r="530" spans="1:1">
      <c r="A530" s="6" t="s">
        <v>2563</v>
      </c>
    </row>
    <row r="531" spans="1:1">
      <c r="A531" s="6" t="s">
        <v>2564</v>
      </c>
    </row>
    <row r="532" spans="1:1">
      <c r="A532" s="6" t="s">
        <v>2565</v>
      </c>
    </row>
    <row r="533" spans="1:1">
      <c r="A533" s="6" t="s">
        <v>2566</v>
      </c>
    </row>
    <row r="534" spans="1:1">
      <c r="A534" s="6" t="s">
        <v>2045</v>
      </c>
    </row>
    <row r="535" spans="1:1">
      <c r="A535" s="6" t="s">
        <v>2567</v>
      </c>
    </row>
    <row r="536" spans="1:1">
      <c r="A536" s="6" t="s">
        <v>2568</v>
      </c>
    </row>
    <row r="537" spans="1:1">
      <c r="A537" s="6" t="s">
        <v>2569</v>
      </c>
    </row>
    <row r="538" spans="1:1">
      <c r="A538" s="6" t="s">
        <v>2570</v>
      </c>
    </row>
    <row r="539" spans="1:1">
      <c r="A539" s="6" t="s">
        <v>2571</v>
      </c>
    </row>
    <row r="540" spans="1:1">
      <c r="A540" s="6" t="s">
        <v>2572</v>
      </c>
    </row>
    <row r="541" spans="1:1">
      <c r="A541" s="6" t="s">
        <v>2573</v>
      </c>
    </row>
    <row r="542" spans="1:1">
      <c r="A542" s="6" t="s">
        <v>2574</v>
      </c>
    </row>
    <row r="543" spans="1:1">
      <c r="A543" s="6" t="s">
        <v>2575</v>
      </c>
    </row>
    <row r="544" spans="1:1">
      <c r="A544" s="6" t="s">
        <v>2576</v>
      </c>
    </row>
    <row r="545" spans="1:1">
      <c r="A545" s="6" t="s">
        <v>2046</v>
      </c>
    </row>
    <row r="546" spans="1:1">
      <c r="A546" s="6" t="s">
        <v>2577</v>
      </c>
    </row>
    <row r="547" spans="1:1">
      <c r="A547" s="6" t="s">
        <v>2578</v>
      </c>
    </row>
    <row r="548" spans="1:1">
      <c r="A548" s="6" t="s">
        <v>2579</v>
      </c>
    </row>
    <row r="549" spans="1:1">
      <c r="A549" s="6" t="s">
        <v>2580</v>
      </c>
    </row>
    <row r="550" spans="1:1">
      <c r="A550" s="6" t="s">
        <v>2581</v>
      </c>
    </row>
    <row r="551" spans="1:1">
      <c r="A551" s="6" t="s">
        <v>2582</v>
      </c>
    </row>
    <row r="552" spans="1:1">
      <c r="A552" s="6" t="s">
        <v>2583</v>
      </c>
    </row>
    <row r="553" spans="1:1">
      <c r="A553" s="6" t="s">
        <v>2584</v>
      </c>
    </row>
    <row r="554" spans="1:1">
      <c r="A554" s="6" t="s">
        <v>2585</v>
      </c>
    </row>
    <row r="555" spans="1:1">
      <c r="A555" s="6" t="s">
        <v>2586</v>
      </c>
    </row>
    <row r="556" spans="1:1">
      <c r="A556" s="6" t="s">
        <v>1993</v>
      </c>
    </row>
    <row r="557" spans="1:1">
      <c r="A557" s="6" t="s">
        <v>2047</v>
      </c>
    </row>
    <row r="558" spans="1:1">
      <c r="A558" s="6" t="s">
        <v>2587</v>
      </c>
    </row>
    <row r="559" spans="1:1">
      <c r="A559" s="6" t="s">
        <v>2588</v>
      </c>
    </row>
    <row r="560" spans="1:1">
      <c r="A560" s="6" t="s">
        <v>2589</v>
      </c>
    </row>
    <row r="561" spans="1:1">
      <c r="A561" s="6" t="s">
        <v>2590</v>
      </c>
    </row>
    <row r="562" spans="1:1">
      <c r="A562" s="6" t="s">
        <v>2591</v>
      </c>
    </row>
    <row r="563" spans="1:1">
      <c r="A563" s="6" t="s">
        <v>2592</v>
      </c>
    </row>
    <row r="564" spans="1:1">
      <c r="A564" s="6" t="s">
        <v>2593</v>
      </c>
    </row>
    <row r="565" spans="1:1">
      <c r="A565" s="6" t="s">
        <v>2594</v>
      </c>
    </row>
    <row r="566" spans="1:1">
      <c r="A566" s="6" t="s">
        <v>2595</v>
      </c>
    </row>
    <row r="567" spans="1:1">
      <c r="A567" s="6" t="s">
        <v>2596</v>
      </c>
    </row>
    <row r="568" spans="1:1">
      <c r="A568" s="6" t="s">
        <v>2048</v>
      </c>
    </row>
    <row r="569" spans="1:1">
      <c r="A569" s="6" t="s">
        <v>2597</v>
      </c>
    </row>
    <row r="570" spans="1:1">
      <c r="A570" s="6" t="s">
        <v>2598</v>
      </c>
    </row>
    <row r="571" spans="1:1">
      <c r="A571" s="6" t="s">
        <v>2599</v>
      </c>
    </row>
    <row r="572" spans="1:1">
      <c r="A572" s="6" t="s">
        <v>2049</v>
      </c>
    </row>
    <row r="573" spans="1:1">
      <c r="A573" s="6" t="s">
        <v>2050</v>
      </c>
    </row>
    <row r="574" spans="1:1">
      <c r="A574" s="6" t="s">
        <v>2051</v>
      </c>
    </row>
    <row r="575" spans="1:1">
      <c r="A575" s="6" t="s">
        <v>2052</v>
      </c>
    </row>
    <row r="576" spans="1:1">
      <c r="A576" s="6" t="s">
        <v>2053</v>
      </c>
    </row>
    <row r="577" spans="1:1">
      <c r="A577" s="6" t="s">
        <v>2054</v>
      </c>
    </row>
    <row r="578" spans="1:1">
      <c r="A578" s="6" t="s">
        <v>2055</v>
      </c>
    </row>
    <row r="579" spans="1:1">
      <c r="A579" s="6" t="s">
        <v>2056</v>
      </c>
    </row>
    <row r="580" spans="1:1">
      <c r="A580" s="6" t="s">
        <v>1994</v>
      </c>
    </row>
    <row r="581" spans="1:1">
      <c r="A581" s="6" t="s">
        <v>2057</v>
      </c>
    </row>
    <row r="582" spans="1:1">
      <c r="A582" s="6" t="s">
        <v>2058</v>
      </c>
    </row>
    <row r="583" spans="1:1">
      <c r="A583" s="6" t="s">
        <v>2059</v>
      </c>
    </row>
    <row r="584" spans="1:1">
      <c r="A584" s="6" t="s">
        <v>2060</v>
      </c>
    </row>
    <row r="585" spans="1:1">
      <c r="A585" s="6" t="s">
        <v>2061</v>
      </c>
    </row>
    <row r="586" spans="1:1">
      <c r="A586" s="6" t="s">
        <v>2062</v>
      </c>
    </row>
    <row r="587" spans="1:1">
      <c r="A587" s="6" t="s">
        <v>2063</v>
      </c>
    </row>
    <row r="588" spans="1:1">
      <c r="A588" s="6" t="s">
        <v>2064</v>
      </c>
    </row>
    <row r="589" spans="1:1">
      <c r="A589" s="6" t="s">
        <v>2065</v>
      </c>
    </row>
    <row r="590" spans="1:1">
      <c r="A590" s="6" t="s">
        <v>2066</v>
      </c>
    </row>
    <row r="591" spans="1:1">
      <c r="A591" s="6" t="s">
        <v>1995</v>
      </c>
    </row>
    <row r="592" spans="1:1">
      <c r="A592" s="6" t="s">
        <v>2067</v>
      </c>
    </row>
    <row r="593" spans="1:1">
      <c r="A593" s="6" t="s">
        <v>2068</v>
      </c>
    </row>
    <row r="594" spans="1:1">
      <c r="A594" s="6" t="s">
        <v>2069</v>
      </c>
    </row>
    <row r="595" spans="1:1">
      <c r="A595" s="6" t="s">
        <v>2070</v>
      </c>
    </row>
    <row r="596" spans="1:1">
      <c r="A596" s="6" t="s">
        <v>2071</v>
      </c>
    </row>
    <row r="597" spans="1:1">
      <c r="A597" s="6" t="s">
        <v>2072</v>
      </c>
    </row>
    <row r="598" spans="1:1">
      <c r="A598" s="6" t="s">
        <v>2073</v>
      </c>
    </row>
    <row r="599" spans="1:1">
      <c r="A599" s="6" t="s">
        <v>2074</v>
      </c>
    </row>
    <row r="600" spans="1:1">
      <c r="A600" s="6" t="s">
        <v>2075</v>
      </c>
    </row>
    <row r="601" spans="1:1">
      <c r="A601" s="6" t="s">
        <v>2076</v>
      </c>
    </row>
    <row r="602" spans="1:1">
      <c r="A602" s="6" t="s">
        <v>1996</v>
      </c>
    </row>
    <row r="603" spans="1:1">
      <c r="A603" s="6" t="s">
        <v>2077</v>
      </c>
    </row>
    <row r="604" spans="1:1">
      <c r="A604" s="6" t="s">
        <v>2078</v>
      </c>
    </row>
    <row r="605" spans="1:1">
      <c r="A605" s="6" t="s">
        <v>2079</v>
      </c>
    </row>
    <row r="606" spans="1:1">
      <c r="A606" s="6" t="s">
        <v>2080</v>
      </c>
    </row>
    <row r="607" spans="1:1">
      <c r="A607" s="6" t="s">
        <v>2081</v>
      </c>
    </row>
    <row r="608" spans="1:1">
      <c r="A608" s="6" t="s">
        <v>2082</v>
      </c>
    </row>
    <row r="609" spans="1:1">
      <c r="A609" s="6" t="s">
        <v>2083</v>
      </c>
    </row>
    <row r="610" spans="1:1">
      <c r="A610" s="6" t="s">
        <v>2084</v>
      </c>
    </row>
    <row r="611" spans="1:1">
      <c r="A611" s="6" t="s">
        <v>2085</v>
      </c>
    </row>
    <row r="612" spans="1:1">
      <c r="A612" s="6" t="s">
        <v>2086</v>
      </c>
    </row>
  </sheetData>
  <sortState ref="A1:A612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TABLES</vt:lpstr>
      <vt:lpstr>Sheet3</vt:lpstr>
      <vt:lpstr>Sheet2</vt:lpstr>
      <vt:lpstr>Metawords</vt:lpstr>
      <vt:lpstr>Kategorie</vt:lpstr>
      <vt:lpstr>Words</vt:lpstr>
      <vt:lpstr>POL</vt:lpstr>
      <vt:lpstr>Sheet4</vt:lpstr>
      <vt:lpstr>convert categories to sql</vt:lpstr>
      <vt:lpstr>commands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Tomasz Mielniczek</cp:lastModifiedBy>
  <dcterms:created xsi:type="dcterms:W3CDTF">2014-05-12T17:43:46Z</dcterms:created>
  <dcterms:modified xsi:type="dcterms:W3CDTF">2014-06-01T22:53:50Z</dcterms:modified>
</cp:coreProperties>
</file>