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4860" windowWidth="19440" windowHeight="4920" activeTab="2"/>
  </bookViews>
  <sheets>
    <sheet name="AddCase" sheetId="1" r:id="rId1"/>
    <sheet name="data" sheetId="5" state="hidden" r:id="rId2"/>
    <sheet name="Sheet1" sheetId="6" r:id="rId3"/>
  </sheets>
  <functionGroups/>
  <definedNames>
    <definedName name="_xlnm._FilterDatabase" localSheetId="0" hidden="1">AddCase!#REF!</definedName>
    <definedName name="RNG">OFFSET(Sheet1!A$1,1,0,COUNTA(Sheet1!$A:$A)-1,1)</definedName>
  </definedNames>
  <calcPr calcId="125725"/>
  <fileRecoveryPr autoRecover="0" repairLoad="1"/>
</workbook>
</file>

<file path=xl/calcChain.xml><?xml version="1.0" encoding="utf-8"?>
<calcChain xmlns="http://schemas.openxmlformats.org/spreadsheetml/2006/main">
  <c r="T6" i="6"/>
  <c r="U6" s="1"/>
  <c r="W6" s="1"/>
  <c r="Q6"/>
  <c r="R6" s="1"/>
  <c r="G6"/>
  <c r="T5"/>
  <c r="U5" s="1"/>
  <c r="W5" s="1"/>
  <c r="Q5"/>
  <c r="R5" s="1"/>
  <c r="G5"/>
  <c r="T4"/>
  <c r="U4" s="1"/>
  <c r="W4" s="1"/>
  <c r="Q4"/>
  <c r="R4" s="1"/>
  <c r="G4"/>
  <c r="T3"/>
  <c r="U3" s="1"/>
  <c r="W3" s="1"/>
  <c r="Q3"/>
  <c r="R3" s="1"/>
  <c r="G3"/>
  <c r="T2"/>
  <c r="U2" s="1"/>
  <c r="W2" s="1"/>
  <c r="Q2"/>
  <c r="R2" s="1"/>
  <c r="G2"/>
  <c r="T1" l="1"/>
  <c r="R1"/>
  <c r="Q1"/>
  <c r="AL5" i="1"/>
  <c r="AK5"/>
  <c r="AJ5"/>
  <c r="AI5"/>
  <c r="AH5"/>
  <c r="AG5"/>
  <c r="AF5"/>
  <c r="AE5"/>
  <c r="AD5"/>
  <c r="AC5"/>
  <c r="AB5"/>
  <c r="AL4"/>
  <c r="AK4"/>
  <c r="AJ4"/>
  <c r="AI4"/>
  <c r="AH4"/>
  <c r="AG4"/>
  <c r="AF4"/>
  <c r="AE4"/>
  <c r="AD4"/>
  <c r="AC4"/>
  <c r="AB4"/>
  <c r="AL3"/>
  <c r="AK3"/>
  <c r="AJ3"/>
  <c r="AI3"/>
  <c r="AH3"/>
  <c r="AG3"/>
  <c r="AF3"/>
  <c r="AE3"/>
  <c r="AD3"/>
  <c r="AC3"/>
  <c r="AB3"/>
  <c r="W1" i="6" l="1"/>
  <c r="U1"/>
  <c r="AL6" i="1"/>
  <c r="AK6"/>
  <c r="AJ6"/>
  <c r="AI6"/>
  <c r="AH6"/>
  <c r="AG6"/>
  <c r="AF6"/>
  <c r="AE6"/>
  <c r="AD6"/>
  <c r="AC6"/>
  <c r="AB6"/>
  <c r="AB2" l="1"/>
  <c r="AC2"/>
  <c r="AD2"/>
  <c r="AE2"/>
  <c r="AF2"/>
  <c r="AG2"/>
  <c r="AH2"/>
  <c r="AI2"/>
  <c r="AJ2"/>
  <c r="AK2"/>
  <c r="AL2"/>
</calcChain>
</file>

<file path=xl/sharedStrings.xml><?xml version="1.0" encoding="utf-8"?>
<sst xmlns="http://schemas.openxmlformats.org/spreadsheetml/2006/main" count="1389" uniqueCount="941">
  <si>
    <t>POZNAN - KAM Sales Office</t>
  </si>
  <si>
    <t>Premier Cherrywood</t>
  </si>
  <si>
    <t>SAN Enrolment</t>
  </si>
  <si>
    <t>Terminal Recoveries</t>
  </si>
  <si>
    <t>UK - SALES OFFICE</t>
  </si>
  <si>
    <t>WARSAW - BOARDING</t>
  </si>
  <si>
    <t>federico annunziata</t>
  </si>
  <si>
    <t>Wojciech Jedruchniewicz</t>
  </si>
  <si>
    <t>Malgorzata Swiderska</t>
  </si>
  <si>
    <t>Helder Teixeira</t>
  </si>
  <si>
    <t>Michael Ziegler</t>
  </si>
  <si>
    <t>Pawel Sylwan</t>
  </si>
  <si>
    <t>Joanna Radziewicz</t>
  </si>
  <si>
    <t>Filip Socha</t>
  </si>
  <si>
    <t>Nicola Kavanagh</t>
  </si>
  <si>
    <t>Pauline Kavanagh</t>
  </si>
  <si>
    <t>Paula Molloy</t>
  </si>
  <si>
    <t>Gladys OReilly</t>
  </si>
  <si>
    <t>Joris Van Meulebroek</t>
  </si>
  <si>
    <t>Stefanie Trigilia</t>
  </si>
  <si>
    <t>Helene Speck</t>
  </si>
  <si>
    <t>Arnold Imron Schmit</t>
  </si>
  <si>
    <t>Michal Schminke</t>
  </si>
  <si>
    <t>Gustavo Mason</t>
  </si>
  <si>
    <t>Frans Lievrouw</t>
  </si>
  <si>
    <t>Rudieger Klein</t>
  </si>
  <si>
    <t>Federico Klein</t>
  </si>
  <si>
    <t>Oliver Jung</t>
  </si>
  <si>
    <t>Carsten Huch</t>
  </si>
  <si>
    <t>Claus Gaertner</t>
  </si>
  <si>
    <t>Kenneth Declercq</t>
  </si>
  <si>
    <t>Serpil Dalbay</t>
  </si>
  <si>
    <t>Sergio Luis Barandiaran</t>
  </si>
  <si>
    <t>Nathalie Ballesteros</t>
  </si>
  <si>
    <t>RICARDO Ayala</t>
  </si>
  <si>
    <t>Gavin Carr</t>
  </si>
  <si>
    <t>Rachel Bolton</t>
  </si>
  <si>
    <t>Markus Opp</t>
  </si>
  <si>
    <t>Susan Bennett</t>
  </si>
  <si>
    <t>Monika Berowska</t>
  </si>
  <si>
    <t>Jennifer Briody</t>
  </si>
  <si>
    <t>Giedre AleksieJiene</t>
  </si>
  <si>
    <t>Arthur Aisling</t>
  </si>
  <si>
    <t>Majella Boland</t>
  </si>
  <si>
    <t>John Bolger</t>
  </si>
  <si>
    <t>Paul Burke</t>
  </si>
  <si>
    <t>Ann Clince</t>
  </si>
  <si>
    <t>Colleen Coyne</t>
  </si>
  <si>
    <t>Elaine Cullen</t>
  </si>
  <si>
    <t>David Dowling</t>
  </si>
  <si>
    <t>Gonzalo Drius</t>
  </si>
  <si>
    <t>Cheryl Farrell</t>
  </si>
  <si>
    <t>Lisa Finn</t>
  </si>
  <si>
    <t>Kevin Flynn</t>
  </si>
  <si>
    <t>Pamela Fortune</t>
  </si>
  <si>
    <t>Madara Galzone</t>
  </si>
  <si>
    <t>Louise Gillick</t>
  </si>
  <si>
    <t>Peter Hammerson</t>
  </si>
  <si>
    <t>Laura Kearns</t>
  </si>
  <si>
    <t>Jade Kelly</t>
  </si>
  <si>
    <t>Gavin Kinsella</t>
  </si>
  <si>
    <t>Tara Linton</t>
  </si>
  <si>
    <t>Zuzana Melzerova</t>
  </si>
  <si>
    <t>Lisa Mitten</t>
  </si>
  <si>
    <t>Michelle Mulligan</t>
  </si>
  <si>
    <t>Niamh Murphy</t>
  </si>
  <si>
    <t>Eamon OConnor</t>
  </si>
  <si>
    <t>Leann O Neill</t>
  </si>
  <si>
    <t>Fergus ORegan</t>
  </si>
  <si>
    <t>Sarah Phipps</t>
  </si>
  <si>
    <t>Joan Salinger</t>
  </si>
  <si>
    <t>Jayne Stephenson</t>
  </si>
  <si>
    <t>John Wright</t>
  </si>
  <si>
    <t>Katarzyna Smigasiewicz</t>
  </si>
  <si>
    <t>Michelle Hubbard</t>
  </si>
  <si>
    <t>Katie Gunn</t>
  </si>
  <si>
    <t>TIBCO ECX</t>
  </si>
  <si>
    <t>tibco ecx</t>
  </si>
  <si>
    <t>margaret garrett</t>
  </si>
  <si>
    <t>Deborah Doyle</t>
  </si>
  <si>
    <t>Aisling Hand</t>
  </si>
  <si>
    <t>catherine byrne</t>
  </si>
  <si>
    <t>Patrice Monaghan</t>
  </si>
  <si>
    <t>BRU - Amex</t>
  </si>
  <si>
    <t>BRU - Closure Request GER</t>
  </si>
  <si>
    <t>BRU - Closure Request POL</t>
  </si>
  <si>
    <t>BRU - Rate Review Worked</t>
  </si>
  <si>
    <t>BRU - Service</t>
  </si>
  <si>
    <t>WARSAW - MFM UK/IE</t>
  </si>
  <si>
    <t>WARSAW - MFM PL</t>
  </si>
  <si>
    <t>WARSAW - MFM DE/IB</t>
  </si>
  <si>
    <t>WARSAW - MFM SAN</t>
  </si>
  <si>
    <t>WARSAW - MFM PREMIER</t>
  </si>
  <si>
    <t>MFM - Remove Hold Status</t>
  </si>
  <si>
    <t>MFM - Set Merchant to Reserve</t>
  </si>
  <si>
    <t>ARKLOW - COMPLAINTS</t>
  </si>
  <si>
    <t>ARKLOW - DOCUMENT MGT</t>
  </si>
  <si>
    <t>EU Retention</t>
  </si>
  <si>
    <t>FRANKFURT - COMPLAINTS</t>
  </si>
  <si>
    <t>FRANKFURT - POS SERVICES GENERAL</t>
  </si>
  <si>
    <t>NORWAY - COLLECTIONS</t>
  </si>
  <si>
    <t>OSLO - FRONT OFFICE</t>
  </si>
  <si>
    <t>OSLO - SALES</t>
  </si>
  <si>
    <t>POLAND - COLLECTIONS</t>
  </si>
  <si>
    <t>POZNAN SALES OFFICE - REGION I</t>
  </si>
  <si>
    <t>POZNAN SALES OFFICE - REGION II</t>
  </si>
  <si>
    <t>POZNAN SALES OFFICE - REGION III</t>
  </si>
  <si>
    <t>WARSAW - 2nd Level POS</t>
  </si>
  <si>
    <t>WARSAW - COMPLAINTS</t>
  </si>
  <si>
    <t>WARSAW - DOCUMENT MANAGEMENT</t>
  </si>
  <si>
    <t>WARSAW - MERCHANT CANCELLATIONS</t>
  </si>
  <si>
    <t>WARSAW - MFM NORWAY</t>
  </si>
  <si>
    <t>WARSAW - POS HELPDESK</t>
  </si>
  <si>
    <t>WARSAW - PREMIER</t>
  </si>
  <si>
    <t>Danish</t>
  </si>
  <si>
    <t>Finnish</t>
  </si>
  <si>
    <t>Norwegian</t>
  </si>
  <si>
    <t>Swedish</t>
  </si>
  <si>
    <t>Collections - Agency Case Check</t>
  </si>
  <si>
    <t>Collections - Agency Closed</t>
  </si>
  <si>
    <t>Collections - Agency Closed/Written Off</t>
  </si>
  <si>
    <t>Collections - Agency Pending/Written Off</t>
  </si>
  <si>
    <t>Collections - Closure</t>
  </si>
  <si>
    <t>Collections - Dispute</t>
  </si>
  <si>
    <t>Collections - Hold Funds</t>
  </si>
  <si>
    <t>Collections - Promise to Pay</t>
  </si>
  <si>
    <t>Collections - Stop (R424) Adjustment</t>
  </si>
  <si>
    <t>Collections - Write Off</t>
  </si>
  <si>
    <t>Contract Information</t>
  </si>
  <si>
    <t>Credit Notes</t>
  </si>
  <si>
    <t>DM - Amex Welcome Pack Request</t>
  </si>
  <si>
    <t>DM - DDE</t>
  </si>
  <si>
    <t>DM - Laminates/Decals/Guides</t>
  </si>
  <si>
    <t>DMR - Merchant Direct Letters</t>
  </si>
  <si>
    <t>EOT - Add Giftcard to Terminal</t>
  </si>
  <si>
    <t>EOT - Add TaxFree to Terminal</t>
  </si>
  <si>
    <t>EOT - Other</t>
  </si>
  <si>
    <t>EOT - Terminal Addition</t>
  </si>
  <si>
    <t>EOT - Terminal Upgrade</t>
  </si>
  <si>
    <t>EOT - TID Addition</t>
  </si>
  <si>
    <t>EOT - TID Deletion</t>
  </si>
  <si>
    <t>EOT - Welcome Pack</t>
  </si>
  <si>
    <t>Fraud - Closure</t>
  </si>
  <si>
    <t>Fraud - Inquiry</t>
  </si>
  <si>
    <t>Fraud - Funding Query</t>
  </si>
  <si>
    <t>Premier - Transaction/Payment Details</t>
  </si>
  <si>
    <t>San Depl - Account Closure</t>
  </si>
  <si>
    <t>San Depl - Install/Diusframi</t>
  </si>
  <si>
    <t>San Depl - Terminal Recovery</t>
  </si>
  <si>
    <t>San Depl - Unrecoverable Terminal</t>
  </si>
  <si>
    <t>Open</t>
  </si>
  <si>
    <t>Closed</t>
  </si>
  <si>
    <t>Reopened</t>
  </si>
  <si>
    <t>Pending</t>
  </si>
  <si>
    <t>Future Action</t>
  </si>
  <si>
    <t>Mail</t>
  </si>
  <si>
    <t>Email</t>
  </si>
  <si>
    <t>Phone</t>
  </si>
  <si>
    <t>Fax</t>
  </si>
  <si>
    <t xml:space="preserve"> Portugal</t>
  </si>
  <si>
    <t xml:space="preserve"> Puerto Rico</t>
  </si>
  <si>
    <t xml:space="preserve"> Qatar</t>
  </si>
  <si>
    <t xml:space="preserve"> Reunion</t>
  </si>
  <si>
    <t xml:space="preserve"> Romania</t>
  </si>
  <si>
    <t xml:space="preserve"> Russia</t>
  </si>
  <si>
    <t xml:space="preserve"> Rwanda</t>
  </si>
  <si>
    <t xml:space="preserve"> Saint Helena</t>
  </si>
  <si>
    <t xml:space="preserve"> Saint Kitts and Nevis</t>
  </si>
  <si>
    <t xml:space="preserve"> Saint Lucia</t>
  </si>
  <si>
    <t xml:space="preserve"> Saint Pierre and Miquelon</t>
  </si>
  <si>
    <t xml:space="preserve"> Saint Vincent and the Grenadines</t>
  </si>
  <si>
    <t xml:space="preserve"> Samoa</t>
  </si>
  <si>
    <t xml:space="preserve"> San Marino</t>
  </si>
  <si>
    <t xml:space="preserve"> Sao Tome and Principe</t>
  </si>
  <si>
    <t xml:space="preserve"> Saudi Arabia</t>
  </si>
  <si>
    <t xml:space="preserve"> Senegal</t>
  </si>
  <si>
    <t xml:space="preserve"> Serbia</t>
  </si>
  <si>
    <t xml:space="preserve"> Seychelles</t>
  </si>
  <si>
    <t xml:space="preserve"> Sierra Leone</t>
  </si>
  <si>
    <t xml:space="preserve"> Singapore</t>
  </si>
  <si>
    <t xml:space="preserve"> Slovakia</t>
  </si>
  <si>
    <t xml:space="preserve"> Slovenia</t>
  </si>
  <si>
    <t xml:space="preserve"> Solomon Islands</t>
  </si>
  <si>
    <t xml:space="preserve"> Somalia</t>
  </si>
  <si>
    <t xml:space="preserve"> South Africa</t>
  </si>
  <si>
    <t xml:space="preserve"> South Georgia and the Islands</t>
  </si>
  <si>
    <t xml:space="preserve"> Spain</t>
  </si>
  <si>
    <t xml:space="preserve"> Sri Lanka</t>
  </si>
  <si>
    <t xml:space="preserve"> Sudan</t>
  </si>
  <si>
    <t xml:space="preserve"> Suriname</t>
  </si>
  <si>
    <t xml:space="preserve"> Svalbard</t>
  </si>
  <si>
    <t xml:space="preserve"> Swaziland</t>
  </si>
  <si>
    <t xml:space="preserve"> Sweden</t>
  </si>
  <si>
    <t xml:space="preserve"> Switzerland</t>
  </si>
  <si>
    <t xml:space="preserve"> Syria</t>
  </si>
  <si>
    <t xml:space="preserve"> Taiwan</t>
  </si>
  <si>
    <t xml:space="preserve"> Tajikistan</t>
  </si>
  <si>
    <t xml:space="preserve"> Tanzania</t>
  </si>
  <si>
    <t xml:space="preserve"> Thailand</t>
  </si>
  <si>
    <t xml:space="preserve"> Togo</t>
  </si>
  <si>
    <t xml:space="preserve"> Tokelau</t>
  </si>
  <si>
    <t xml:space="preserve"> Tonga</t>
  </si>
  <si>
    <t xml:space="preserve"> Trinidad and Tobago</t>
  </si>
  <si>
    <t xml:space="preserve"> Tunisia</t>
  </si>
  <si>
    <t xml:space="preserve"> Turkey</t>
  </si>
  <si>
    <t xml:space="preserve"> Turkmenistan</t>
  </si>
  <si>
    <t xml:space="preserve"> Turks and Caicos Islands</t>
  </si>
  <si>
    <t xml:space="preserve"> Tuvalu</t>
  </si>
  <si>
    <t xml:space="preserve"> Uganda</t>
  </si>
  <si>
    <t xml:space="preserve"> Ukraine</t>
  </si>
  <si>
    <t xml:space="preserve"> United Arab Emirates</t>
  </si>
  <si>
    <t xml:space="preserve"> United Kingdom</t>
  </si>
  <si>
    <t xml:space="preserve"> United States</t>
  </si>
  <si>
    <t xml:space="preserve"> United States Minor Outlying Islands</t>
  </si>
  <si>
    <t xml:space="preserve"> Uruguay</t>
  </si>
  <si>
    <t xml:space="preserve"> Uzbekistan</t>
  </si>
  <si>
    <t xml:space="preserve"> Vanuatu</t>
  </si>
  <si>
    <t xml:space="preserve"> Venezuela</t>
  </si>
  <si>
    <t xml:space="preserve"> Vietnam</t>
  </si>
  <si>
    <t xml:space="preserve"> Virgin Islands</t>
  </si>
  <si>
    <t xml:space="preserve"> Wallis and Futuna</t>
  </si>
  <si>
    <t xml:space="preserve"> West Bank</t>
  </si>
  <si>
    <t xml:space="preserve"> Western Sahara</t>
  </si>
  <si>
    <t xml:space="preserve"> Yemen</t>
  </si>
  <si>
    <t xml:space="preserve"> Zambia</t>
  </si>
  <si>
    <t xml:space="preserve"> Zimbabwe</t>
  </si>
  <si>
    <t xml:space="preserve"> Not U.K.</t>
  </si>
  <si>
    <t xml:space="preserve"> Other</t>
  </si>
  <si>
    <t>Afghanistan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</si>
  <si>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</si>
  <si>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</si>
  <si>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</si>
  <si>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</si>
  <si>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</si>
  <si>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</si>
  <si>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</si>
  <si>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</si>
  <si>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</si>
  <si>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</si>
  <si>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</si>
  <si>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</si>
  <si>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</si>
  <si>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</si>
  <si>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</si>
  <si>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</si>
  <si>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</si>
  <si>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</si>
  <si>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</si>
  <si>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</si>
  <si>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</si>
  <si>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</si>
  <si>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</si>
  <si>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</si>
  <si>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</si>
  <si>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</si>
  <si>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</si>
  <si>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Bouvet Island</t>
  </si>
  <si>
    <t>Brazil</t>
  </si>
  <si>
    <t>British Indian Ocean Territory</t>
  </si>
  <si>
    <t>British Virgin Islands</t>
  </si>
  <si>
    <t>Brunei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</si>
  <si>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</si>
  <si>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</si>
  <si>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</si>
  <si>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</si>
  <si>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</si>
  <si>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</si>
  <si>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</si>
  <si>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</si>
  <si>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</si>
  <si>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</si>
  <si>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</si>
  <si>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</si>
  <si>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</si>
  <si>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</si>
  <si>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</si>
  <si>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</si>
  <si>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</si>
  <si>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Congo, Democratic Republic of the</t>
  </si>
  <si>
    <t>Congo, Republic of the</t>
  </si>
  <si>
    <t>Cook Islands</t>
  </si>
  <si>
    <t>Costa Rica</t>
  </si>
  <si>
    <t>Cote d Ivoire (Ivory Coast)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</si>
  <si>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</si>
  <si>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</si>
  <si>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</si>
  <si>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</si>
  <si>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</si>
  <si>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</si>
  <si>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</si>
  <si>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</si>
  <si>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</si>
  <si>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</si>
  <si>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</si>
  <si>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</si>
  <si>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</si>
  <si>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</si>
  <si>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</si>
  <si>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</si>
  <si>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 (Islas Malvinas)</t>
  </si>
  <si>
    <t>Faroe Islands</t>
  </si>
  <si>
    <t>Fiji</t>
  </si>
  <si>
    <t>Finland</t>
  </si>
  <si>
    <t>France</t>
  </si>
  <si>
    <t>France, Metropolitan</t>
  </si>
  <si>
    <t>French Guiana</t>
  </si>
  <si>
    <t>French Polynesia</t>
  </si>
  <si>
    <t>French Southern and Antarctic Lands</t>
  </si>
  <si>
    <t>Gabon</t>
  </si>
  <si>
    <t>Gambia, The</t>
  </si>
  <si>
    <t>Gaza Strip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</si>
  <si>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</si>
  <si>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</si>
  <si>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</si>
  <si>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</si>
  <si>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</si>
  <si>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</si>
  <si>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</si>
  <si>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</si>
  <si>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</si>
  <si>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</si>
  <si>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</si>
  <si>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</si>
  <si>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</si>
  <si>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</si>
  <si>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</si>
  <si>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</si>
  <si>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(Vatican City)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</si>
  <si>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</si>
  <si>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</si>
  <si>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</si>
  <si>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</si>
  <si>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</si>
  <si>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</si>
  <si>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</si>
  <si>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</si>
  <si>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</si>
  <si>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</si>
  <si>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</si>
  <si>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</si>
  <si>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</si>
  <si>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</si>
  <si>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</si>
  <si>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</si>
  <si>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</si>
  <si>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</si>
  <si>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</si>
  <si>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</si>
  <si>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</si>
  <si>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</si>
  <si>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</si>
  <si>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</si>
  <si>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</si>
  <si>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</si>
  <si>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</si>
  <si>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</si>
  <si>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</si>
  <si>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</si>
  <si>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</si>
  <si>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</si>
  <si>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</si>
  <si>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</si>
  <si>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</si>
  <si>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</si>
  <si>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</si>
  <si>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</si>
  <si>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</si>
  <si>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</si>
  <si>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</si>
  <si>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</si>
  <si>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</si>
  <si>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</si>
  <si>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</si>
  <si>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</si>
  <si>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</si>
  <si>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</si>
  <si>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</si>
  <si>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</si>
  <si>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</si>
  <si>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</si>
  <si>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</si>
  <si>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Mozambique</t>
  </si>
  <si>
    <t>Namibia</t>
  </si>
  <si>
    <t>Nauru</t>
  </si>
  <si>
    <t>Nepal</t>
  </si>
  <si>
    <t>Netherlands</t>
  </si>
  <si>
    <t>Netherlands Antilles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</si>
  <si>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</si>
  <si>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</si>
  <si>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</si>
  <si>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</si>
  <si>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</si>
  <si>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</si>
  <si>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</si>
  <si>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</si>
  <si>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</si>
  <si>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</si>
  <si>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</si>
  <si>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</si>
  <si>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</si>
  <si>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</si>
  <si>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</si>
  <si>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</si>
  <si>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</si>
  <si>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</si>
  <si>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Polish</t>
  </si>
  <si>
    <t>Dutch; Flemish</t>
  </si>
  <si>
    <t>English</t>
  </si>
  <si>
    <t>French</t>
  </si>
  <si>
    <t>German</t>
  </si>
  <si>
    <t>Italian</t>
  </si>
  <si>
    <t>Spanish; Castilian</t>
  </si>
  <si>
    <t>Poland</t>
  </si>
  <si>
    <t>Q4 - Usual Requests</t>
  </si>
  <si>
    <t>Q1 - Disaster Loss of money</t>
  </si>
  <si>
    <t>Q2 - Unsatisfied with Service</t>
  </si>
  <si>
    <t>Q3 - Annoyed Merchant</t>
  </si>
  <si>
    <t>C1 - Letter to President/CEO/Lawyer/Court Referral</t>
  </si>
  <si>
    <t>C2 - Rude Behavior of Operator Reported</t>
  </si>
  <si>
    <t>C3 - Merchant Follow-up Calls</t>
  </si>
  <si>
    <t>C4 - Annoyed Merchant</t>
  </si>
  <si>
    <t>Regulator</t>
  </si>
  <si>
    <t>Functional Area</t>
  </si>
  <si>
    <t>Escalated to</t>
  </si>
  <si>
    <t>Case Reason</t>
  </si>
  <si>
    <t>Status</t>
  </si>
  <si>
    <t>Future Action Date</t>
  </si>
  <si>
    <t>Pend Until Date</t>
  </si>
  <si>
    <t>Request Route</t>
  </si>
  <si>
    <t>Contact Mode</t>
  </si>
  <si>
    <t>Country</t>
  </si>
  <si>
    <t>Language</t>
  </si>
  <si>
    <t>Severity</t>
  </si>
  <si>
    <t>Case Contact</t>
  </si>
  <si>
    <t>Comments</t>
  </si>
  <si>
    <t>fxsocha</t>
  </si>
  <si>
    <t>federico</t>
  </si>
  <si>
    <t>wxjedru</t>
  </si>
  <si>
    <t>mxswide</t>
  </si>
  <si>
    <t>hxteixe</t>
  </si>
  <si>
    <t>mxziegl</t>
  </si>
  <si>
    <t>pxsylwa</t>
  </si>
  <si>
    <t>jxradzi</t>
  </si>
  <si>
    <t>nxkavan</t>
  </si>
  <si>
    <t>pxkavan</t>
  </si>
  <si>
    <t>pxmollo</t>
  </si>
  <si>
    <t>gxoreil</t>
  </si>
  <si>
    <t>jxvanme</t>
  </si>
  <si>
    <t>sxtrigi</t>
  </si>
  <si>
    <t>hxspeck</t>
  </si>
  <si>
    <t>axschmi</t>
  </si>
  <si>
    <t>mxschmi</t>
  </si>
  <si>
    <t>gxmason</t>
  </si>
  <si>
    <t>fxlievr</t>
  </si>
  <si>
    <t>rxklein</t>
  </si>
  <si>
    <t>fxklein</t>
  </si>
  <si>
    <t>oxjung</t>
  </si>
  <si>
    <t>cxhuch</t>
  </si>
  <si>
    <t>cxgaert</t>
  </si>
  <si>
    <t>kxdecle</t>
  </si>
  <si>
    <t>sxdalba</t>
  </si>
  <si>
    <t>sxbaran</t>
  </si>
  <si>
    <t>nxballe</t>
  </si>
  <si>
    <t>rxayala</t>
  </si>
  <si>
    <t>gxcarr1</t>
  </si>
  <si>
    <t>rxbolto</t>
  </si>
  <si>
    <t>mxopp</t>
  </si>
  <si>
    <t>sxbenne</t>
  </si>
  <si>
    <t>mxberow</t>
  </si>
  <si>
    <t>jxbriod</t>
  </si>
  <si>
    <t>gxaleks</t>
  </si>
  <si>
    <t>axaisli</t>
  </si>
  <si>
    <t>mxbolan</t>
  </si>
  <si>
    <t>jxbolger</t>
  </si>
  <si>
    <t>pxburke</t>
  </si>
  <si>
    <t>axclinc</t>
  </si>
  <si>
    <t>cxcoyne</t>
  </si>
  <si>
    <t>exculle</t>
  </si>
  <si>
    <t>dxdowli</t>
  </si>
  <si>
    <t>gxdrius</t>
  </si>
  <si>
    <t>cxfarre</t>
  </si>
  <si>
    <t>lxfinn</t>
  </si>
  <si>
    <t>kxflynn</t>
  </si>
  <si>
    <t>pxfortu</t>
  </si>
  <si>
    <t>mxgalzo</t>
  </si>
  <si>
    <t>lagilli</t>
  </si>
  <si>
    <t>pxhamme</t>
  </si>
  <si>
    <t>lxkearn</t>
  </si>
  <si>
    <t>jxkelly</t>
  </si>
  <si>
    <t>gxkinse</t>
  </si>
  <si>
    <t>txlinto</t>
  </si>
  <si>
    <t>zxmelze</t>
  </si>
  <si>
    <t>lxmitte</t>
  </si>
  <si>
    <t>mxmulli</t>
  </si>
  <si>
    <t>nxmurph</t>
  </si>
  <si>
    <t>exoconn</t>
  </si>
  <si>
    <t>lxoneil</t>
  </si>
  <si>
    <t>fxoregan</t>
  </si>
  <si>
    <t>sxphipp</t>
  </si>
  <si>
    <t>jxsalin</t>
  </si>
  <si>
    <t>jxsteph</t>
  </si>
  <si>
    <t>jxwright</t>
  </si>
  <si>
    <t>kxsmiga</t>
  </si>
  <si>
    <t>mxhubba</t>
  </si>
  <si>
    <t>kxgunn1</t>
  </si>
  <si>
    <t>tibco_ecx</t>
  </si>
  <si>
    <t>tibco_ecx_dc</t>
  </si>
  <si>
    <t>mxgarre</t>
  </si>
  <si>
    <t>dxdoyle</t>
  </si>
  <si>
    <t>axhand</t>
  </si>
  <si>
    <t>cxbyrne2</t>
  </si>
  <si>
    <t>pxmonag</t>
  </si>
  <si>
    <t>SubStatus</t>
  </si>
  <si>
    <t>Closed | Cancelled</t>
  </si>
  <si>
    <t>Closed | Case closed</t>
  </si>
  <si>
    <t>Closed | Duplicate</t>
  </si>
  <si>
    <t>Closed | No Response</t>
  </si>
  <si>
    <t>Reopened | Cancelled Previously</t>
  </si>
  <si>
    <t>Reopened | Closed in Error</t>
  </si>
  <si>
    <t>Reopened | Second Query</t>
  </si>
  <si>
    <t>Pending | Documentation /Information</t>
  </si>
  <si>
    <t>Pending | Merchant Calling Back</t>
  </si>
  <si>
    <t>Pending | No Response</t>
  </si>
  <si>
    <t>Open | N/A</t>
  </si>
  <si>
    <t>Future Action | N/A</t>
  </si>
  <si>
    <t>ID</t>
  </si>
  <si>
    <t>H2 MID*</t>
  </si>
  <si>
    <t>Functional Area*</t>
  </si>
  <si>
    <t>Case Reason*</t>
  </si>
  <si>
    <t>Status*</t>
  </si>
  <si>
    <t>Sub Status*</t>
  </si>
  <si>
    <t>Request Route*</t>
  </si>
  <si>
    <t>Country*</t>
  </si>
  <si>
    <t>Language*</t>
  </si>
  <si>
    <t>Severity*</t>
  </si>
  <si>
    <t>MACRO STATUS</t>
  </si>
  <si>
    <t>Case number</t>
  </si>
  <si>
    <t>Customer Service</t>
  </si>
  <si>
    <t>Case Contact Number:</t>
  </si>
  <si>
    <t>Opening Time:</t>
  </si>
  <si>
    <t>Closing Time:</t>
  </si>
  <si>
    <t>Case type:</t>
  </si>
  <si>
    <t>TRML</t>
  </si>
  <si>
    <t>SRVC</t>
  </si>
  <si>
    <t>Terminal</t>
  </si>
  <si>
    <t>ARKLOW - COLLECTIONS</t>
  </si>
  <si>
    <t>ARKLOW - FRAUD</t>
  </si>
  <si>
    <t>ARKLOW - POS HELPDESK</t>
  </si>
  <si>
    <t>ARKLOW - SALES OFFICE</t>
  </si>
  <si>
    <t>ARKLOW - TELESALES</t>
  </si>
  <si>
    <t>BRU - Germany</t>
  </si>
  <si>
    <t>BRU - Ire/UK</t>
  </si>
  <si>
    <t>BRU - Poland</t>
  </si>
  <si>
    <t>FRANKFURT - COLLECTIONS</t>
  </si>
  <si>
    <t>FRANKFURT - FRAUD</t>
  </si>
  <si>
    <t>FRANKFURT - POS HELPDESK</t>
  </si>
  <si>
    <t>FRANKFURT - PREMIER</t>
  </si>
  <si>
    <t>FRANKFURT - RESEARCH</t>
  </si>
  <si>
    <t>FRANKFURT - SALES OFFICE</t>
  </si>
  <si>
    <t>FRANKFURT - TELESALES</t>
  </si>
  <si>
    <t>WARSAW - SMU</t>
  </si>
  <si>
    <t>BRU - Closure Indicator</t>
  </si>
  <si>
    <t>BRU - Closure Request IRE/UK</t>
  </si>
  <si>
    <t>BRU - Rate Review GER</t>
  </si>
  <si>
    <t>BRU - Rate Review IRE</t>
  </si>
  <si>
    <t>BRU - Rate Review UK</t>
  </si>
  <si>
    <t>Collections - Incoming Payment</t>
  </si>
  <si>
    <t>Collections - Queries</t>
  </si>
  <si>
    <t>Compensation - Rates Refund</t>
  </si>
  <si>
    <t>DM - Change of DDA - IRL/NI Based</t>
  </si>
  <si>
    <t>DM - Change of DDA - UK Based</t>
  </si>
  <si>
    <t>DM - Change of Legal Entity - IRL/NI Based</t>
  </si>
  <si>
    <t>DM - Change of Legal Entity - UK Based</t>
  </si>
  <si>
    <t>DM - Queries</t>
  </si>
  <si>
    <t>DMR - Email Notification</t>
  </si>
  <si>
    <t>MFM - Add Product/Maintenance</t>
  </si>
  <si>
    <t>MFM - Chain Details Update/Request</t>
  </si>
  <si>
    <t>MFM - Closures/Cancellations</t>
  </si>
  <si>
    <t>MFM - Contract Prolongation</t>
  </si>
  <si>
    <t>MFM - Funding Details Change</t>
  </si>
  <si>
    <t>MFM - Relationship Manager Addition</t>
  </si>
  <si>
    <t>Premier - Account closure</t>
  </si>
  <si>
    <t>Premier - Adjustment</t>
  </si>
  <si>
    <t>Premier - Administration</t>
  </si>
  <si>
    <t>Premier - Authorisation query</t>
  </si>
  <si>
    <t>Premier - DMR</t>
  </si>
  <si>
    <t>Premier - Initializations</t>
  </si>
  <si>
    <t>Premier - Maintenance</t>
  </si>
  <si>
    <t>Premier - New App</t>
  </si>
  <si>
    <t>Premier - Statement request</t>
  </si>
  <si>
    <t>Premier - Terminal query</t>
  </si>
  <si>
    <t>Premier - Terminal request</t>
  </si>
  <si>
    <t>SMU - Change of LE</t>
  </si>
  <si>
    <t>Bank Alliance Management</t>
  </si>
  <si>
    <t>Collections - Change MID to Net Credit</t>
  </si>
  <si>
    <t>Collections - Outgoing Call</t>
  </si>
  <si>
    <t>Credit Notes - Collections/OSU Review</t>
  </si>
  <si>
    <t>DM - DDE Closures</t>
  </si>
  <si>
    <t>DM - DDE New App</t>
  </si>
  <si>
    <t>EOT - S9S PinPad Addition</t>
  </si>
  <si>
    <t>EU - Retention - DCC</t>
  </si>
  <si>
    <t>EU - Retention - EGC</t>
  </si>
  <si>
    <t>MFM - Fee Change</t>
  </si>
  <si>
    <t>MFM - MCC Change</t>
  </si>
  <si>
    <t>MFM - Pricing Program Change</t>
  </si>
  <si>
    <t>MFM - Rate Change</t>
  </si>
  <si>
    <t>MFM - Statement Details Change</t>
  </si>
  <si>
    <t>Premier - Add Location</t>
  </si>
  <si>
    <t>Premier - ARN Search</t>
  </si>
  <si>
    <t>Premier - AXIS Support</t>
  </si>
  <si>
    <t>Premier - Bank Details Change</t>
  </si>
  <si>
    <t>Premier - CB Documentation</t>
  </si>
  <si>
    <t>Premier - CB Information</t>
  </si>
  <si>
    <t>Premier - Collections Query</t>
  </si>
  <si>
    <t>Premier - File Submission Query</t>
  </si>
  <si>
    <t>Premier - Fraud Case</t>
  </si>
  <si>
    <t>Premier - Funding/Billing Detail Change</t>
  </si>
  <si>
    <t>Premier - Incorrect/Missing Trx</t>
  </si>
  <si>
    <t>Premier - Missing Refund Compensation</t>
  </si>
  <si>
    <t>Premier - Outbound Active Call</t>
  </si>
  <si>
    <t>Premier - Ownership Change</t>
  </si>
  <si>
    <t>Premier - Payment Query</t>
  </si>
  <si>
    <t>Premier - Request Contract</t>
  </si>
  <si>
    <t>Premier - Statement Detail Change</t>
  </si>
  <si>
    <t>Sales - Pricing</t>
  </si>
  <si>
    <t>Sales - Retention</t>
  </si>
  <si>
    <t>Sales - Setup Inquiry</t>
  </si>
  <si>
    <t>NEW Functional Area</t>
  </si>
  <si>
    <t>NEW Case Reason</t>
  </si>
  <si>
    <t>Added Functional Area</t>
  </si>
  <si>
    <t>Added Case Reason</t>
  </si>
  <si>
    <t>DMR - Account Setup</t>
  </si>
  <si>
    <t>DMR - DMR Technical</t>
  </si>
  <si>
    <t>DMR - Maintenance</t>
  </si>
  <si>
    <t>DMR - Password Reset</t>
  </si>
  <si>
    <t>DMR - Reports</t>
  </si>
  <si>
    <t>AC CSS - 3rd Party Enquiry</t>
  </si>
  <si>
    <t>AC CSS - Account Closure non retainable</t>
  </si>
  <si>
    <t>AC CSS - Batch Query</t>
  </si>
  <si>
    <t>AC CSS - Card Query</t>
  </si>
  <si>
    <t>AC CSS - Chargeback Query</t>
  </si>
  <si>
    <t>AC CSS - Fee Query</t>
  </si>
  <si>
    <t>AC CSS - IMC CS Query</t>
  </si>
  <si>
    <t>AC CSS - MSP Query</t>
  </si>
  <si>
    <t>AC CSS - PCI Query</t>
  </si>
  <si>
    <t>AC CSS - Processing Query</t>
  </si>
  <si>
    <t>AC CSS - Redirects/Funding Query</t>
  </si>
  <si>
    <t>AC CSS - Repeats - Outbound Call</t>
  </si>
  <si>
    <t>AC CSS - Sales /Potential Customer</t>
  </si>
  <si>
    <t>AC CSS - SAN Branch Queries</t>
  </si>
  <si>
    <t>AC CSS - Short Call</t>
  </si>
  <si>
    <t>AC CSS - Statement Query</t>
  </si>
  <si>
    <t>AC CSS - Transfer to 3rd party</t>
  </si>
  <si>
    <t>AC CSS - Transfer to Sales</t>
  </si>
  <si>
    <t>AC CSS - Transfer to Trustwave</t>
  </si>
  <si>
    <t>AO CSS - Multilingual Outbound Call</t>
  </si>
  <si>
    <t>AO CSS - SAN 2nd line Outbound Call</t>
  </si>
  <si>
    <t>AO CSS - SAN Outbound Call</t>
  </si>
  <si>
    <t>AO CSS - Supervisor Callback</t>
  </si>
  <si>
    <t>BRU - Rate Review POL</t>
  </si>
  <si>
    <t>BRU - SA - Case</t>
  </si>
  <si>
    <t>Collections - MSP - Incoming Call</t>
  </si>
  <si>
    <t>Collections - MSP - Promise To Pay</t>
  </si>
  <si>
    <t>Collections - MSP - Queries</t>
  </si>
  <si>
    <t>Collections - MSP LW Waive</t>
  </si>
  <si>
    <t>Credit - Website review</t>
  </si>
  <si>
    <t>Dispute query</t>
  </si>
  <si>
    <t>DMR - CPS Mailing</t>
  </si>
  <si>
    <t>DMR - Mid/Chain Addition</t>
  </si>
  <si>
    <t>DMR - Ozon exempt Poland</t>
  </si>
  <si>
    <t>EOT - Gateway addition Poland</t>
  </si>
  <si>
    <t>EOT - Mac Reset</t>
  </si>
  <si>
    <t>EOT - Terminal Fee Add / Del / Change</t>
  </si>
  <si>
    <t>Fraud Arklow - Pending approval</t>
  </si>
  <si>
    <t>LOPS - Garnishment Accept/Reject letter</t>
  </si>
  <si>
    <t>LOPS - Inga/Insolvencies/Garnishment</t>
  </si>
  <si>
    <t>LOPS - Insolvency Accept/Reject Letter</t>
  </si>
  <si>
    <t>MFM - Aurelio Closure</t>
  </si>
  <si>
    <t>MFM - Merchant Status Change from Closed to Reopen</t>
  </si>
  <si>
    <t>MFM - MSP - Address/Guarantor details change</t>
  </si>
  <si>
    <t>MFM - MSP - Lease account reactivation</t>
  </si>
  <si>
    <t>MFM - MSP - Lease bank details change</t>
  </si>
  <si>
    <t>MFM - MSP - Lease closure request</t>
  </si>
  <si>
    <t>MFM - MSP - LW Waive</t>
  </si>
  <si>
    <t>MFM - MSP - Stop Billing</t>
  </si>
  <si>
    <t>MFM - Owner/Entity change</t>
  </si>
  <si>
    <t>MFM - Remove Reserve Status</t>
  </si>
  <si>
    <t>MFM - Set Merchant to Hold</t>
  </si>
  <si>
    <t>MFM - Urgent Closure</t>
  </si>
  <si>
    <t>OPS - SME UAT support request</t>
  </si>
  <si>
    <t>Ops Partner Service - Account closure</t>
  </si>
  <si>
    <t>Ops Partner Service - Adjustment</t>
  </si>
  <si>
    <t>Ops Partner Service - Administration</t>
  </si>
  <si>
    <t>Ops Partner Service - ARN Search</t>
  </si>
  <si>
    <t>Ops Partner Service - Authorisation Query</t>
  </si>
  <si>
    <t>Ops Partner Service - AXIS Support</t>
  </si>
  <si>
    <t>Ops Partner Service - Bank Details Change</t>
  </si>
  <si>
    <t>Ops Partner Service - CB Documentation</t>
  </si>
  <si>
    <t>Ops Partner Service - CB Information</t>
  </si>
  <si>
    <t>Ops Partner Service - Collections Query</t>
  </si>
  <si>
    <t>Ops Partner Service - DMR</t>
  </si>
  <si>
    <t>Ops Partner Service - File Submission Query</t>
  </si>
  <si>
    <t>Ops Partner Service - Fraud Case</t>
  </si>
  <si>
    <t>Ops Partner Service - Fund/Bill Details Change</t>
  </si>
  <si>
    <t>Ops Partner Service - Initializations</t>
  </si>
  <si>
    <t>Ops Partner Service - Maintenance</t>
  </si>
  <si>
    <t>Ops Partner Service - Missing Refund Compensation</t>
  </si>
  <si>
    <t>Ops Partner Service - New App/ App Query</t>
  </si>
  <si>
    <t>Ops Partner Service - Ownership Change</t>
  </si>
  <si>
    <t>Ops Partner Service - Project/Partner Review</t>
  </si>
  <si>
    <t>Ops Partner Service - Statement request</t>
  </si>
  <si>
    <t>Ops Partner Service - Terminal query</t>
  </si>
  <si>
    <t>Ops Partner Service - Terminal request</t>
  </si>
  <si>
    <t>Ops Partner Service - Transaction/Payment Query</t>
  </si>
  <si>
    <t>POS - 3rd Party Terminal Query</t>
  </si>
  <si>
    <t>POS - Call for External Party</t>
  </si>
  <si>
    <t>POS - Supervisor Call/Query</t>
  </si>
  <si>
    <t>Returned Mail</t>
  </si>
  <si>
    <t>Sales - MID Signature required</t>
  </si>
  <si>
    <t>SAN - Engineer Call/Visit</t>
  </si>
  <si>
    <t>SAN - Initializations</t>
  </si>
  <si>
    <t>SAN - Service 34C Upgrade Issue</t>
  </si>
  <si>
    <t>SAN - Services Chargebacks query</t>
  </si>
  <si>
    <t>SAN - Statement/ Fee Query</t>
  </si>
  <si>
    <t>SAN - Terminal Comms Boot Mode</t>
  </si>
  <si>
    <t>SAN - Terminal Comms Declined Trans</t>
  </si>
  <si>
    <t>SAN - Terminal Comms ICE5500</t>
  </si>
  <si>
    <t>SAN - Terminal Comms M2100 GPRS</t>
  </si>
  <si>
    <t>SAN - Terminal Comms M4230 GPRS</t>
  </si>
  <si>
    <t>SAN - Terminal Comms T2100 PSTN</t>
  </si>
  <si>
    <t>SAN - Terminal Comms T4220 IP (ADSL)</t>
  </si>
  <si>
    <t>SAN - Terminal Comms T4220 PSTN</t>
  </si>
  <si>
    <t>SAN - Terminal Delivery Delay</t>
  </si>
  <si>
    <t>SAN - Terminal Hardware Issue</t>
  </si>
  <si>
    <t>SAN - Terminal Invalid Keys</t>
  </si>
  <si>
    <t>SAN - Terminal Pin Pad Issue</t>
  </si>
  <si>
    <t>SAN - Terminal Power Battery</t>
  </si>
  <si>
    <t>SAN - Terminal Power Issue</t>
  </si>
  <si>
    <t>SAN - Terminal Printer Issue</t>
  </si>
  <si>
    <t>SAN - Terminal RB/Retry Batch</t>
  </si>
  <si>
    <t>SAN - Terminal Set Up Issue</t>
  </si>
  <si>
    <t>SAN - Terminal software/Apps Issues</t>
  </si>
  <si>
    <t>PAYMENT EXCEPTIONS</t>
  </si>
  <si>
    <t>PE - Compensation/Write Off</t>
  </si>
  <si>
    <t>PE - Fee Refund Adjustment</t>
  </si>
  <si>
    <t>PE - Fund Merchant</t>
  </si>
  <si>
    <t>PE - Legal Entity Query</t>
  </si>
  <si>
    <t>PE - Redirects</t>
  </si>
  <si>
    <t>PE - Card Rewards</t>
  </si>
  <si>
    <t>PE - Outbound Call</t>
  </si>
  <si>
    <t>A/c Mgt - GER</t>
  </si>
  <si>
    <t>A/c Mgt - IRE/UK</t>
  </si>
  <si>
    <t>A/c Mgt - POLAND</t>
  </si>
  <si>
    <t>DISPUTES</t>
  </si>
  <si>
    <t>DM- Product Addition</t>
  </si>
  <si>
    <t>FRANKFURT - OPS PARTNER SERVICE</t>
  </si>
  <si>
    <t>FRONT OFFICE</t>
  </si>
  <si>
    <t>Funding Team Arklow</t>
  </si>
  <si>
    <t>GLOBAL API _x001A_ APPLICATION BOARDING ERRORS</t>
  </si>
  <si>
    <t>INGA, INSOLVENCIES &amp; GARNISHMENTS</t>
  </si>
  <si>
    <t>OSLO - FRAUD</t>
  </si>
  <si>
    <t>POS Service Poland</t>
  </si>
  <si>
    <t>POS Service UK/IRE</t>
  </si>
  <si>
    <t>POS Vendor complaints</t>
  </si>
  <si>
    <t>POZNAN - FRAUD</t>
  </si>
  <si>
    <t>RMU New Business GER/BEL/IB/POL/NOR</t>
  </si>
  <si>
    <t>RMU New Business UK/IRL</t>
  </si>
  <si>
    <t>RMU Portfolio Management</t>
  </si>
  <si>
    <t>SPAIN _x001A_ Sales</t>
  </si>
  <si>
    <t>WARSAW - MFM Mass Changes</t>
  </si>
  <si>
    <t>WARSAW _x001A_ MFM SISS ERRORS</t>
  </si>
  <si>
    <t>WARSAW _x001A_ Sales Support Fulfillment UK/IRL</t>
  </si>
  <si>
    <t>DEPARTMENTS</t>
  </si>
  <si>
    <t>USERS</t>
  </si>
  <si>
    <t>*do not use - MFM - Address/Contact Info Change</t>
  </si>
  <si>
    <t>*do not use - OSU - Queries</t>
  </si>
  <si>
    <t>*do not use - Sales - Product addition</t>
  </si>
  <si>
    <t>*do not use-MFM - Bank Details Change</t>
  </si>
  <si>
    <t>A/c Mgt - MSP</t>
  </si>
  <si>
    <t>A/c Mgt - Service</t>
  </si>
  <si>
    <t>A/c Mgt IRE/UK - Welcome Call</t>
  </si>
  <si>
    <t>A/c Mgt IRE/UK - Welcome Call UnSuccess</t>
  </si>
  <si>
    <t>AC - CSS Tranfered to Ingenico</t>
  </si>
  <si>
    <t>AC CSS _x001A_ Authorizations Call</t>
  </si>
  <si>
    <t>AC CSS - Collections Query</t>
  </si>
  <si>
    <t>AC CSS _x001A_ ECOM DC General Enquiry</t>
  </si>
  <si>
    <t>AC CSS - General Enquiry</t>
  </si>
  <si>
    <t>AC CSS - Potential Client- WBJ</t>
  </si>
  <si>
    <t>AC CSS - Transfer to POS</t>
  </si>
  <si>
    <t>AC CSS - Transfer to San Branch</t>
  </si>
  <si>
    <t>AC CSS - Transfer to Spire</t>
  </si>
  <si>
    <t>ACC Queries Mailbox</t>
  </si>
  <si>
    <t>Add/Remove BAX ID</t>
  </si>
  <si>
    <t>Bank Alliance Management-Do not use</t>
  </si>
  <si>
    <t>Boarding _x001A_ setup querry/request</t>
  </si>
  <si>
    <t>Boarding can_x001A_t be completed</t>
  </si>
  <si>
    <t>BRU - Opening Request POL</t>
  </si>
  <si>
    <t>BRU - Proactive Outbound call</t>
  </si>
  <si>
    <t>BRU - Q1 2012 Reprice - IRE</t>
  </si>
  <si>
    <t>BRU _x001A_ Q1 2012 Reprice _x001A_ POL</t>
  </si>
  <si>
    <t>BRU - Q4 -2O11 Reprice</t>
  </si>
  <si>
    <t>Collections - Incoming Call</t>
  </si>
  <si>
    <t>Collections - Insolvency</t>
  </si>
  <si>
    <t>Collections - MSP - BB</t>
  </si>
  <si>
    <t>Collections - MSP - Remove Hold</t>
  </si>
  <si>
    <t>Collections - MSP - Set to Hold</t>
  </si>
  <si>
    <t>CR - A/c Mgt - EXECULINK SCHEDULE</t>
  </si>
  <si>
    <t>DM _x001A_ CHANGE CONFIRMATION CALL BACK</t>
  </si>
  <si>
    <t>DM - Product Addition</t>
  </si>
  <si>
    <t>do not use-SAN Processing - Incorrect/ Missing Txn</t>
  </si>
  <si>
    <t>EOT - Activation Report</t>
  </si>
  <si>
    <t>EOT - Contactless Addition</t>
  </si>
  <si>
    <t>EOT _x001A_ Mobile Addition</t>
  </si>
  <si>
    <t>EOT - Short Term Terminal Addition</t>
  </si>
  <si>
    <t>EOT - TID Swap</t>
  </si>
  <si>
    <t>Fraud - Customer status change</t>
  </si>
  <si>
    <t>Global API _x001A_ Application Boarding Error</t>
  </si>
  <si>
    <t>Ingenico Pilot Feedback</t>
  </si>
  <si>
    <t>Lantec - P2100 Aborted Job (PL Only)</t>
  </si>
  <si>
    <t>LOPS - Querry</t>
  </si>
  <si>
    <t>Lorraine test</t>
  </si>
  <si>
    <t>Manual Payment</t>
  </si>
  <si>
    <t>MFM - Address/name change - DE</t>
  </si>
  <si>
    <t>MFM - Address/name change - PL</t>
  </si>
  <si>
    <t>MFM - Address/name change - UK/IE/IB</t>
  </si>
  <si>
    <t>MFM - Assoc Code Addition</t>
  </si>
  <si>
    <t>MFM - Bank details change - NON UK/IE</t>
  </si>
  <si>
    <t>MFM - Bank details change - UK/IE</t>
  </si>
  <si>
    <t>MFM - correction for Online Suspense</t>
  </si>
  <si>
    <t>MFM - Delayed settlement request</t>
  </si>
  <si>
    <t>MFM - DMR - Merchant Training</t>
  </si>
  <si>
    <t>MFM - Merchant to existing chain addition</t>
  </si>
  <si>
    <t>MFM - Parent Entity change/Transfer</t>
  </si>
  <si>
    <t>MFM - Status change from closed to hold</t>
  </si>
  <si>
    <t>MFM - Terminal deletion</t>
  </si>
  <si>
    <t>MobileMerchant Boarding</t>
  </si>
  <si>
    <t>MSP Lost or Stolen Complaint</t>
  </si>
  <si>
    <t>NMT Call/Succesful</t>
  </si>
  <si>
    <t>PE - Processing query</t>
  </si>
  <si>
    <t>PE - Statements/Invoices</t>
  </si>
  <si>
    <t>POS - Aborted Job</t>
  </si>
  <si>
    <t>POS - ACQ Check/Swap</t>
  </si>
  <si>
    <t>POS - Audit trail/RM Console check</t>
  </si>
  <si>
    <t>POS _x001A_ BRU Terminal Recovery</t>
  </si>
  <si>
    <t>POS - Call Transferred To CS</t>
  </si>
  <si>
    <t>POS - Call/Question</t>
  </si>
  <si>
    <t>POS - Cash Back Query</t>
  </si>
  <si>
    <t>POS - Change to IP/PSTN</t>
  </si>
  <si>
    <t>POS - Comms Issue</t>
  </si>
  <si>
    <t>POS - Contactless Query</t>
  </si>
  <si>
    <t>POS - DBA &amp; Address Query</t>
  </si>
  <si>
    <t>POS - DCC Query</t>
  </si>
  <si>
    <t>POS - Delivery Query/Delay</t>
  </si>
  <si>
    <t>POS - Ecommerce Query</t>
  </si>
  <si>
    <t>POS - Follow Up Call</t>
  </si>
  <si>
    <t>POS - Giftcard/Tax Free/Duet Query</t>
  </si>
  <si>
    <t>POS - Hardware</t>
  </si>
  <si>
    <t>POS - ICE/Compliance Upgrades</t>
  </si>
  <si>
    <t>POS - Initializations</t>
  </si>
  <si>
    <t>POS - KPN Query</t>
  </si>
  <si>
    <t>POS - Lost or Stolen Terminal/Device</t>
  </si>
  <si>
    <t>POS - Mac Reset/Fault</t>
  </si>
  <si>
    <t>POS - Mobile Merchant Query</t>
  </si>
  <si>
    <t>POS - Pabx check/addition</t>
  </si>
  <si>
    <t>POS - Pin Pad</t>
  </si>
  <si>
    <t>POS - Power</t>
  </si>
  <si>
    <t>POS - Printer</t>
  </si>
  <si>
    <t>POS - RB/Retry batch</t>
  </si>
  <si>
    <t>POS - referred to Spire</t>
  </si>
  <si>
    <t>POS - Set Up</t>
  </si>
  <si>
    <t>POS - Settle/Check Batch</t>
  </si>
  <si>
    <t>POS - Software/App Query</t>
  </si>
  <si>
    <t>POS - Standard Terminal Recovery</t>
  </si>
  <si>
    <t>POS - Terminal Error 39</t>
  </si>
  <si>
    <t>POS - Terminal logo</t>
  </si>
  <si>
    <t>POS - Tid Change</t>
  </si>
  <si>
    <t>POS - TMS Change/Fault</t>
  </si>
  <si>
    <t>POS - Training Provided</t>
  </si>
  <si>
    <t>POS - Upgrade/Addition Query</t>
  </si>
  <si>
    <t>POS - VX Batch Fail</t>
  </si>
  <si>
    <t>Premier Funding Queries</t>
  </si>
  <si>
    <t>Reserves GL Transfer</t>
  </si>
  <si>
    <t>Reserves Queries</t>
  </si>
  <si>
    <t>RM Oslo _x001A_ complaint Exception Pricing</t>
  </si>
  <si>
    <t>RM Oslo _x001A_ complaint Refunds</t>
  </si>
  <si>
    <t>RMU - Approval request</t>
  </si>
  <si>
    <t>RMU - Closures / cancellations</t>
  </si>
  <si>
    <t>RMU - Funding details change</t>
  </si>
  <si>
    <t>RMU - Remove hold status</t>
  </si>
  <si>
    <t>RMU - Remove reserve status</t>
  </si>
  <si>
    <t>RMU - Set merchant to hold</t>
  </si>
  <si>
    <t>RMU - Set merchant to reserve</t>
  </si>
  <si>
    <t>SAN - Terminal Write Off</t>
  </si>
  <si>
    <t>Services - MFM Auto Generated Errors</t>
  </si>
  <si>
    <t>SMU - New chain creation</t>
  </si>
  <si>
    <t>SSF - Application not fully completed</t>
  </si>
  <si>
    <t>SSF - Bad scan quality issues</t>
  </si>
  <si>
    <t>SSF - Bank conf incorrect/ not matching</t>
  </si>
  <si>
    <t>SSF - Breakdown of turnover for multiple sites</t>
  </si>
  <si>
    <t>SSF - Company reg. details</t>
  </si>
  <si>
    <t>SSF - GS set up incomplete</t>
  </si>
  <si>
    <t>SSF - KYC Section</t>
  </si>
  <si>
    <t>SSF - MSP pack incomplete</t>
  </si>
  <si>
    <t>SSF - Rates below Matrix/ PM required</t>
  </si>
  <si>
    <t>SSF - Sales Inbound Call</t>
  </si>
  <si>
    <t>SSF - Sales Outbound Call</t>
  </si>
  <si>
    <t>SSF - Trading from home policy</t>
  </si>
  <si>
    <t>SSF - Type of app.</t>
  </si>
  <si>
    <t>SSF - W8BEN/W8IMY forms missing /incorrect</t>
  </si>
  <si>
    <t>Test case reason code</t>
  </si>
  <si>
    <t>UP Opt-Out</t>
  </si>
  <si>
    <t>Vendor Management Complaint Ingenico</t>
  </si>
  <si>
    <t>Vendor Management Complaint Lantec</t>
  </si>
  <si>
    <t>Vendor Management Complaint Spire</t>
  </si>
  <si>
    <t>REASON CODES</t>
  </si>
  <si>
    <t>STATUS</t>
  </si>
  <si>
    <t>REQUEST ROUTES</t>
  </si>
  <si>
    <t>COUNTRIES</t>
  </si>
  <si>
    <t>LANGUAGES</t>
  </si>
  <si>
    <t>SEVERITIES</t>
  </si>
  <si>
    <t>SUBSTATUS</t>
  </si>
  <si>
    <t>CASE TYPES</t>
  </si>
  <si>
    <t>Stock</t>
  </si>
  <si>
    <t>Symbol</t>
  </si>
  <si>
    <t>Beazley</t>
  </si>
  <si>
    <t>BEZ.L</t>
  </si>
  <si>
    <t>Compass</t>
  </si>
  <si>
    <t>CPG.L</t>
  </si>
  <si>
    <t>Update</t>
  </si>
  <si>
    <t>Amount</t>
  </si>
  <si>
    <t>TP</t>
  </si>
  <si>
    <t>SL</t>
  </si>
  <si>
    <t>Initial</t>
  </si>
  <si>
    <t>Value</t>
  </si>
  <si>
    <t>Diageo</t>
  </si>
  <si>
    <t>DGE.L</t>
  </si>
  <si>
    <t>Jyske Bank</t>
  </si>
  <si>
    <t>JYSK.CO</t>
  </si>
  <si>
    <t>Constellation Brand</t>
  </si>
  <si>
    <t>STZ</t>
  </si>
  <si>
    <t>-</t>
  </si>
</sst>
</file>

<file path=xl/styles.xml><?xml version="1.0" encoding="utf-8"?>
<styleSheet xmlns="http://schemas.openxmlformats.org/spreadsheetml/2006/main">
  <numFmts count="1">
    <numFmt numFmtId="164" formatCode="h:mm;@"/>
  </numFmts>
  <fonts count="33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8"/>
      <color indexed="8"/>
      <name val="Arial"/>
      <family val="2"/>
      <charset val="238"/>
    </font>
    <font>
      <sz val="10"/>
      <color indexed="8"/>
      <name val="Calibri"/>
      <family val="2"/>
    </font>
    <font>
      <b/>
      <sz val="9"/>
      <color indexed="8"/>
      <name val="Arial"/>
      <family val="2"/>
      <charset val="238"/>
    </font>
    <font>
      <sz val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  <charset val="238"/>
    </font>
    <font>
      <b/>
      <sz val="24"/>
      <color indexed="8"/>
      <name val="Calibri"/>
      <family val="2"/>
      <charset val="238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0"/>
      <name val="MS Sans Serif"/>
      <family val="2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sz val="10"/>
      <color theme="1"/>
      <name val="Arial Unicode MS"/>
      <family val="2"/>
      <charset val="23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6795556505021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9" fillId="20" borderId="1" applyNumberFormat="0" applyAlignment="0" applyProtection="0"/>
    <xf numFmtId="0" fontId="25" fillId="27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0" fillId="21" borderId="2" applyNumberFormat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26" fillId="28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18" fillId="22" borderId="0" applyNumberFormat="0" applyBorder="0" applyAlignment="0" applyProtection="0"/>
    <xf numFmtId="0" fontId="6" fillId="0" borderId="0"/>
    <xf numFmtId="0" fontId="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" fillId="23" borderId="7" applyNumberFormat="0" applyFon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8" fillId="0" borderId="0"/>
  </cellStyleXfs>
  <cellXfs count="49">
    <xf numFmtId="0" fontId="0" fillId="0" borderId="0" xfId="0"/>
    <xf numFmtId="14" fontId="0" fillId="0" borderId="0" xfId="0" applyNumberFormat="1" applyProtection="1">
      <protection locked="0"/>
    </xf>
    <xf numFmtId="0" fontId="0" fillId="0" borderId="0" xfId="0" applyProtection="1"/>
    <xf numFmtId="0" fontId="3" fillId="0" borderId="0" xfId="0" applyFont="1" applyProtection="1"/>
    <xf numFmtId="0" fontId="0" fillId="0" borderId="0" xfId="0" applyFill="1" applyBorder="1" applyProtection="1"/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24" borderId="10" xfId="0" applyFont="1" applyFill="1" applyBorder="1" applyAlignment="1" applyProtection="1">
      <alignment horizontal="center" vertical="center" wrapText="1"/>
    </xf>
    <xf numFmtId="0" fontId="26" fillId="28" borderId="10" xfId="114" applyBorder="1" applyAlignment="1" applyProtection="1">
      <alignment horizontal="center" vertical="center" wrapText="1"/>
    </xf>
    <xf numFmtId="0" fontId="4" fillId="24" borderId="11" xfId="0" applyFont="1" applyFill="1" applyBorder="1" applyAlignment="1" applyProtection="1">
      <alignment horizontal="center" vertical="center" wrapText="1"/>
    </xf>
    <xf numFmtId="0" fontId="26" fillId="28" borderId="11" xfId="114" applyBorder="1" applyAlignment="1" applyProtection="1">
      <alignment horizontal="center" vertical="center" wrapText="1"/>
    </xf>
    <xf numFmtId="0" fontId="4" fillId="24" borderId="12" xfId="0" applyFont="1" applyFill="1" applyBorder="1" applyAlignment="1" applyProtection="1">
      <alignment horizontal="center" vertical="center" wrapText="1"/>
    </xf>
    <xf numFmtId="0" fontId="25" fillId="27" borderId="2" xfId="105" applyAlignment="1" applyProtection="1">
      <alignment horizontal="center" vertical="center" wrapText="1"/>
    </xf>
    <xf numFmtId="0" fontId="0" fillId="25" borderId="0" xfId="0" applyFill="1" applyProtection="1"/>
    <xf numFmtId="0" fontId="4" fillId="24" borderId="13" xfId="0" applyFont="1" applyFill="1" applyBorder="1" applyAlignment="1" applyProtection="1">
      <alignment horizontal="center" vertical="center" wrapText="1"/>
    </xf>
    <xf numFmtId="0" fontId="2" fillId="24" borderId="14" xfId="0" applyFont="1" applyFill="1" applyBorder="1" applyAlignment="1" applyProtection="1">
      <alignment horizontal="center" vertical="center" wrapText="1"/>
    </xf>
    <xf numFmtId="1" fontId="2" fillId="24" borderId="14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>
      <protection locked="0"/>
    </xf>
    <xf numFmtId="1" fontId="0" fillId="0" borderId="0" xfId="0" applyNumberFormat="1" applyProtection="1"/>
    <xf numFmtId="0" fontId="29" fillId="0" borderId="0" xfId="0" applyFont="1"/>
    <xf numFmtId="0" fontId="0" fillId="0" borderId="0" xfId="0" applyNumberFormat="1" applyBorder="1"/>
    <xf numFmtId="0" fontId="0" fillId="0" borderId="0" xfId="0" applyBorder="1"/>
    <xf numFmtId="0" fontId="27" fillId="0" borderId="0" xfId="0" applyFont="1" applyBorder="1"/>
    <xf numFmtId="0" fontId="3" fillId="0" borderId="0" xfId="0" applyFont="1" applyBorder="1" applyProtection="1"/>
    <xf numFmtId="0" fontId="2" fillId="24" borderId="15" xfId="0" applyFont="1" applyFill="1" applyBorder="1" applyAlignment="1" applyProtection="1">
      <alignment horizontal="center" vertical="center" wrapText="1"/>
    </xf>
    <xf numFmtId="0" fontId="24" fillId="26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Fill="1" applyProtection="1">
      <protection locked="0"/>
    </xf>
    <xf numFmtId="10" fontId="0" fillId="0" borderId="0" xfId="0" applyNumberFormat="1"/>
    <xf numFmtId="4" fontId="0" fillId="0" borderId="0" xfId="0" applyNumberFormat="1"/>
    <xf numFmtId="0" fontId="30" fillId="0" borderId="0" xfId="0" applyFont="1"/>
    <xf numFmtId="0" fontId="0" fillId="0" borderId="0" xfId="0" applyAlignment="1">
      <alignment horizontal="center" vertical="center"/>
    </xf>
    <xf numFmtId="22" fontId="29" fillId="0" borderId="0" xfId="0" applyNumberFormat="1" applyFont="1" applyAlignment="1">
      <alignment horizontal="center" vertical="center"/>
    </xf>
    <xf numFmtId="0" fontId="29" fillId="29" borderId="16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" fontId="29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0" fontId="0" fillId="0" borderId="0" xfId="0" applyNumberFormat="1" applyAlignment="1"/>
    <xf numFmtId="0" fontId="32" fillId="0" borderId="0" xfId="0" applyFont="1"/>
    <xf numFmtId="4" fontId="0" fillId="0" borderId="0" xfId="0" applyNumberFormat="1" applyAlignment="1">
      <alignment horizontal="right" indent="1"/>
    </xf>
    <xf numFmtId="0" fontId="0" fillId="0" borderId="0" xfId="0" applyAlignment="1">
      <alignment horizontal="right" indent="1"/>
    </xf>
    <xf numFmtId="164" fontId="29" fillId="0" borderId="0" xfId="0" applyNumberFormat="1" applyFont="1" applyAlignment="1">
      <alignment vertical="center"/>
    </xf>
    <xf numFmtId="2" fontId="29" fillId="0" borderId="0" xfId="0" applyNumberFormat="1" applyFont="1" applyAlignment="1">
      <alignment horizontal="center" vertical="center"/>
    </xf>
    <xf numFmtId="2" fontId="0" fillId="0" borderId="0" xfId="0" applyNumberFormat="1"/>
    <xf numFmtId="4" fontId="22" fillId="0" borderId="0" xfId="170" applyNumberFormat="1"/>
    <xf numFmtId="10" fontId="29" fillId="30" borderId="17" xfId="0" applyNumberFormat="1" applyFont="1" applyFill="1" applyBorder="1" applyAlignment="1">
      <alignment horizontal="center" vertical="center"/>
    </xf>
    <xf numFmtId="4" fontId="29" fillId="30" borderId="17" xfId="0" applyNumberFormat="1" applyFont="1" applyFill="1" applyBorder="1" applyAlignment="1">
      <alignment horizontal="right" vertical="center" indent="1"/>
    </xf>
  </cellXfs>
  <cellStyles count="174">
    <cellStyle name="20% - Accent1 2" xfId="1"/>
    <cellStyle name="20% - Accent1 3" xfId="2"/>
    <cellStyle name="20% - Accent1 4" xfId="3"/>
    <cellStyle name="20% - Accent1 5" xfId="4"/>
    <cellStyle name="20% - Accent2 2" xfId="5"/>
    <cellStyle name="20% - Accent2 3" xfId="6"/>
    <cellStyle name="20% - Accent2 4" xfId="7"/>
    <cellStyle name="20% - Accent2 5" xfId="8"/>
    <cellStyle name="20% - Accent3 2" xfId="9"/>
    <cellStyle name="20% - Accent3 3" xfId="10"/>
    <cellStyle name="20% - Accent3 4" xfId="11"/>
    <cellStyle name="20% - Accent3 5" xfId="12"/>
    <cellStyle name="20% - Accent4 2" xfId="13"/>
    <cellStyle name="20% - Accent4 3" xfId="14"/>
    <cellStyle name="20% - Accent4 4" xfId="15"/>
    <cellStyle name="20% - Accent4 5" xfId="16"/>
    <cellStyle name="20% - Accent5 2" xfId="17"/>
    <cellStyle name="20% - Accent5 3" xfId="18"/>
    <cellStyle name="20% - Accent5 4" xfId="19"/>
    <cellStyle name="20% - Accent5 5" xfId="20"/>
    <cellStyle name="20% - Accent6 2" xfId="21"/>
    <cellStyle name="20% - Accent6 3" xfId="22"/>
    <cellStyle name="20% - Accent6 4" xfId="23"/>
    <cellStyle name="20% - Accent6 5" xfId="24"/>
    <cellStyle name="40% - Accent1 2" xfId="25"/>
    <cellStyle name="40% - Accent1 3" xfId="26"/>
    <cellStyle name="40% - Accent1 4" xfId="27"/>
    <cellStyle name="40% - Accent1 5" xfId="28"/>
    <cellStyle name="40% - Accent2 2" xfId="29"/>
    <cellStyle name="40% - Accent2 3" xfId="30"/>
    <cellStyle name="40% - Accent2 4" xfId="31"/>
    <cellStyle name="40% - Accent2 5" xfId="32"/>
    <cellStyle name="40% - Accent3 2" xfId="33"/>
    <cellStyle name="40% - Accent3 3" xfId="34"/>
    <cellStyle name="40% - Accent3 4" xfId="35"/>
    <cellStyle name="40% - Accent3 5" xfId="36"/>
    <cellStyle name="40% - Accent4 2" xfId="37"/>
    <cellStyle name="40% - Accent4 3" xfId="38"/>
    <cellStyle name="40% - Accent4 4" xfId="39"/>
    <cellStyle name="40% - Accent4 5" xfId="40"/>
    <cellStyle name="40% - Accent5 2" xfId="41"/>
    <cellStyle name="40% - Accent5 3" xfId="42"/>
    <cellStyle name="40% - Accent5 4" xfId="43"/>
    <cellStyle name="40% - Accent5 5" xfId="44"/>
    <cellStyle name="40% - Accent6 2" xfId="45"/>
    <cellStyle name="40% - Accent6 3" xfId="46"/>
    <cellStyle name="40% - Accent6 4" xfId="47"/>
    <cellStyle name="40% - Accent6 5" xfId="48"/>
    <cellStyle name="60% - Accent1 2" xfId="49"/>
    <cellStyle name="60% - Accent1 3" xfId="50"/>
    <cellStyle name="60% - Accent1 4" xfId="51"/>
    <cellStyle name="60% - Accent1 5" xfId="52"/>
    <cellStyle name="60% - Accent2 2" xfId="53"/>
    <cellStyle name="60% - Accent2 3" xfId="54"/>
    <cellStyle name="60% - Accent2 4" xfId="55"/>
    <cellStyle name="60% - Accent2 5" xfId="56"/>
    <cellStyle name="60% - Accent3 2" xfId="57"/>
    <cellStyle name="60% - Accent3 3" xfId="58"/>
    <cellStyle name="60% - Accent3 4" xfId="59"/>
    <cellStyle name="60% - Accent3 5" xfId="60"/>
    <cellStyle name="60% - Accent4 2" xfId="61"/>
    <cellStyle name="60% - Accent4 3" xfId="62"/>
    <cellStyle name="60% - Accent4 4" xfId="63"/>
    <cellStyle name="60% - Accent4 5" xfId="64"/>
    <cellStyle name="60% - Accent5 2" xfId="65"/>
    <cellStyle name="60% - Accent5 3" xfId="66"/>
    <cellStyle name="60% - Accent5 4" xfId="67"/>
    <cellStyle name="60% - Accent5 5" xfId="68"/>
    <cellStyle name="60% - Accent6 2" xfId="69"/>
    <cellStyle name="60% - Accent6 3" xfId="70"/>
    <cellStyle name="60% - Accent6 4" xfId="71"/>
    <cellStyle name="60% - Accent6 5" xfId="72"/>
    <cellStyle name="Accent1 2" xfId="73"/>
    <cellStyle name="Accent1 3" xfId="74"/>
    <cellStyle name="Accent1 4" xfId="75"/>
    <cellStyle name="Accent1 5" xfId="76"/>
    <cellStyle name="Accent2 2" xfId="77"/>
    <cellStyle name="Accent2 3" xfId="78"/>
    <cellStyle name="Accent2 4" xfId="79"/>
    <cellStyle name="Accent2 5" xfId="80"/>
    <cellStyle name="Accent3 2" xfId="81"/>
    <cellStyle name="Accent3 3" xfId="82"/>
    <cellStyle name="Accent3 4" xfId="83"/>
    <cellStyle name="Accent3 5" xfId="84"/>
    <cellStyle name="Accent4 2" xfId="85"/>
    <cellStyle name="Accent4 3" xfId="86"/>
    <cellStyle name="Accent4 4" xfId="87"/>
    <cellStyle name="Accent4 5" xfId="88"/>
    <cellStyle name="Accent5 2" xfId="89"/>
    <cellStyle name="Accent5 3" xfId="90"/>
    <cellStyle name="Accent5 4" xfId="91"/>
    <cellStyle name="Accent5 5" xfId="92"/>
    <cellStyle name="Accent6 2" xfId="93"/>
    <cellStyle name="Accent6 3" xfId="94"/>
    <cellStyle name="Accent6 4" xfId="95"/>
    <cellStyle name="Accent6 5" xfId="96"/>
    <cellStyle name="Bad 2" xfId="97"/>
    <cellStyle name="Bad 3" xfId="98"/>
    <cellStyle name="Bad 4" xfId="99"/>
    <cellStyle name="Bad 5" xfId="100"/>
    <cellStyle name="Calculation 2" xfId="101"/>
    <cellStyle name="Calculation 3" xfId="102"/>
    <cellStyle name="Calculation 4" xfId="103"/>
    <cellStyle name="Calculation 5" xfId="104"/>
    <cellStyle name="Check Cell" xfId="105" builtinId="23"/>
    <cellStyle name="Check Cell 2" xfId="106"/>
    <cellStyle name="Check Cell 3" xfId="107"/>
    <cellStyle name="Check Cell 4" xfId="108"/>
    <cellStyle name="Check Cell 5" xfId="109"/>
    <cellStyle name="Explanatory Text 2" xfId="110"/>
    <cellStyle name="Explanatory Text 3" xfId="111"/>
    <cellStyle name="Explanatory Text 4" xfId="112"/>
    <cellStyle name="Explanatory Text 5" xfId="113"/>
    <cellStyle name="Good" xfId="114" builtinId="26"/>
    <cellStyle name="Good 2" xfId="115"/>
    <cellStyle name="Good 3" xfId="116"/>
    <cellStyle name="Good 4" xfId="117"/>
    <cellStyle name="Good 5" xfId="118"/>
    <cellStyle name="Heading 1 2" xfId="119"/>
    <cellStyle name="Heading 1 3" xfId="120"/>
    <cellStyle name="Heading 1 4" xfId="121"/>
    <cellStyle name="Heading 1 5" xfId="122"/>
    <cellStyle name="Heading 2 2" xfId="123"/>
    <cellStyle name="Heading 2 3" xfId="124"/>
    <cellStyle name="Heading 2 4" xfId="125"/>
    <cellStyle name="Heading 2 5" xfId="126"/>
    <cellStyle name="Heading 3 2" xfId="127"/>
    <cellStyle name="Heading 3 3" xfId="128"/>
    <cellStyle name="Heading 3 4" xfId="129"/>
    <cellStyle name="Heading 3 5" xfId="130"/>
    <cellStyle name="Heading 4 2" xfId="131"/>
    <cellStyle name="Heading 4 3" xfId="132"/>
    <cellStyle name="Heading 4 4" xfId="133"/>
    <cellStyle name="Heading 4 5" xfId="134"/>
    <cellStyle name="Input 2" xfId="135"/>
    <cellStyle name="Input 3" xfId="136"/>
    <cellStyle name="Input 4" xfId="137"/>
    <cellStyle name="Input 5" xfId="138"/>
    <cellStyle name="Linked Cell 2" xfId="139"/>
    <cellStyle name="Linked Cell 3" xfId="140"/>
    <cellStyle name="Linked Cell 4" xfId="141"/>
    <cellStyle name="Linked Cell 5" xfId="142"/>
    <cellStyle name="Neutral 2" xfId="143"/>
    <cellStyle name="Neutral 3" xfId="144"/>
    <cellStyle name="Neutral 4" xfId="145"/>
    <cellStyle name="Neutral 5" xfId="146"/>
    <cellStyle name="Nor}al" xfId="147"/>
    <cellStyle name="Normal" xfId="0" builtinId="0"/>
    <cellStyle name="Normal 2" xfId="148"/>
    <cellStyle name="Normal 2 2" xfId="173"/>
    <cellStyle name="Normal 3" xfId="149"/>
    <cellStyle name="Normal 4" xfId="150"/>
    <cellStyle name="Normal 5" xfId="151"/>
    <cellStyle name="Normal 6" xfId="152"/>
    <cellStyle name="Note 2" xfId="153"/>
    <cellStyle name="Note 3" xfId="154"/>
    <cellStyle name="Note 4" xfId="155"/>
    <cellStyle name="Note 5" xfId="156"/>
    <cellStyle name="Output 2" xfId="157"/>
    <cellStyle name="Output 3" xfId="158"/>
    <cellStyle name="Output 4" xfId="159"/>
    <cellStyle name="Output 5" xfId="160"/>
    <cellStyle name="Title 2" xfId="161"/>
    <cellStyle name="Title 3" xfId="162"/>
    <cellStyle name="Title 4" xfId="163"/>
    <cellStyle name="Title 5" xfId="164"/>
    <cellStyle name="Total 2" xfId="165"/>
    <cellStyle name="Total 3" xfId="166"/>
    <cellStyle name="Total 4" xfId="167"/>
    <cellStyle name="Total 5" xfId="168"/>
    <cellStyle name="Warning Text 2" xfId="169"/>
    <cellStyle name="Warning Text 3" xfId="170"/>
    <cellStyle name="Warning Text 4" xfId="171"/>
    <cellStyle name="Warning Text 5" xfId="172"/>
  </cellStyles>
  <dxfs count="6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Main"/>
  <dimension ref="A1:AP6"/>
  <sheetViews>
    <sheetView topLeftCell="T1" zoomScale="85" zoomScaleNormal="85" workbookViewId="0">
      <selection activeCell="X1" sqref="X1:X2"/>
    </sheetView>
  </sheetViews>
  <sheetFormatPr defaultRowHeight="15"/>
  <cols>
    <col min="1" max="1" width="16.7109375" style="7" customWidth="1"/>
    <col min="2" max="2" width="13.7109375" style="8" customWidth="1"/>
    <col min="3" max="3" width="16.7109375" style="7" bestFit="1" customWidth="1"/>
    <col min="4" max="4" width="43.7109375" style="7" customWidth="1"/>
    <col min="5" max="5" width="23.7109375" style="7" customWidth="1"/>
    <col min="6" max="6" width="50.7109375" style="7" bestFit="1" customWidth="1"/>
    <col min="7" max="7" width="13.7109375" style="7" customWidth="1"/>
    <col min="8" max="8" width="35.85546875" style="7" customWidth="1"/>
    <col min="9" max="10" width="12.28515625" style="1" customWidth="1"/>
    <col min="11" max="11" width="9.42578125" style="7" customWidth="1"/>
    <col min="12" max="12" width="7.7109375" style="7" customWidth="1"/>
    <col min="13" max="13" width="35.140625" style="7" customWidth="1"/>
    <col min="14" max="14" width="18.5703125" style="7" customWidth="1"/>
    <col min="15" max="15" width="49.28515625" style="7" customWidth="1"/>
    <col min="16" max="20" width="16.85546875" style="7" customWidth="1"/>
    <col min="21" max="21" width="46.28515625" style="7" customWidth="1"/>
    <col min="22" max="22" width="22.42578125" style="7" customWidth="1"/>
    <col min="23" max="23" width="31" style="7" customWidth="1"/>
    <col min="24" max="24" width="12.85546875" style="2" customWidth="1"/>
    <col min="25" max="25" width="19.7109375" style="2" customWidth="1"/>
    <col min="26" max="27" width="22.85546875" style="2" customWidth="1"/>
    <col min="28" max="28" width="9.42578125" style="2" customWidth="1"/>
    <col min="29" max="29" width="10.42578125" style="2" customWidth="1"/>
    <col min="30" max="30" width="22" style="20" customWidth="1"/>
    <col min="31" max="31" width="6" style="2" customWidth="1"/>
    <col min="32" max="32" width="7.5703125" style="2" customWidth="1"/>
    <col min="33" max="33" width="7" style="2" customWidth="1"/>
    <col min="34" max="34" width="7.42578125" style="2" customWidth="1"/>
    <col min="35" max="35" width="8.7109375" style="2" customWidth="1"/>
    <col min="36" max="36" width="7.42578125" style="2" customWidth="1"/>
    <col min="37" max="37" width="9.140625" style="4" customWidth="1"/>
    <col min="38" max="40" width="9.140625" style="2" customWidth="1"/>
    <col min="41" max="41" width="9.42578125" style="7" customWidth="1"/>
    <col min="42" max="42" width="6.85546875" style="19" customWidth="1"/>
    <col min="43" max="16384" width="9.140625" style="2"/>
  </cols>
  <sheetData>
    <row r="1" spans="1:42" ht="35.25" thickTop="1" thickBot="1">
      <c r="A1" s="9" t="s">
        <v>525</v>
      </c>
      <c r="B1" s="10" t="s">
        <v>526</v>
      </c>
      <c r="C1" s="9" t="s">
        <v>536</v>
      </c>
      <c r="D1" s="10" t="s">
        <v>527</v>
      </c>
      <c r="E1" s="11" t="s">
        <v>423</v>
      </c>
      <c r="F1" s="12" t="s">
        <v>528</v>
      </c>
      <c r="G1" s="12" t="s">
        <v>529</v>
      </c>
      <c r="H1" s="12" t="s">
        <v>530</v>
      </c>
      <c r="I1" s="11" t="s">
        <v>426</v>
      </c>
      <c r="J1" s="11" t="s">
        <v>427</v>
      </c>
      <c r="K1" s="12" t="s">
        <v>531</v>
      </c>
      <c r="L1" s="11" t="s">
        <v>429</v>
      </c>
      <c r="M1" s="12" t="s">
        <v>532</v>
      </c>
      <c r="N1" s="11" t="s">
        <v>533</v>
      </c>
      <c r="O1" s="12" t="s">
        <v>534</v>
      </c>
      <c r="P1" s="11" t="s">
        <v>433</v>
      </c>
      <c r="Q1" s="12" t="s">
        <v>538</v>
      </c>
      <c r="R1" s="11" t="s">
        <v>539</v>
      </c>
      <c r="S1" s="12" t="s">
        <v>540</v>
      </c>
      <c r="T1" s="11" t="s">
        <v>541</v>
      </c>
      <c r="U1" s="13" t="s">
        <v>434</v>
      </c>
      <c r="V1" s="14" t="s">
        <v>535</v>
      </c>
      <c r="W1" s="15"/>
      <c r="X1" s="16" t="s">
        <v>434</v>
      </c>
      <c r="Y1" s="27">
        <v>2</v>
      </c>
      <c r="Z1" s="26" t="s">
        <v>629</v>
      </c>
      <c r="AA1" s="17" t="s">
        <v>630</v>
      </c>
      <c r="AB1" s="17" t="s">
        <v>422</v>
      </c>
      <c r="AC1" s="17" t="s">
        <v>423</v>
      </c>
      <c r="AD1" s="18" t="s">
        <v>424</v>
      </c>
      <c r="AE1" s="17" t="s">
        <v>425</v>
      </c>
      <c r="AF1" s="17" t="s">
        <v>428</v>
      </c>
      <c r="AG1" s="17" t="s">
        <v>429</v>
      </c>
      <c r="AH1" s="17" t="s">
        <v>430</v>
      </c>
      <c r="AI1" s="17" t="s">
        <v>431</v>
      </c>
      <c r="AJ1" s="17" t="s">
        <v>432</v>
      </c>
      <c r="AK1" s="17" t="s">
        <v>512</v>
      </c>
      <c r="AL1" s="17" t="s">
        <v>541</v>
      </c>
      <c r="AM1"/>
      <c r="AN1"/>
      <c r="AO1" s="17" t="s">
        <v>627</v>
      </c>
      <c r="AP1" s="18" t="s">
        <v>628</v>
      </c>
    </row>
    <row r="2" spans="1:42">
      <c r="B2" s="7"/>
      <c r="I2" s="7"/>
      <c r="J2" s="7"/>
      <c r="M2" s="28"/>
      <c r="U2" s="29"/>
      <c r="AB2" s="2" t="str">
        <f t="shared" ref="AB2" si="0">IF(OR(B2="",D2=""),"",VLOOKUP(D2,DEPARTMENTS_BY_NAME,2,0))</f>
        <v/>
      </c>
      <c r="AC2" s="2" t="str">
        <f t="shared" ref="AC2" si="1">IF(OR(B2="",E2=""),"",VLOOKUP(E2,USERS,2,0))</f>
        <v/>
      </c>
      <c r="AD2" s="20" t="str">
        <f t="shared" ref="AD2" si="2">IF(OR(B2="",F2=""),"",VLOOKUP(F2,REASONS_BY_NAME,2,0))</f>
        <v/>
      </c>
      <c r="AE2" s="2" t="str">
        <f t="shared" ref="AE2" si="3">IF(OR(B2="",G2=""),"",VLOOKUP(G2,STATUS,2,0))</f>
        <v/>
      </c>
      <c r="AF2" s="2" t="str">
        <f t="shared" ref="AF2" si="4">IF(OR(B2="",K2=""),"",VLOOKUP(K2,REQUEST_ROUTES,2,0))</f>
        <v/>
      </c>
      <c r="AG2" s="2" t="str">
        <f t="shared" ref="AG2" si="5">IF(OR(B2="",L2=""),"",VLOOKUP(L2,REQUEST_ROUTES,2,0))</f>
        <v/>
      </c>
      <c r="AH2" s="2" t="str">
        <f t="shared" ref="AH2" si="6">IF(OR(B2="",M2=""),"",VLOOKUP(M2,COUNTRIES,2,0))</f>
        <v/>
      </c>
      <c r="AI2" s="2" t="str">
        <f t="shared" ref="AI2" si="7">IF(OR(B2="",N2=""),"",VLOOKUP(N2,LANGUAGES,2,0))</f>
        <v/>
      </c>
      <c r="AJ2" s="2" t="str">
        <f t="shared" ref="AJ2" si="8">IF(OR(B2="",O2=""),"",VLOOKUP(O2,SEVERITIES,2,0))</f>
        <v/>
      </c>
      <c r="AK2" s="4" t="str">
        <f t="shared" ref="AK2" si="9">IF(OR(B2="",H2=""),"",VLOOKUP(H2,SUBSTATUS,2,0))</f>
        <v/>
      </c>
      <c r="AL2" s="4" t="str">
        <f t="shared" ref="AL2" si="10">IF(OR(B2="",T2=""),"",VLOOKUP(T2,CASE_TYPES,2,0))</f>
        <v/>
      </c>
      <c r="AO2" s="2">
        <v>120</v>
      </c>
      <c r="AP2" s="2">
        <v>2189</v>
      </c>
    </row>
    <row r="3" spans="1:42">
      <c r="B3" s="7"/>
      <c r="I3" s="7"/>
      <c r="J3" s="7"/>
      <c r="M3" s="28"/>
      <c r="U3" s="29"/>
      <c r="AB3" s="2" t="str">
        <f t="shared" ref="AB3:AB5" si="11">IF(OR(B3="",D3=""),"",VLOOKUP(D3,DEPARTMENTS_BY_NAME,2,0))</f>
        <v/>
      </c>
      <c r="AC3" s="2" t="str">
        <f t="shared" ref="AC3:AC5" si="12">IF(OR(B3="",E3=""),"",VLOOKUP(E3,USERS,2,0))</f>
        <v/>
      </c>
      <c r="AD3" s="20" t="str">
        <f t="shared" ref="AD3:AD5" si="13">IF(OR(B3="",F3=""),"",VLOOKUP(F3,REASONS_BY_NAME,2,0))</f>
        <v/>
      </c>
      <c r="AE3" s="2" t="str">
        <f t="shared" ref="AE3:AE5" si="14">IF(OR(B3="",G3=""),"",VLOOKUP(G3,STATUS,2,0))</f>
        <v/>
      </c>
      <c r="AF3" s="2" t="str">
        <f t="shared" ref="AF3:AF5" si="15">IF(OR(B3="",K3=""),"",VLOOKUP(K3,REQUEST_ROUTES,2,0))</f>
        <v/>
      </c>
      <c r="AG3" s="2" t="str">
        <f t="shared" ref="AG3:AG5" si="16">IF(OR(B3="",L3=""),"",VLOOKUP(L3,REQUEST_ROUTES,2,0))</f>
        <v/>
      </c>
      <c r="AH3" s="2" t="str">
        <f t="shared" ref="AH3:AH5" si="17">IF(OR(B3="",M3=""),"",VLOOKUP(M3,COUNTRIES,2,0))</f>
        <v/>
      </c>
      <c r="AI3" s="2" t="str">
        <f t="shared" ref="AI3:AI5" si="18">IF(OR(B3="",N3=""),"",VLOOKUP(N3,LANGUAGES,2,0))</f>
        <v/>
      </c>
      <c r="AJ3" s="2" t="str">
        <f t="shared" ref="AJ3:AJ5" si="19">IF(OR(B3="",O3=""),"",VLOOKUP(O3,SEVERITIES,2,0))</f>
        <v/>
      </c>
      <c r="AK3" s="4" t="str">
        <f t="shared" ref="AK3:AK5" si="20">IF(OR(B3="",H3=""),"",VLOOKUP(H3,SUBSTATUS,2,0))</f>
        <v/>
      </c>
      <c r="AL3" s="2" t="str">
        <f t="shared" ref="AL3:AL5" si="21">IF(OR(B3="",T3=""),"",VLOOKUP(T3,CASE_TYPES,2,0))</f>
        <v/>
      </c>
      <c r="AO3" s="7">
        <v>120</v>
      </c>
      <c r="AP3" s="19">
        <v>70</v>
      </c>
    </row>
    <row r="4" spans="1:42">
      <c r="B4" s="7"/>
      <c r="I4" s="7"/>
      <c r="J4" s="7"/>
      <c r="M4" s="28"/>
      <c r="U4" s="29"/>
      <c r="AB4" s="2" t="str">
        <f t="shared" si="11"/>
        <v/>
      </c>
      <c r="AC4" s="2" t="str">
        <f t="shared" si="12"/>
        <v/>
      </c>
      <c r="AD4" s="20" t="str">
        <f t="shared" si="13"/>
        <v/>
      </c>
      <c r="AE4" s="2" t="str">
        <f t="shared" si="14"/>
        <v/>
      </c>
      <c r="AF4" s="2" t="str">
        <f t="shared" si="15"/>
        <v/>
      </c>
      <c r="AG4" s="2" t="str">
        <f t="shared" si="16"/>
        <v/>
      </c>
      <c r="AH4" s="2" t="str">
        <f t="shared" si="17"/>
        <v/>
      </c>
      <c r="AI4" s="2" t="str">
        <f t="shared" si="18"/>
        <v/>
      </c>
      <c r="AJ4" s="2" t="str">
        <f t="shared" si="19"/>
        <v/>
      </c>
      <c r="AK4" s="4" t="str">
        <f t="shared" si="20"/>
        <v/>
      </c>
      <c r="AL4" s="2" t="str">
        <f t="shared" si="21"/>
        <v/>
      </c>
      <c r="AO4" s="7">
        <v>120</v>
      </c>
      <c r="AP4" s="19">
        <v>405</v>
      </c>
    </row>
    <row r="5" spans="1:42">
      <c r="B5" s="7"/>
      <c r="I5" s="7"/>
      <c r="J5" s="7"/>
      <c r="M5" s="28"/>
      <c r="U5" s="29"/>
      <c r="AB5" s="2" t="str">
        <f t="shared" si="11"/>
        <v/>
      </c>
      <c r="AC5" s="2" t="str">
        <f t="shared" si="12"/>
        <v/>
      </c>
      <c r="AD5" s="20" t="str">
        <f t="shared" si="13"/>
        <v/>
      </c>
      <c r="AE5" s="2" t="str">
        <f t="shared" si="14"/>
        <v/>
      </c>
      <c r="AF5" s="2" t="str">
        <f t="shared" si="15"/>
        <v/>
      </c>
      <c r="AG5" s="2" t="str">
        <f t="shared" si="16"/>
        <v/>
      </c>
      <c r="AH5" s="2" t="str">
        <f t="shared" si="17"/>
        <v/>
      </c>
      <c r="AI5" s="2" t="str">
        <f t="shared" si="18"/>
        <v/>
      </c>
      <c r="AJ5" s="2" t="str">
        <f t="shared" si="19"/>
        <v/>
      </c>
      <c r="AK5" s="4" t="str">
        <f t="shared" si="20"/>
        <v/>
      </c>
      <c r="AL5" s="2" t="str">
        <f t="shared" si="21"/>
        <v/>
      </c>
      <c r="AO5" s="7">
        <v>120</v>
      </c>
      <c r="AP5" s="19">
        <v>399</v>
      </c>
    </row>
    <row r="6" spans="1:42">
      <c r="B6" s="7"/>
      <c r="I6" s="7"/>
      <c r="J6" s="7"/>
      <c r="M6" s="28"/>
      <c r="U6" s="29"/>
      <c r="AB6" s="2" t="str">
        <f t="shared" ref="AB6" si="22">IF(OR(B6="",D6=""),"",VLOOKUP(D6,DEPARTMENTS_BY_NAME,2,0))</f>
        <v/>
      </c>
      <c r="AC6" s="2" t="str">
        <f t="shared" ref="AC6" si="23">IF(OR(B6="",E6=""),"",VLOOKUP(E6,USERS,2,0))</f>
        <v/>
      </c>
      <c r="AD6" s="20" t="str">
        <f t="shared" ref="AD6" si="24">IF(OR(B6="",F6=""),"",VLOOKUP(F6,REASONS_BY_NAME,2,0))</f>
        <v/>
      </c>
      <c r="AE6" s="2" t="str">
        <f t="shared" ref="AE6" si="25">IF(OR(B6="",G6=""),"",VLOOKUP(G6,STATUS,2,0))</f>
        <v/>
      </c>
      <c r="AF6" s="2" t="str">
        <f t="shared" ref="AF6" si="26">IF(OR(B6="",K6=""),"",VLOOKUP(K6,REQUEST_ROUTES,2,0))</f>
        <v/>
      </c>
      <c r="AG6" s="2" t="str">
        <f t="shared" ref="AG6" si="27">IF(OR(B6="",L6=""),"",VLOOKUP(L6,REQUEST_ROUTES,2,0))</f>
        <v/>
      </c>
      <c r="AH6" s="2" t="str">
        <f t="shared" ref="AH6" si="28">IF(OR(B6="",M6=""),"",VLOOKUP(M6,COUNTRIES,2,0))</f>
        <v/>
      </c>
      <c r="AI6" s="2" t="str">
        <f t="shared" ref="AI6" si="29">IF(OR(B6="",N6=""),"",VLOOKUP(N6,LANGUAGES,2,0))</f>
        <v/>
      </c>
      <c r="AJ6" s="2" t="str">
        <f t="shared" ref="AJ6" si="30">IF(OR(B6="",O6=""),"",VLOOKUP(O6,SEVERITIES,2,0))</f>
        <v/>
      </c>
      <c r="AK6" s="4" t="str">
        <f t="shared" ref="AK6" si="31">IF(OR(B6="",H6=""),"",VLOOKUP(H6,SUBSTATUS,2,0))</f>
        <v/>
      </c>
      <c r="AL6" s="2" t="str">
        <f t="shared" ref="AL6" si="32">IF(OR(B6="",T6=""),"",VLOOKUP(T6,CASE_TYPES,2,0))</f>
        <v/>
      </c>
      <c r="AO6" s="7">
        <v>120</v>
      </c>
      <c r="AP6" s="19">
        <v>2189</v>
      </c>
    </row>
  </sheetData>
  <phoneticPr fontId="5" type="noConversion"/>
  <dataValidations count="12">
    <dataValidation type="whole" allowBlank="1" showInputMessage="1" showErrorMessage="1" sqref="Y1">
      <formula1>2</formula1>
      <formula2>99999999999</formula2>
    </dataValidation>
    <dataValidation type="list" allowBlank="1" showInputMessage="1" showErrorMessage="1" sqref="D1:D2">
      <formula1>LIST_DEPARTMENTS</formula1>
    </dataValidation>
    <dataValidation type="list" allowBlank="1" showInputMessage="1" showErrorMessage="1" sqref="E1:E2">
      <formula1>LIST_USERS</formula1>
    </dataValidation>
    <dataValidation type="list" allowBlank="1" showInputMessage="1" showErrorMessage="1" sqref="F1:F2">
      <formula1>LIST_REASONS</formula1>
    </dataValidation>
    <dataValidation type="list" allowBlank="1" showInputMessage="1" showErrorMessage="1" sqref="G1:G2">
      <formula1>LIST_STATUS</formula1>
    </dataValidation>
    <dataValidation type="list" allowBlank="1" showInputMessage="1" showErrorMessage="1" sqref="H1:H2">
      <formula1>LIST_SUBSTATUS</formula1>
    </dataValidation>
    <dataValidation type="list" allowBlank="1" showInputMessage="1" showErrorMessage="1" sqref="K1:L2">
      <formula1>LIST_REQUEST_ROUTES</formula1>
    </dataValidation>
    <dataValidation type="list" allowBlank="1" showInputMessage="1" showErrorMessage="1" sqref="M1:M2">
      <formula1>LIST_COUNTRIES</formula1>
    </dataValidation>
    <dataValidation type="list" allowBlank="1" showInputMessage="1" showErrorMessage="1" sqref="N1:N2">
      <formula1>LIST_LANGUAGES</formula1>
    </dataValidation>
    <dataValidation type="list" allowBlank="1" showInputMessage="1" showErrorMessage="1" sqref="O1:O2">
      <formula1>LIST_SEVERITIES</formula1>
    </dataValidation>
    <dataValidation type="list" allowBlank="1" showInputMessage="1" showErrorMessage="1" sqref="T1:T2">
      <formula1>LIST_CASE_TYPES</formula1>
    </dataValidation>
    <dataValidation type="whole" allowBlank="1" showInputMessage="1" showErrorMessage="1" sqref="B6">
      <formula1>0</formula1>
      <formula2>9999999999999990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F364"/>
  <sheetViews>
    <sheetView topLeftCell="K1" workbookViewId="0">
      <selection activeCell="T20" sqref="T20"/>
    </sheetView>
  </sheetViews>
  <sheetFormatPr defaultRowHeight="15"/>
  <cols>
    <col min="1" max="1" width="43.5703125" bestFit="1" customWidth="1"/>
    <col min="2" max="2" width="6.85546875" customWidth="1"/>
    <col min="3" max="3" width="43.5703125" bestFit="1" customWidth="1"/>
    <col min="4" max="4" width="6.28515625" customWidth="1"/>
    <col min="5" max="5" width="23.5703125" bestFit="1" customWidth="1"/>
    <col min="6" max="6" width="18.140625" customWidth="1"/>
    <col min="7" max="7" width="6.42578125" customWidth="1"/>
    <col min="8" max="8" width="50.42578125" bestFit="1" customWidth="1"/>
    <col min="9" max="9" width="5" bestFit="1" customWidth="1"/>
    <col min="10" max="10" width="50.42578125" bestFit="1" customWidth="1"/>
    <col min="18" max="18" width="33.85546875" bestFit="1" customWidth="1"/>
    <col min="19" max="19" width="5" bestFit="1" customWidth="1"/>
    <col min="27" max="27" width="13.140625" bestFit="1" customWidth="1"/>
    <col min="28" max="28" width="36.5703125" bestFit="1" customWidth="1"/>
    <col min="29" max="29" width="3" bestFit="1" customWidth="1"/>
    <col min="31" max="31" width="16.5703125" bestFit="1" customWidth="1"/>
  </cols>
  <sheetData>
    <row r="1" spans="1:32">
      <c r="A1" s="21" t="s">
        <v>772</v>
      </c>
      <c r="E1" s="21" t="s">
        <v>773</v>
      </c>
      <c r="H1" s="21" t="s">
        <v>914</v>
      </c>
      <c r="L1" s="21" t="s">
        <v>915</v>
      </c>
      <c r="O1" s="21" t="s">
        <v>916</v>
      </c>
      <c r="R1" s="21" t="s">
        <v>917</v>
      </c>
      <c r="U1" s="21" t="s">
        <v>918</v>
      </c>
      <c r="X1" s="21" t="s">
        <v>919</v>
      </c>
      <c r="AA1" s="21" t="s">
        <v>920</v>
      </c>
      <c r="AE1" s="21" t="s">
        <v>921</v>
      </c>
    </row>
    <row r="2" spans="1:32">
      <c r="A2" t="s">
        <v>750</v>
      </c>
      <c r="B2">
        <v>148</v>
      </c>
      <c r="C2" t="s">
        <v>750</v>
      </c>
      <c r="E2" s="5" t="s">
        <v>6</v>
      </c>
      <c r="F2" s="6" t="s">
        <v>436</v>
      </c>
      <c r="H2" s="22" t="s">
        <v>774</v>
      </c>
      <c r="I2" s="23">
        <v>80</v>
      </c>
      <c r="J2" s="22" t="s">
        <v>774</v>
      </c>
      <c r="L2" s="5" t="s">
        <v>150</v>
      </c>
      <c r="M2" s="5">
        <v>1</v>
      </c>
      <c r="O2" s="5" t="s">
        <v>155</v>
      </c>
      <c r="P2" s="5">
        <v>1</v>
      </c>
      <c r="R2" s="5" t="s">
        <v>228</v>
      </c>
      <c r="S2" s="5">
        <v>3000</v>
      </c>
      <c r="U2" t="s">
        <v>114</v>
      </c>
      <c r="V2">
        <v>1035</v>
      </c>
      <c r="X2" s="5" t="s">
        <v>414</v>
      </c>
      <c r="Y2" s="2">
        <v>1</v>
      </c>
      <c r="AA2" s="2" t="s">
        <v>150</v>
      </c>
      <c r="AB2" s="2" t="s">
        <v>523</v>
      </c>
      <c r="AC2" s="2">
        <v>11</v>
      </c>
      <c r="AE2" s="2" t="s">
        <v>544</v>
      </c>
      <c r="AF2" s="2" t="s">
        <v>542</v>
      </c>
    </row>
    <row r="3" spans="1:32">
      <c r="A3" t="s">
        <v>751</v>
      </c>
      <c r="B3">
        <v>147</v>
      </c>
      <c r="C3" t="s">
        <v>751</v>
      </c>
      <c r="E3" s="5" t="s">
        <v>7</v>
      </c>
      <c r="F3" s="6" t="s">
        <v>437</v>
      </c>
      <c r="H3" s="22" t="s">
        <v>775</v>
      </c>
      <c r="I3" s="23">
        <v>125</v>
      </c>
      <c r="J3" s="22" t="s">
        <v>775</v>
      </c>
      <c r="L3" s="5" t="s">
        <v>151</v>
      </c>
      <c r="M3" s="5">
        <v>2</v>
      </c>
      <c r="O3" s="5" t="s">
        <v>156</v>
      </c>
      <c r="P3" s="5">
        <v>2</v>
      </c>
      <c r="R3" s="5" t="s">
        <v>229</v>
      </c>
      <c r="S3" s="5">
        <v>3001</v>
      </c>
      <c r="U3" t="s">
        <v>406</v>
      </c>
      <c r="V3">
        <v>1037</v>
      </c>
      <c r="X3" s="5" t="s">
        <v>415</v>
      </c>
      <c r="Y3" s="2">
        <v>2</v>
      </c>
      <c r="AA3" s="2" t="s">
        <v>151</v>
      </c>
      <c r="AB3" s="2" t="s">
        <v>513</v>
      </c>
      <c r="AC3" s="2">
        <v>1</v>
      </c>
      <c r="AE3" s="2" t="s">
        <v>537</v>
      </c>
      <c r="AF3" s="2" t="s">
        <v>543</v>
      </c>
    </row>
    <row r="4" spans="1:32">
      <c r="A4" t="s">
        <v>752</v>
      </c>
      <c r="B4">
        <v>149</v>
      </c>
      <c r="C4" t="s">
        <v>752</v>
      </c>
      <c r="E4" s="5" t="s">
        <v>8</v>
      </c>
      <c r="F4" s="6" t="s">
        <v>438</v>
      </c>
      <c r="H4" s="22" t="s">
        <v>776</v>
      </c>
      <c r="I4" s="23">
        <v>472</v>
      </c>
      <c r="J4" s="22" t="s">
        <v>776</v>
      </c>
      <c r="L4" s="5" t="s">
        <v>152</v>
      </c>
      <c r="M4" s="5">
        <v>3</v>
      </c>
      <c r="O4" s="5" t="s">
        <v>157</v>
      </c>
      <c r="P4" s="5">
        <v>3</v>
      </c>
      <c r="R4" s="5" t="s">
        <v>230</v>
      </c>
      <c r="S4" s="5">
        <v>3002</v>
      </c>
      <c r="U4" t="s">
        <v>407</v>
      </c>
      <c r="V4">
        <v>1039</v>
      </c>
      <c r="X4" s="5" t="s">
        <v>416</v>
      </c>
      <c r="Y4" s="2">
        <v>3</v>
      </c>
      <c r="AA4" s="2" t="s">
        <v>151</v>
      </c>
      <c r="AB4" s="2" t="s">
        <v>514</v>
      </c>
      <c r="AC4" s="2">
        <v>2</v>
      </c>
    </row>
    <row r="5" spans="1:32">
      <c r="A5" t="s">
        <v>545</v>
      </c>
      <c r="B5">
        <v>23</v>
      </c>
      <c r="C5" t="s">
        <v>545</v>
      </c>
      <c r="E5" s="5" t="s">
        <v>9</v>
      </c>
      <c r="F5" s="6" t="s">
        <v>439</v>
      </c>
      <c r="H5" s="22" t="s">
        <v>777</v>
      </c>
      <c r="I5" s="23">
        <v>241</v>
      </c>
      <c r="J5" s="22" t="s">
        <v>777</v>
      </c>
      <c r="L5" s="5" t="s">
        <v>153</v>
      </c>
      <c r="M5" s="5">
        <v>4</v>
      </c>
      <c r="O5" s="5" t="s">
        <v>158</v>
      </c>
      <c r="P5" s="5">
        <v>4</v>
      </c>
      <c r="R5" s="5" t="s">
        <v>231</v>
      </c>
      <c r="S5" s="5">
        <v>3003</v>
      </c>
      <c r="U5" t="s">
        <v>115</v>
      </c>
      <c r="V5">
        <v>1045</v>
      </c>
      <c r="X5" s="5" t="s">
        <v>413</v>
      </c>
      <c r="Y5" s="2">
        <v>4</v>
      </c>
      <c r="AA5" s="2" t="s">
        <v>151</v>
      </c>
      <c r="AB5" s="2" t="s">
        <v>515</v>
      </c>
      <c r="AC5" s="2">
        <v>3</v>
      </c>
    </row>
    <row r="6" spans="1:32">
      <c r="A6" t="s">
        <v>95</v>
      </c>
      <c r="B6">
        <v>81</v>
      </c>
      <c r="C6" t="s">
        <v>95</v>
      </c>
      <c r="E6" s="5" t="s">
        <v>10</v>
      </c>
      <c r="F6" s="6" t="s">
        <v>440</v>
      </c>
      <c r="H6" s="22" t="s">
        <v>778</v>
      </c>
      <c r="I6" s="23">
        <v>2188</v>
      </c>
      <c r="J6" s="22" t="s">
        <v>778</v>
      </c>
      <c r="L6" s="5" t="s">
        <v>154</v>
      </c>
      <c r="M6" s="5">
        <v>5</v>
      </c>
      <c r="R6" s="5" t="s">
        <v>232</v>
      </c>
      <c r="S6" s="5">
        <v>3004</v>
      </c>
      <c r="U6" t="s">
        <v>408</v>
      </c>
      <c r="V6">
        <v>1046</v>
      </c>
      <c r="X6" s="5" t="s">
        <v>417</v>
      </c>
      <c r="Y6" s="2">
        <v>5</v>
      </c>
      <c r="AA6" s="2" t="s">
        <v>151</v>
      </c>
      <c r="AB6" s="2" t="s">
        <v>516</v>
      </c>
      <c r="AC6" s="2">
        <v>4</v>
      </c>
    </row>
    <row r="7" spans="1:32">
      <c r="A7" t="s">
        <v>96</v>
      </c>
      <c r="B7">
        <v>74</v>
      </c>
      <c r="C7" t="s">
        <v>96</v>
      </c>
      <c r="E7" s="5" t="s">
        <v>11</v>
      </c>
      <c r="F7" s="6" t="s">
        <v>441</v>
      </c>
      <c r="H7" s="22" t="s">
        <v>779</v>
      </c>
      <c r="I7" s="23">
        <v>2187</v>
      </c>
      <c r="J7" s="22" t="s">
        <v>779</v>
      </c>
      <c r="R7" s="5" t="s">
        <v>233</v>
      </c>
      <c r="S7" s="5">
        <v>3005</v>
      </c>
      <c r="U7" t="s">
        <v>409</v>
      </c>
      <c r="V7">
        <v>1050</v>
      </c>
      <c r="X7" s="5" t="s">
        <v>418</v>
      </c>
      <c r="Y7" s="2">
        <v>6</v>
      </c>
      <c r="AA7" s="2" t="s">
        <v>152</v>
      </c>
      <c r="AB7" s="2" t="s">
        <v>517</v>
      </c>
      <c r="AC7" s="2">
        <v>5</v>
      </c>
    </row>
    <row r="8" spans="1:32">
      <c r="A8" t="s">
        <v>546</v>
      </c>
      <c r="B8">
        <v>26</v>
      </c>
      <c r="C8" t="s">
        <v>546</v>
      </c>
      <c r="E8" s="5" t="s">
        <v>12</v>
      </c>
      <c r="F8" s="6" t="s">
        <v>442</v>
      </c>
      <c r="H8" s="22" t="s">
        <v>780</v>
      </c>
      <c r="I8" s="23">
        <v>2179</v>
      </c>
      <c r="J8" s="22" t="s">
        <v>780</v>
      </c>
      <c r="R8" s="5" t="s">
        <v>234</v>
      </c>
      <c r="S8" s="5">
        <v>3006</v>
      </c>
      <c r="U8" t="s">
        <v>410</v>
      </c>
      <c r="V8">
        <v>1074</v>
      </c>
      <c r="X8" s="5" t="s">
        <v>419</v>
      </c>
      <c r="Y8" s="2">
        <v>7</v>
      </c>
      <c r="AA8" s="2" t="s">
        <v>152</v>
      </c>
      <c r="AB8" s="2" t="s">
        <v>518</v>
      </c>
      <c r="AC8" s="2">
        <v>6</v>
      </c>
    </row>
    <row r="9" spans="1:32">
      <c r="A9" t="s">
        <v>547</v>
      </c>
      <c r="B9">
        <v>36</v>
      </c>
      <c r="C9" t="s">
        <v>547</v>
      </c>
      <c r="E9" s="5" t="s">
        <v>13</v>
      </c>
      <c r="F9" s="6" t="s">
        <v>435</v>
      </c>
      <c r="H9" s="22" t="s">
        <v>781</v>
      </c>
      <c r="I9" s="23">
        <v>2200</v>
      </c>
      <c r="J9" s="22" t="s">
        <v>781</v>
      </c>
      <c r="R9" s="5" t="s">
        <v>235</v>
      </c>
      <c r="S9" s="5">
        <v>3007</v>
      </c>
      <c r="U9" t="s">
        <v>116</v>
      </c>
      <c r="V9">
        <v>1118</v>
      </c>
      <c r="X9" s="5" t="s">
        <v>420</v>
      </c>
      <c r="Y9" s="2">
        <v>8</v>
      </c>
      <c r="AA9" s="2" t="s">
        <v>152</v>
      </c>
      <c r="AB9" s="2" t="s">
        <v>519</v>
      </c>
      <c r="AC9" s="2">
        <v>7</v>
      </c>
    </row>
    <row r="10" spans="1:32">
      <c r="A10" t="s">
        <v>548</v>
      </c>
      <c r="B10">
        <v>39</v>
      </c>
      <c r="C10" t="s">
        <v>548</v>
      </c>
      <c r="E10" s="5" t="s">
        <v>14</v>
      </c>
      <c r="F10" s="6" t="s">
        <v>443</v>
      </c>
      <c r="H10" s="22" t="s">
        <v>782</v>
      </c>
      <c r="I10" s="23">
        <v>2202</v>
      </c>
      <c r="J10" s="22" t="s">
        <v>782</v>
      </c>
      <c r="R10" s="5" t="s">
        <v>236</v>
      </c>
      <c r="S10" s="5">
        <v>3008</v>
      </c>
      <c r="U10" t="s">
        <v>405</v>
      </c>
      <c r="V10">
        <v>1128</v>
      </c>
      <c r="X10" s="5" t="s">
        <v>421</v>
      </c>
      <c r="Y10" s="2">
        <v>9</v>
      </c>
      <c r="AA10" s="2" t="s">
        <v>153</v>
      </c>
      <c r="AB10" s="2" t="s">
        <v>520</v>
      </c>
      <c r="AC10" s="2">
        <v>8</v>
      </c>
    </row>
    <row r="11" spans="1:32">
      <c r="A11" t="s">
        <v>549</v>
      </c>
      <c r="B11">
        <v>43</v>
      </c>
      <c r="C11" t="s">
        <v>549</v>
      </c>
      <c r="E11" s="5" t="s">
        <v>15</v>
      </c>
      <c r="F11" s="6" t="s">
        <v>444</v>
      </c>
      <c r="H11" s="22" t="s">
        <v>636</v>
      </c>
      <c r="I11" s="23">
        <v>522</v>
      </c>
      <c r="J11" s="22" t="s">
        <v>636</v>
      </c>
      <c r="R11" s="5" t="s">
        <v>237</v>
      </c>
      <c r="S11" s="5">
        <v>3009</v>
      </c>
      <c r="U11" t="s">
        <v>411</v>
      </c>
      <c r="V11">
        <v>1149</v>
      </c>
      <c r="AA11" s="2" t="s">
        <v>153</v>
      </c>
      <c r="AB11" s="2" t="s">
        <v>521</v>
      </c>
      <c r="AC11" s="2">
        <v>9</v>
      </c>
    </row>
    <row r="12" spans="1:32">
      <c r="A12" t="s">
        <v>550</v>
      </c>
      <c r="B12">
        <v>78</v>
      </c>
      <c r="C12" t="s">
        <v>550</v>
      </c>
      <c r="E12" s="5" t="s">
        <v>16</v>
      </c>
      <c r="F12" s="6" t="s">
        <v>445</v>
      </c>
      <c r="H12" s="22" t="s">
        <v>637</v>
      </c>
      <c r="I12" s="23">
        <v>585</v>
      </c>
      <c r="J12" s="22" t="s">
        <v>637</v>
      </c>
      <c r="R12" s="5" t="s">
        <v>238</v>
      </c>
      <c r="S12" s="5">
        <v>3010</v>
      </c>
      <c r="U12" t="s">
        <v>117</v>
      </c>
      <c r="V12">
        <v>1154</v>
      </c>
      <c r="AA12" s="2" t="s">
        <v>153</v>
      </c>
      <c r="AB12" s="2" t="s">
        <v>522</v>
      </c>
      <c r="AC12" s="2">
        <v>10</v>
      </c>
    </row>
    <row r="13" spans="1:32">
      <c r="A13" t="s">
        <v>551</v>
      </c>
      <c r="B13">
        <v>80</v>
      </c>
      <c r="C13" t="s">
        <v>551</v>
      </c>
      <c r="E13" s="5" t="s">
        <v>17</v>
      </c>
      <c r="F13" s="6" t="s">
        <v>446</v>
      </c>
      <c r="H13" s="22" t="s">
        <v>783</v>
      </c>
      <c r="I13" s="23">
        <v>2171</v>
      </c>
      <c r="J13" s="22" t="s">
        <v>783</v>
      </c>
      <c r="R13" s="5" t="s">
        <v>239</v>
      </c>
      <c r="S13" s="5">
        <v>3011</v>
      </c>
      <c r="AA13" s="2" t="s">
        <v>154</v>
      </c>
      <c r="AB13" s="2" t="s">
        <v>524</v>
      </c>
      <c r="AC13" s="2">
        <v>12</v>
      </c>
    </row>
    <row r="14" spans="1:32">
      <c r="A14" t="s">
        <v>552</v>
      </c>
      <c r="B14">
        <v>79</v>
      </c>
      <c r="C14" t="s">
        <v>552</v>
      </c>
      <c r="E14" s="5" t="s">
        <v>18</v>
      </c>
      <c r="F14" s="6" t="s">
        <v>447</v>
      </c>
      <c r="H14" s="22" t="s">
        <v>638</v>
      </c>
      <c r="I14" s="23">
        <v>451</v>
      </c>
      <c r="J14" s="22" t="s">
        <v>638</v>
      </c>
      <c r="R14" s="5" t="s">
        <v>240</v>
      </c>
      <c r="S14" s="5">
        <v>3012</v>
      </c>
    </row>
    <row r="15" spans="1:32">
      <c r="A15" t="s">
        <v>753</v>
      </c>
      <c r="B15">
        <v>131</v>
      </c>
      <c r="C15" t="s">
        <v>753</v>
      </c>
      <c r="E15" s="5" t="s">
        <v>19</v>
      </c>
      <c r="F15" s="6" t="s">
        <v>448</v>
      </c>
      <c r="H15" s="22" t="s">
        <v>639</v>
      </c>
      <c r="I15" s="23">
        <v>452</v>
      </c>
      <c r="J15" s="22" t="s">
        <v>639</v>
      </c>
      <c r="R15" s="5" t="s">
        <v>241</v>
      </c>
      <c r="S15" s="5">
        <v>3013</v>
      </c>
    </row>
    <row r="16" spans="1:32">
      <c r="A16" t="s">
        <v>754</v>
      </c>
      <c r="B16">
        <v>144</v>
      </c>
      <c r="C16" t="s">
        <v>754</v>
      </c>
      <c r="E16" s="5" t="s">
        <v>20</v>
      </c>
      <c r="F16" s="6" t="s">
        <v>449</v>
      </c>
      <c r="H16" s="22" t="s">
        <v>640</v>
      </c>
      <c r="I16" s="23">
        <v>583</v>
      </c>
      <c r="J16" s="22" t="s">
        <v>640</v>
      </c>
      <c r="R16" s="5" t="s">
        <v>242</v>
      </c>
      <c r="S16" s="5">
        <v>3014</v>
      </c>
    </row>
    <row r="17" spans="1:19">
      <c r="A17" t="s">
        <v>97</v>
      </c>
      <c r="B17">
        <v>116</v>
      </c>
      <c r="C17" t="s">
        <v>97</v>
      </c>
      <c r="E17" s="5" t="s">
        <v>21</v>
      </c>
      <c r="F17" s="6" t="s">
        <v>450</v>
      </c>
      <c r="H17" s="22" t="s">
        <v>784</v>
      </c>
      <c r="I17" s="23">
        <v>2169</v>
      </c>
      <c r="J17" s="22" t="s">
        <v>784</v>
      </c>
      <c r="R17" s="5" t="s">
        <v>243</v>
      </c>
      <c r="S17" s="5">
        <v>3015</v>
      </c>
    </row>
    <row r="18" spans="1:19">
      <c r="A18" t="s">
        <v>553</v>
      </c>
      <c r="B18">
        <v>24</v>
      </c>
      <c r="C18" t="s">
        <v>553</v>
      </c>
      <c r="E18" s="5" t="s">
        <v>22</v>
      </c>
      <c r="F18" s="6" t="s">
        <v>451</v>
      </c>
      <c r="H18" s="22" t="s">
        <v>785</v>
      </c>
      <c r="I18" s="23">
        <v>2166</v>
      </c>
      <c r="J18" s="22" t="s">
        <v>785</v>
      </c>
      <c r="R18" s="5" t="s">
        <v>244</v>
      </c>
      <c r="S18" s="5">
        <v>3016</v>
      </c>
    </row>
    <row r="19" spans="1:19">
      <c r="A19" t="s">
        <v>98</v>
      </c>
      <c r="B19">
        <v>68</v>
      </c>
      <c r="C19" t="s">
        <v>98</v>
      </c>
      <c r="E19" s="5" t="s">
        <v>23</v>
      </c>
      <c r="F19" s="6" t="s">
        <v>452</v>
      </c>
      <c r="H19" s="22" t="s">
        <v>641</v>
      </c>
      <c r="I19" s="23">
        <v>454</v>
      </c>
      <c r="J19" s="22" t="s">
        <v>641</v>
      </c>
      <c r="R19" s="5" t="s">
        <v>245</v>
      </c>
      <c r="S19" s="5">
        <v>3017</v>
      </c>
    </row>
    <row r="20" spans="1:19">
      <c r="A20" t="s">
        <v>554</v>
      </c>
      <c r="B20">
        <v>60</v>
      </c>
      <c r="C20" t="s">
        <v>554</v>
      </c>
      <c r="E20" s="5" t="s">
        <v>24</v>
      </c>
      <c r="F20" s="6" t="s">
        <v>453</v>
      </c>
      <c r="H20" s="22" t="s">
        <v>786</v>
      </c>
      <c r="I20" s="23">
        <v>580</v>
      </c>
      <c r="J20" s="22" t="s">
        <v>786</v>
      </c>
      <c r="R20" s="5" t="s">
        <v>246</v>
      </c>
      <c r="S20" s="5">
        <v>3018</v>
      </c>
    </row>
    <row r="21" spans="1:19">
      <c r="A21" t="s">
        <v>755</v>
      </c>
      <c r="B21">
        <v>134</v>
      </c>
      <c r="C21" t="s">
        <v>755</v>
      </c>
      <c r="E21" s="5" t="s">
        <v>25</v>
      </c>
      <c r="F21" s="6" t="s">
        <v>454</v>
      </c>
      <c r="H21" s="22" t="s">
        <v>642</v>
      </c>
      <c r="I21" s="23">
        <v>391</v>
      </c>
      <c r="J21" s="22" t="s">
        <v>642</v>
      </c>
      <c r="R21" s="5" t="s">
        <v>247</v>
      </c>
      <c r="S21" s="5">
        <v>3019</v>
      </c>
    </row>
    <row r="22" spans="1:19">
      <c r="A22" t="s">
        <v>555</v>
      </c>
      <c r="B22">
        <v>61</v>
      </c>
      <c r="C22" t="s">
        <v>555</v>
      </c>
      <c r="E22" s="5" t="s">
        <v>26</v>
      </c>
      <c r="F22" s="6" t="s">
        <v>455</v>
      </c>
      <c r="H22" s="22" t="s">
        <v>643</v>
      </c>
      <c r="I22" s="23">
        <v>465</v>
      </c>
      <c r="J22" s="22" t="s">
        <v>643</v>
      </c>
      <c r="R22" s="5" t="s">
        <v>248</v>
      </c>
      <c r="S22" s="5">
        <v>3020</v>
      </c>
    </row>
    <row r="23" spans="1:19">
      <c r="A23" t="s">
        <v>99</v>
      </c>
      <c r="B23">
        <v>113</v>
      </c>
      <c r="C23" t="s">
        <v>99</v>
      </c>
      <c r="E23" s="5" t="s">
        <v>27</v>
      </c>
      <c r="F23" s="6" t="s">
        <v>456</v>
      </c>
      <c r="H23" s="22" t="s">
        <v>644</v>
      </c>
      <c r="I23" s="23">
        <v>294</v>
      </c>
      <c r="J23" s="22" t="s">
        <v>644</v>
      </c>
      <c r="R23" s="5" t="s">
        <v>249</v>
      </c>
      <c r="S23" s="5">
        <v>3021</v>
      </c>
    </row>
    <row r="24" spans="1:19">
      <c r="A24" t="s">
        <v>556</v>
      </c>
      <c r="B24">
        <v>58</v>
      </c>
      <c r="C24" t="s">
        <v>556</v>
      </c>
      <c r="E24" s="5" t="s">
        <v>28</v>
      </c>
      <c r="F24" s="6" t="s">
        <v>457</v>
      </c>
      <c r="H24" s="22" t="s">
        <v>787</v>
      </c>
      <c r="I24" s="23">
        <v>2170</v>
      </c>
      <c r="J24" s="22" t="s">
        <v>787</v>
      </c>
      <c r="R24" s="5" t="s">
        <v>250</v>
      </c>
      <c r="S24" s="5">
        <v>3022</v>
      </c>
    </row>
    <row r="25" spans="1:19">
      <c r="A25" t="s">
        <v>557</v>
      </c>
      <c r="B25">
        <v>18</v>
      </c>
      <c r="C25" t="s">
        <v>557</v>
      </c>
      <c r="E25" s="5" t="s">
        <v>29</v>
      </c>
      <c r="F25" s="6" t="s">
        <v>458</v>
      </c>
      <c r="H25" s="22" t="s">
        <v>645</v>
      </c>
      <c r="I25" s="23">
        <v>591</v>
      </c>
      <c r="J25" s="22" t="s">
        <v>645</v>
      </c>
      <c r="R25" s="5" t="s">
        <v>251</v>
      </c>
      <c r="S25" s="5">
        <v>3023</v>
      </c>
    </row>
    <row r="26" spans="1:19">
      <c r="A26" t="s">
        <v>558</v>
      </c>
      <c r="B26">
        <v>40</v>
      </c>
      <c r="C26" t="s">
        <v>558</v>
      </c>
      <c r="E26" s="5" t="s">
        <v>30</v>
      </c>
      <c r="F26" s="6" t="s">
        <v>459</v>
      </c>
      <c r="H26" s="22" t="s">
        <v>646</v>
      </c>
      <c r="I26" s="23">
        <v>592</v>
      </c>
      <c r="J26" s="22" t="s">
        <v>646</v>
      </c>
      <c r="R26" s="5" t="s">
        <v>252</v>
      </c>
      <c r="S26" s="5">
        <v>3024</v>
      </c>
    </row>
    <row r="27" spans="1:19">
      <c r="A27" t="s">
        <v>559</v>
      </c>
      <c r="B27">
        <v>44</v>
      </c>
      <c r="C27" t="s">
        <v>559</v>
      </c>
      <c r="E27" s="5" t="s">
        <v>31</v>
      </c>
      <c r="F27" s="6" t="s">
        <v>460</v>
      </c>
      <c r="H27" s="22" t="s">
        <v>647</v>
      </c>
      <c r="I27" s="23">
        <v>390</v>
      </c>
      <c r="J27" s="22" t="s">
        <v>647</v>
      </c>
      <c r="R27" s="5" t="s">
        <v>253</v>
      </c>
      <c r="S27" s="5">
        <v>3025</v>
      </c>
    </row>
    <row r="28" spans="1:19">
      <c r="A28" t="s">
        <v>756</v>
      </c>
      <c r="B28">
        <v>137</v>
      </c>
      <c r="C28" t="s">
        <v>756</v>
      </c>
      <c r="E28" s="5" t="s">
        <v>32</v>
      </c>
      <c r="F28" s="6" t="s">
        <v>461</v>
      </c>
      <c r="H28" s="22" t="s">
        <v>648</v>
      </c>
      <c r="I28" s="23">
        <v>584</v>
      </c>
      <c r="J28" s="22" t="s">
        <v>648</v>
      </c>
      <c r="R28" s="5" t="s">
        <v>254</v>
      </c>
      <c r="S28" s="5">
        <v>3026</v>
      </c>
    </row>
    <row r="29" spans="1:19">
      <c r="A29" t="s">
        <v>757</v>
      </c>
      <c r="B29">
        <v>87</v>
      </c>
      <c r="C29" t="s">
        <v>757</v>
      </c>
      <c r="E29" s="5" t="s">
        <v>33</v>
      </c>
      <c r="F29" s="6" t="s">
        <v>462</v>
      </c>
      <c r="H29" s="22" t="s">
        <v>649</v>
      </c>
      <c r="I29" s="23">
        <v>364</v>
      </c>
      <c r="J29" s="22" t="s">
        <v>649</v>
      </c>
      <c r="R29" s="5" t="s">
        <v>255</v>
      </c>
      <c r="S29" s="5">
        <v>3027</v>
      </c>
    </row>
    <row r="30" spans="1:19">
      <c r="A30" t="s">
        <v>758</v>
      </c>
      <c r="B30">
        <v>200</v>
      </c>
      <c r="C30" t="s">
        <v>758</v>
      </c>
      <c r="E30" s="5" t="s">
        <v>34</v>
      </c>
      <c r="F30" s="6" t="s">
        <v>463</v>
      </c>
      <c r="H30" s="22" t="s">
        <v>650</v>
      </c>
      <c r="I30" s="23">
        <v>523</v>
      </c>
      <c r="J30" s="22" t="s">
        <v>650</v>
      </c>
      <c r="R30" s="5" t="s">
        <v>256</v>
      </c>
      <c r="S30" s="5">
        <v>3028</v>
      </c>
    </row>
    <row r="31" spans="1:19">
      <c r="A31" t="s">
        <v>759</v>
      </c>
      <c r="B31">
        <v>49</v>
      </c>
      <c r="C31" t="s">
        <v>759</v>
      </c>
      <c r="E31" s="5" t="s">
        <v>35</v>
      </c>
      <c r="F31" s="6" t="s">
        <v>464</v>
      </c>
      <c r="H31" s="22" t="s">
        <v>651</v>
      </c>
      <c r="I31" s="23">
        <v>450</v>
      </c>
      <c r="J31" s="22" t="s">
        <v>651</v>
      </c>
      <c r="R31" s="5" t="s">
        <v>257</v>
      </c>
      <c r="S31" s="5">
        <v>3029</v>
      </c>
    </row>
    <row r="32" spans="1:19">
      <c r="A32" t="s">
        <v>100</v>
      </c>
      <c r="B32">
        <v>125</v>
      </c>
      <c r="C32" t="s">
        <v>100</v>
      </c>
      <c r="E32" s="5" t="s">
        <v>36</v>
      </c>
      <c r="F32" s="6" t="s">
        <v>465</v>
      </c>
      <c r="H32" s="22" t="s">
        <v>652</v>
      </c>
      <c r="I32" s="23">
        <v>588</v>
      </c>
      <c r="J32" s="22" t="s">
        <v>652</v>
      </c>
      <c r="R32" s="5" t="s">
        <v>258</v>
      </c>
      <c r="S32" s="5">
        <v>3030</v>
      </c>
    </row>
    <row r="33" spans="1:19">
      <c r="A33" t="s">
        <v>760</v>
      </c>
      <c r="B33">
        <v>136</v>
      </c>
      <c r="C33" t="s">
        <v>760</v>
      </c>
      <c r="E33" s="5" t="s">
        <v>37</v>
      </c>
      <c r="F33" s="6" t="s">
        <v>466</v>
      </c>
      <c r="H33" s="22" t="s">
        <v>788</v>
      </c>
      <c r="I33" s="23">
        <v>662</v>
      </c>
      <c r="J33" s="22" t="s">
        <v>788</v>
      </c>
      <c r="R33" s="5" t="s">
        <v>259</v>
      </c>
      <c r="S33" s="5">
        <v>3031</v>
      </c>
    </row>
    <row r="34" spans="1:19">
      <c r="A34" t="s">
        <v>101</v>
      </c>
      <c r="B34">
        <v>118</v>
      </c>
      <c r="C34" t="s">
        <v>101</v>
      </c>
      <c r="E34" s="5" t="s">
        <v>38</v>
      </c>
      <c r="F34" s="6" t="s">
        <v>467</v>
      </c>
      <c r="H34" s="22" t="s">
        <v>653</v>
      </c>
      <c r="I34" s="23">
        <v>589</v>
      </c>
      <c r="J34" s="22" t="s">
        <v>653</v>
      </c>
      <c r="R34" s="5" t="s">
        <v>260</v>
      </c>
      <c r="S34" s="5">
        <v>3032</v>
      </c>
    </row>
    <row r="35" spans="1:19">
      <c r="A35" t="s">
        <v>102</v>
      </c>
      <c r="B35">
        <v>126</v>
      </c>
      <c r="C35" t="s">
        <v>102</v>
      </c>
      <c r="E35" s="5" t="s">
        <v>39</v>
      </c>
      <c r="F35" s="6" t="s">
        <v>468</v>
      </c>
      <c r="H35" s="22" t="s">
        <v>789</v>
      </c>
      <c r="I35" s="23">
        <v>2182</v>
      </c>
      <c r="J35" s="22" t="s">
        <v>789</v>
      </c>
      <c r="R35" s="5" t="s">
        <v>261</v>
      </c>
      <c r="S35" s="5">
        <v>3033</v>
      </c>
    </row>
    <row r="36" spans="1:19">
      <c r="A36" t="s">
        <v>742</v>
      </c>
      <c r="B36">
        <v>143</v>
      </c>
      <c r="C36" t="s">
        <v>742</v>
      </c>
      <c r="E36" s="5" t="s">
        <v>40</v>
      </c>
      <c r="F36" s="6" t="s">
        <v>469</v>
      </c>
      <c r="H36" s="22" t="s">
        <v>790</v>
      </c>
      <c r="I36" s="23">
        <v>2165</v>
      </c>
      <c r="J36" s="22" t="s">
        <v>790</v>
      </c>
      <c r="R36" s="5" t="s">
        <v>262</v>
      </c>
      <c r="S36" s="5">
        <v>3034</v>
      </c>
    </row>
    <row r="37" spans="1:19">
      <c r="A37" t="s">
        <v>103</v>
      </c>
      <c r="B37">
        <v>108</v>
      </c>
      <c r="C37" t="s">
        <v>103</v>
      </c>
      <c r="E37" s="5" t="s">
        <v>41</v>
      </c>
      <c r="F37" s="6" t="s">
        <v>470</v>
      </c>
      <c r="H37" s="22" t="s">
        <v>654</v>
      </c>
      <c r="I37" s="23">
        <v>590</v>
      </c>
      <c r="J37" s="22" t="s">
        <v>654</v>
      </c>
      <c r="R37" s="5" t="s">
        <v>263</v>
      </c>
      <c r="S37" s="5">
        <v>3035</v>
      </c>
    </row>
    <row r="38" spans="1:19">
      <c r="A38" t="s">
        <v>761</v>
      </c>
      <c r="B38">
        <v>64</v>
      </c>
      <c r="C38" t="s">
        <v>761</v>
      </c>
      <c r="E38" s="5" t="s">
        <v>42</v>
      </c>
      <c r="F38" s="6" t="s">
        <v>471</v>
      </c>
      <c r="H38" s="22" t="s">
        <v>791</v>
      </c>
      <c r="I38" s="23">
        <v>2186</v>
      </c>
      <c r="J38" s="22" t="s">
        <v>791</v>
      </c>
      <c r="R38" s="5" t="s">
        <v>264</v>
      </c>
      <c r="S38" s="5">
        <v>3036</v>
      </c>
    </row>
    <row r="39" spans="1:19">
      <c r="A39" t="s">
        <v>762</v>
      </c>
      <c r="B39">
        <v>202</v>
      </c>
      <c r="C39" t="s">
        <v>762</v>
      </c>
      <c r="E39" s="5" t="s">
        <v>43</v>
      </c>
      <c r="F39" s="6" t="s">
        <v>472</v>
      </c>
      <c r="H39" s="22" t="s">
        <v>792</v>
      </c>
      <c r="I39" s="23">
        <v>628</v>
      </c>
      <c r="J39" s="22" t="s">
        <v>792</v>
      </c>
      <c r="R39" s="5" t="s">
        <v>265</v>
      </c>
      <c r="S39" s="5">
        <v>3037</v>
      </c>
    </row>
    <row r="40" spans="1:19">
      <c r="A40" t="s">
        <v>763</v>
      </c>
      <c r="B40">
        <v>201</v>
      </c>
      <c r="C40" t="s">
        <v>763</v>
      </c>
      <c r="E40" s="5" t="s">
        <v>44</v>
      </c>
      <c r="F40" s="6" t="s">
        <v>473</v>
      </c>
      <c r="H40" s="22" t="s">
        <v>655</v>
      </c>
      <c r="I40" s="23">
        <v>581</v>
      </c>
      <c r="J40" s="22" t="s">
        <v>655</v>
      </c>
      <c r="R40" s="5" t="s">
        <v>266</v>
      </c>
      <c r="S40" s="5">
        <v>3038</v>
      </c>
    </row>
    <row r="41" spans="1:19">
      <c r="A41" t="s">
        <v>764</v>
      </c>
      <c r="B41">
        <v>135</v>
      </c>
      <c r="C41" t="s">
        <v>764</v>
      </c>
      <c r="E41" s="5" t="s">
        <v>45</v>
      </c>
      <c r="F41" s="6" t="s">
        <v>474</v>
      </c>
      <c r="H41" s="22" t="s">
        <v>656</v>
      </c>
      <c r="I41" s="23">
        <v>586</v>
      </c>
      <c r="J41" s="22" t="s">
        <v>656</v>
      </c>
      <c r="R41" s="5" t="s">
        <v>267</v>
      </c>
      <c r="S41" s="5">
        <v>3039</v>
      </c>
    </row>
    <row r="42" spans="1:19">
      <c r="A42" t="s">
        <v>0</v>
      </c>
      <c r="B42">
        <v>104</v>
      </c>
      <c r="C42" t="s">
        <v>0</v>
      </c>
      <c r="E42" s="5" t="s">
        <v>46</v>
      </c>
      <c r="F42" s="6" t="s">
        <v>475</v>
      </c>
      <c r="H42" s="22" t="s">
        <v>657</v>
      </c>
      <c r="I42" s="23">
        <v>582</v>
      </c>
      <c r="J42" s="22" t="s">
        <v>657</v>
      </c>
      <c r="R42" s="5" t="s">
        <v>268</v>
      </c>
      <c r="S42" s="5">
        <v>3040</v>
      </c>
    </row>
    <row r="43" spans="1:19">
      <c r="A43" t="s">
        <v>104</v>
      </c>
      <c r="B43">
        <v>122</v>
      </c>
      <c r="C43" t="s">
        <v>104</v>
      </c>
      <c r="E43" s="5" t="s">
        <v>47</v>
      </c>
      <c r="F43" s="6" t="s">
        <v>476</v>
      </c>
      <c r="H43" s="22" t="s">
        <v>658</v>
      </c>
      <c r="I43" s="23">
        <v>251</v>
      </c>
      <c r="J43" s="22" t="s">
        <v>658</v>
      </c>
      <c r="R43" s="5" t="s">
        <v>269</v>
      </c>
      <c r="S43" s="5">
        <v>3041</v>
      </c>
    </row>
    <row r="44" spans="1:19">
      <c r="A44" t="s">
        <v>105</v>
      </c>
      <c r="B44">
        <v>123</v>
      </c>
      <c r="C44" t="s">
        <v>105</v>
      </c>
      <c r="E44" s="5" t="s">
        <v>48</v>
      </c>
      <c r="F44" s="6" t="s">
        <v>477</v>
      </c>
      <c r="H44" s="22" t="s">
        <v>593</v>
      </c>
      <c r="I44" s="23">
        <v>240</v>
      </c>
      <c r="J44" s="22" t="s">
        <v>593</v>
      </c>
      <c r="R44" s="5" t="s">
        <v>270</v>
      </c>
      <c r="S44" s="5">
        <v>3042</v>
      </c>
    </row>
    <row r="45" spans="1:19">
      <c r="A45" t="s">
        <v>106</v>
      </c>
      <c r="B45">
        <v>124</v>
      </c>
      <c r="C45" t="s">
        <v>106</v>
      </c>
      <c r="E45" s="5" t="s">
        <v>49</v>
      </c>
      <c r="F45" s="6" t="s">
        <v>478</v>
      </c>
      <c r="H45" s="22" t="s">
        <v>793</v>
      </c>
      <c r="I45" s="23">
        <v>2174</v>
      </c>
      <c r="J45" s="22" t="s">
        <v>793</v>
      </c>
      <c r="R45" s="5" t="s">
        <v>271</v>
      </c>
      <c r="S45" s="5">
        <v>3043</v>
      </c>
    </row>
    <row r="46" spans="1:19">
      <c r="A46" t="s">
        <v>1</v>
      </c>
      <c r="B46">
        <v>65</v>
      </c>
      <c r="C46" t="s">
        <v>1</v>
      </c>
      <c r="E46" s="5" t="s">
        <v>50</v>
      </c>
      <c r="F46" s="6" t="s">
        <v>479</v>
      </c>
      <c r="H46" s="22" t="s">
        <v>794</v>
      </c>
      <c r="I46" s="23">
        <v>630</v>
      </c>
      <c r="J46" s="22" t="s">
        <v>794</v>
      </c>
      <c r="R46" s="5" t="s">
        <v>272</v>
      </c>
      <c r="S46" s="5">
        <v>3044</v>
      </c>
    </row>
    <row r="47" spans="1:19">
      <c r="A47" t="s">
        <v>765</v>
      </c>
      <c r="B47">
        <v>29</v>
      </c>
      <c r="C47" t="s">
        <v>765</v>
      </c>
      <c r="E47" s="5" t="s">
        <v>51</v>
      </c>
      <c r="F47" s="6" t="s">
        <v>480</v>
      </c>
      <c r="H47" s="22" t="s">
        <v>795</v>
      </c>
      <c r="I47" s="23">
        <v>625</v>
      </c>
      <c r="J47" s="22" t="s">
        <v>795</v>
      </c>
      <c r="R47" s="5" t="s">
        <v>273</v>
      </c>
      <c r="S47" s="5">
        <v>3045</v>
      </c>
    </row>
    <row r="48" spans="1:19">
      <c r="A48" t="s">
        <v>766</v>
      </c>
      <c r="B48">
        <v>88</v>
      </c>
      <c r="C48" t="s">
        <v>766</v>
      </c>
      <c r="E48" s="5" t="s">
        <v>52</v>
      </c>
      <c r="F48" s="6" t="s">
        <v>481</v>
      </c>
      <c r="H48" s="22" t="s">
        <v>83</v>
      </c>
      <c r="I48" s="23">
        <v>254</v>
      </c>
      <c r="J48" s="22" t="s">
        <v>83</v>
      </c>
      <c r="R48" s="5" t="s">
        <v>274</v>
      </c>
      <c r="S48" s="5">
        <v>3046</v>
      </c>
    </row>
    <row r="49" spans="1:19">
      <c r="A49" t="s">
        <v>767</v>
      </c>
      <c r="B49">
        <v>142</v>
      </c>
      <c r="C49" t="s">
        <v>767</v>
      </c>
      <c r="E49" s="5" t="s">
        <v>53</v>
      </c>
      <c r="F49" s="6" t="s">
        <v>482</v>
      </c>
      <c r="H49" s="22" t="s">
        <v>561</v>
      </c>
      <c r="I49" s="23">
        <v>231</v>
      </c>
      <c r="J49" s="22" t="s">
        <v>561</v>
      </c>
      <c r="R49" s="5" t="s">
        <v>275</v>
      </c>
      <c r="S49" s="5">
        <v>3047</v>
      </c>
    </row>
    <row r="50" spans="1:19">
      <c r="A50" t="s">
        <v>2</v>
      </c>
      <c r="B50">
        <v>91</v>
      </c>
      <c r="C50" t="s">
        <v>2</v>
      </c>
      <c r="E50" s="5" t="s">
        <v>54</v>
      </c>
      <c r="F50" s="6" t="s">
        <v>483</v>
      </c>
      <c r="H50" s="22" t="s">
        <v>84</v>
      </c>
      <c r="I50" s="23">
        <v>216</v>
      </c>
      <c r="J50" s="22" t="s">
        <v>84</v>
      </c>
      <c r="R50" s="5" t="s">
        <v>276</v>
      </c>
      <c r="S50" s="5">
        <v>3048</v>
      </c>
    </row>
    <row r="51" spans="1:19">
      <c r="A51" t="s">
        <v>768</v>
      </c>
      <c r="B51">
        <v>140</v>
      </c>
      <c r="C51" t="s">
        <v>768</v>
      </c>
      <c r="E51" s="5" t="s">
        <v>55</v>
      </c>
      <c r="F51" s="6" t="s">
        <v>484</v>
      </c>
      <c r="H51" s="22" t="s">
        <v>562</v>
      </c>
      <c r="I51" s="23">
        <v>215</v>
      </c>
      <c r="J51" s="22" t="s">
        <v>562</v>
      </c>
      <c r="R51" s="5" t="s">
        <v>277</v>
      </c>
      <c r="S51" s="5">
        <v>3049</v>
      </c>
    </row>
    <row r="52" spans="1:19">
      <c r="A52" t="s">
        <v>3</v>
      </c>
      <c r="B52">
        <v>72</v>
      </c>
      <c r="C52" t="s">
        <v>3</v>
      </c>
      <c r="E52" s="5" t="s">
        <v>56</v>
      </c>
      <c r="F52" s="6" t="s">
        <v>485</v>
      </c>
      <c r="H52" s="22" t="s">
        <v>85</v>
      </c>
      <c r="I52" s="23">
        <v>90</v>
      </c>
      <c r="J52" s="22" t="s">
        <v>85</v>
      </c>
      <c r="R52" s="5" t="s">
        <v>278</v>
      </c>
      <c r="S52" s="5">
        <v>3050</v>
      </c>
    </row>
    <row r="53" spans="1:19">
      <c r="A53" t="s">
        <v>4</v>
      </c>
      <c r="B53">
        <v>42</v>
      </c>
      <c r="C53" t="s">
        <v>4</v>
      </c>
      <c r="E53" s="5" t="s">
        <v>57</v>
      </c>
      <c r="F53" s="6" t="s">
        <v>486</v>
      </c>
      <c r="H53" s="22" t="s">
        <v>796</v>
      </c>
      <c r="I53" s="23">
        <v>2160</v>
      </c>
      <c r="J53" s="22" t="s">
        <v>796</v>
      </c>
      <c r="R53" s="5" t="s">
        <v>279</v>
      </c>
      <c r="S53" s="5">
        <v>3051</v>
      </c>
    </row>
    <row r="54" spans="1:19">
      <c r="A54" t="s">
        <v>107</v>
      </c>
      <c r="B54">
        <v>109</v>
      </c>
      <c r="C54" t="s">
        <v>107</v>
      </c>
      <c r="E54" s="5" t="s">
        <v>58</v>
      </c>
      <c r="F54" s="6" t="s">
        <v>487</v>
      </c>
      <c r="H54" s="22" t="s">
        <v>797</v>
      </c>
      <c r="I54" s="23">
        <v>660</v>
      </c>
      <c r="J54" s="22" t="s">
        <v>797</v>
      </c>
      <c r="R54" s="5" t="s">
        <v>280</v>
      </c>
      <c r="S54" s="5">
        <v>3052</v>
      </c>
    </row>
    <row r="55" spans="1:19">
      <c r="A55" t="s">
        <v>5</v>
      </c>
      <c r="B55">
        <v>2</v>
      </c>
      <c r="C55" t="s">
        <v>5</v>
      </c>
      <c r="E55" s="5" t="s">
        <v>59</v>
      </c>
      <c r="F55" s="6" t="s">
        <v>488</v>
      </c>
      <c r="H55" s="22" t="s">
        <v>798</v>
      </c>
      <c r="I55" s="23">
        <v>2153</v>
      </c>
      <c r="J55" s="22" t="s">
        <v>798</v>
      </c>
      <c r="R55" s="5" t="s">
        <v>281</v>
      </c>
      <c r="S55" s="5">
        <v>3053</v>
      </c>
    </row>
    <row r="56" spans="1:19">
      <c r="A56" t="s">
        <v>108</v>
      </c>
      <c r="B56">
        <v>82</v>
      </c>
      <c r="C56" t="s">
        <v>108</v>
      </c>
      <c r="E56" s="5" t="s">
        <v>60</v>
      </c>
      <c r="F56" s="6" t="s">
        <v>489</v>
      </c>
      <c r="H56" s="22" t="s">
        <v>799</v>
      </c>
      <c r="I56" s="23">
        <v>2172</v>
      </c>
      <c r="J56" s="22" t="s">
        <v>799</v>
      </c>
      <c r="R56" s="5" t="s">
        <v>282</v>
      </c>
      <c r="S56" s="5">
        <v>3054</v>
      </c>
    </row>
    <row r="57" spans="1:19">
      <c r="A57" t="s">
        <v>109</v>
      </c>
      <c r="B57">
        <v>69</v>
      </c>
      <c r="C57" t="s">
        <v>109</v>
      </c>
      <c r="E57" s="5" t="s">
        <v>61</v>
      </c>
      <c r="F57" s="6" t="s">
        <v>490</v>
      </c>
      <c r="H57" s="22" t="s">
        <v>800</v>
      </c>
      <c r="I57" s="23">
        <v>627</v>
      </c>
      <c r="J57" s="22" t="s">
        <v>800</v>
      </c>
      <c r="R57" s="5" t="s">
        <v>283</v>
      </c>
      <c r="S57" s="5">
        <v>3055</v>
      </c>
    </row>
    <row r="58" spans="1:19">
      <c r="A58" t="s">
        <v>110</v>
      </c>
      <c r="B58">
        <v>59</v>
      </c>
      <c r="C58" t="s">
        <v>110</v>
      </c>
      <c r="E58" s="5" t="s">
        <v>62</v>
      </c>
      <c r="F58" s="6" t="s">
        <v>491</v>
      </c>
      <c r="H58" s="22" t="s">
        <v>563</v>
      </c>
      <c r="I58" s="23">
        <v>219</v>
      </c>
      <c r="J58" s="22" t="s">
        <v>563</v>
      </c>
      <c r="R58" s="5" t="s">
        <v>284</v>
      </c>
      <c r="S58" s="5">
        <v>3056</v>
      </c>
    </row>
    <row r="59" spans="1:19">
      <c r="A59" t="s">
        <v>90</v>
      </c>
      <c r="B59">
        <v>121</v>
      </c>
      <c r="C59" t="s">
        <v>90</v>
      </c>
      <c r="E59" s="5" t="s">
        <v>63</v>
      </c>
      <c r="F59" s="6" t="s">
        <v>492</v>
      </c>
      <c r="H59" s="22" t="s">
        <v>564</v>
      </c>
      <c r="I59" s="23">
        <v>217</v>
      </c>
      <c r="J59" s="22" t="s">
        <v>564</v>
      </c>
      <c r="R59" s="5" t="s">
        <v>285</v>
      </c>
      <c r="S59" s="5">
        <v>3057</v>
      </c>
    </row>
    <row r="60" spans="1:19">
      <c r="A60" t="s">
        <v>769</v>
      </c>
      <c r="B60">
        <v>139</v>
      </c>
      <c r="C60" t="s">
        <v>769</v>
      </c>
      <c r="E60" s="5" t="s">
        <v>64</v>
      </c>
      <c r="F60" s="6" t="s">
        <v>493</v>
      </c>
      <c r="H60" s="22" t="s">
        <v>659</v>
      </c>
      <c r="I60" s="23">
        <v>475</v>
      </c>
      <c r="J60" s="22" t="s">
        <v>659</v>
      </c>
      <c r="R60" s="5" t="s">
        <v>286</v>
      </c>
      <c r="S60" s="5">
        <v>3058</v>
      </c>
    </row>
    <row r="61" spans="1:19">
      <c r="A61" t="s">
        <v>111</v>
      </c>
      <c r="B61">
        <v>119</v>
      </c>
      <c r="C61" t="s">
        <v>111</v>
      </c>
      <c r="E61" s="5" t="s">
        <v>65</v>
      </c>
      <c r="F61" s="6" t="s">
        <v>494</v>
      </c>
      <c r="H61" s="22" t="s">
        <v>565</v>
      </c>
      <c r="I61" s="23">
        <v>218</v>
      </c>
      <c r="J61" s="22" t="s">
        <v>565</v>
      </c>
      <c r="R61" s="5" t="s">
        <v>287</v>
      </c>
      <c r="S61" s="5">
        <v>3059</v>
      </c>
    </row>
    <row r="62" spans="1:19">
      <c r="A62" t="s">
        <v>89</v>
      </c>
      <c r="B62">
        <v>120</v>
      </c>
      <c r="C62" t="s">
        <v>89</v>
      </c>
      <c r="E62" s="5" t="s">
        <v>66</v>
      </c>
      <c r="F62" s="6" t="s">
        <v>495</v>
      </c>
      <c r="H62" s="22" t="s">
        <v>86</v>
      </c>
      <c r="I62" s="23">
        <v>210</v>
      </c>
      <c r="J62" s="22" t="s">
        <v>86</v>
      </c>
      <c r="R62" s="5" t="s">
        <v>288</v>
      </c>
      <c r="S62" s="5">
        <v>3060</v>
      </c>
    </row>
    <row r="63" spans="1:19">
      <c r="A63" t="s">
        <v>92</v>
      </c>
      <c r="B63">
        <v>55</v>
      </c>
      <c r="C63" t="s">
        <v>92</v>
      </c>
      <c r="E63" s="5" t="s">
        <v>67</v>
      </c>
      <c r="F63" s="6" t="s">
        <v>496</v>
      </c>
      <c r="H63" s="22" t="s">
        <v>660</v>
      </c>
      <c r="I63" s="23">
        <v>574</v>
      </c>
      <c r="J63" s="22" t="s">
        <v>660</v>
      </c>
      <c r="R63" s="5" t="s">
        <v>289</v>
      </c>
      <c r="S63" s="5">
        <v>3061</v>
      </c>
    </row>
    <row r="64" spans="1:19">
      <c r="A64" t="s">
        <v>91</v>
      </c>
      <c r="B64">
        <v>96</v>
      </c>
      <c r="C64" t="s">
        <v>91</v>
      </c>
      <c r="E64" s="5" t="s">
        <v>68</v>
      </c>
      <c r="F64" s="6" t="s">
        <v>497</v>
      </c>
      <c r="H64" s="22" t="s">
        <v>87</v>
      </c>
      <c r="I64" s="23">
        <v>91</v>
      </c>
      <c r="J64" s="22" t="s">
        <v>87</v>
      </c>
      <c r="R64" s="5" t="s">
        <v>290</v>
      </c>
      <c r="S64" s="5">
        <v>3062</v>
      </c>
    </row>
    <row r="65" spans="1:19">
      <c r="A65" t="s">
        <v>770</v>
      </c>
      <c r="B65">
        <v>146</v>
      </c>
      <c r="C65" t="s">
        <v>770</v>
      </c>
      <c r="E65" s="5" t="s">
        <v>69</v>
      </c>
      <c r="F65" s="6" t="s">
        <v>498</v>
      </c>
      <c r="H65" s="22" t="s">
        <v>118</v>
      </c>
      <c r="I65" s="23">
        <v>86</v>
      </c>
      <c r="J65" s="22" t="s">
        <v>118</v>
      </c>
      <c r="R65" s="5" t="s">
        <v>291</v>
      </c>
      <c r="S65" s="5">
        <v>3063</v>
      </c>
    </row>
    <row r="66" spans="1:19">
      <c r="A66" t="s">
        <v>88</v>
      </c>
      <c r="B66">
        <v>76</v>
      </c>
      <c r="C66" t="s">
        <v>88</v>
      </c>
      <c r="E66" s="5" t="s">
        <v>70</v>
      </c>
      <c r="F66" s="6" t="s">
        <v>499</v>
      </c>
      <c r="H66" s="22" t="s">
        <v>119</v>
      </c>
      <c r="I66" s="23">
        <v>83</v>
      </c>
      <c r="J66" s="22" t="s">
        <v>119</v>
      </c>
      <c r="R66" s="5" t="s">
        <v>292</v>
      </c>
      <c r="S66" s="5">
        <v>3064</v>
      </c>
    </row>
    <row r="67" spans="1:19">
      <c r="A67" t="s">
        <v>112</v>
      </c>
      <c r="B67">
        <v>114</v>
      </c>
      <c r="C67" t="s">
        <v>112</v>
      </c>
      <c r="E67" s="5" t="s">
        <v>71</v>
      </c>
      <c r="F67" s="6" t="s">
        <v>500</v>
      </c>
      <c r="H67" s="22" t="s">
        <v>120</v>
      </c>
      <c r="I67" s="23">
        <v>84</v>
      </c>
      <c r="J67" s="22" t="s">
        <v>120</v>
      </c>
      <c r="R67" s="5" t="s">
        <v>293</v>
      </c>
      <c r="S67" s="5">
        <v>3065</v>
      </c>
    </row>
    <row r="68" spans="1:19">
      <c r="A68" t="s">
        <v>113</v>
      </c>
      <c r="B68">
        <v>127</v>
      </c>
      <c r="C68" t="s">
        <v>113</v>
      </c>
      <c r="E68" s="5" t="s">
        <v>72</v>
      </c>
      <c r="F68" s="6" t="s">
        <v>501</v>
      </c>
      <c r="H68" s="22" t="s">
        <v>121</v>
      </c>
      <c r="I68" s="23">
        <v>82</v>
      </c>
      <c r="J68" s="22" t="s">
        <v>121</v>
      </c>
      <c r="R68" s="5" t="s">
        <v>294</v>
      </c>
      <c r="S68" s="5">
        <v>3066</v>
      </c>
    </row>
    <row r="69" spans="1:19">
      <c r="A69" t="s">
        <v>771</v>
      </c>
      <c r="B69">
        <v>141</v>
      </c>
      <c r="C69" t="s">
        <v>771</v>
      </c>
      <c r="E69" s="5" t="s">
        <v>73</v>
      </c>
      <c r="F69" s="6" t="s">
        <v>502</v>
      </c>
      <c r="H69" s="22" t="s">
        <v>594</v>
      </c>
      <c r="I69" s="23">
        <v>386</v>
      </c>
      <c r="J69" s="22" t="s">
        <v>594</v>
      </c>
      <c r="R69" s="5" t="s">
        <v>295</v>
      </c>
      <c r="S69" s="5">
        <v>3067</v>
      </c>
    </row>
    <row r="70" spans="1:19">
      <c r="A70" t="s">
        <v>560</v>
      </c>
      <c r="B70">
        <v>129</v>
      </c>
      <c r="C70" t="s">
        <v>560</v>
      </c>
      <c r="E70" s="5" t="s">
        <v>74</v>
      </c>
      <c r="F70" s="6" t="s">
        <v>503</v>
      </c>
      <c r="H70" s="22" t="s">
        <v>122</v>
      </c>
      <c r="I70" s="23">
        <v>31</v>
      </c>
      <c r="J70" s="22" t="s">
        <v>122</v>
      </c>
      <c r="R70" s="5" t="s">
        <v>296</v>
      </c>
      <c r="S70" s="5">
        <v>3068</v>
      </c>
    </row>
    <row r="71" spans="1:19">
      <c r="E71" s="5" t="s">
        <v>75</v>
      </c>
      <c r="F71" s="6" t="s">
        <v>504</v>
      </c>
      <c r="H71" s="22" t="s">
        <v>123</v>
      </c>
      <c r="I71" s="23">
        <v>32</v>
      </c>
      <c r="J71" s="22" t="s">
        <v>123</v>
      </c>
      <c r="R71" s="5" t="s">
        <v>297</v>
      </c>
      <c r="S71" s="5">
        <v>3069</v>
      </c>
    </row>
    <row r="72" spans="1:19">
      <c r="E72" s="5" t="s">
        <v>76</v>
      </c>
      <c r="F72" s="6" t="s">
        <v>505</v>
      </c>
      <c r="H72" s="22" t="s">
        <v>124</v>
      </c>
      <c r="I72" s="23">
        <v>33</v>
      </c>
      <c r="J72" s="22" t="s">
        <v>124</v>
      </c>
      <c r="R72" s="5" t="s">
        <v>298</v>
      </c>
      <c r="S72" s="5">
        <v>3070</v>
      </c>
    </row>
    <row r="73" spans="1:19">
      <c r="E73" s="5" t="s">
        <v>77</v>
      </c>
      <c r="F73" s="6" t="s">
        <v>506</v>
      </c>
      <c r="H73" s="22" t="s">
        <v>801</v>
      </c>
      <c r="I73" s="23">
        <v>395</v>
      </c>
      <c r="J73" s="22" t="s">
        <v>801</v>
      </c>
      <c r="R73" s="5" t="s">
        <v>299</v>
      </c>
      <c r="S73" s="5">
        <v>3071</v>
      </c>
    </row>
    <row r="74" spans="1:19">
      <c r="E74" s="5" t="s">
        <v>78</v>
      </c>
      <c r="F74" s="6" t="s">
        <v>507</v>
      </c>
      <c r="H74" s="22" t="s">
        <v>566</v>
      </c>
      <c r="I74" s="23">
        <v>36</v>
      </c>
      <c r="J74" s="22" t="s">
        <v>566</v>
      </c>
      <c r="R74" s="5" t="s">
        <v>300</v>
      </c>
      <c r="S74" s="5">
        <v>3072</v>
      </c>
    </row>
    <row r="75" spans="1:19">
      <c r="E75" s="5" t="s">
        <v>79</v>
      </c>
      <c r="F75" s="6" t="s">
        <v>508</v>
      </c>
      <c r="H75" s="22" t="s">
        <v>802</v>
      </c>
      <c r="I75" s="23">
        <v>594</v>
      </c>
      <c r="J75" s="22" t="s">
        <v>802</v>
      </c>
      <c r="R75" s="5" t="s">
        <v>301</v>
      </c>
      <c r="S75" s="5">
        <v>3073</v>
      </c>
    </row>
    <row r="76" spans="1:19">
      <c r="E76" s="5" t="s">
        <v>80</v>
      </c>
      <c r="F76" s="6" t="s">
        <v>509</v>
      </c>
      <c r="H76" s="22" t="s">
        <v>803</v>
      </c>
      <c r="I76" s="23">
        <v>2152</v>
      </c>
      <c r="J76" s="22" t="s">
        <v>803</v>
      </c>
      <c r="R76" s="5" t="s">
        <v>302</v>
      </c>
      <c r="S76" s="5">
        <v>3074</v>
      </c>
    </row>
    <row r="77" spans="1:19">
      <c r="E77" s="5" t="s">
        <v>81</v>
      </c>
      <c r="F77" s="6" t="s">
        <v>510</v>
      </c>
      <c r="H77" s="22" t="s">
        <v>661</v>
      </c>
      <c r="I77" s="23">
        <v>463</v>
      </c>
      <c r="J77" s="22" t="s">
        <v>661</v>
      </c>
      <c r="R77" s="5" t="s">
        <v>303</v>
      </c>
      <c r="S77" s="5">
        <v>3075</v>
      </c>
    </row>
    <row r="78" spans="1:19">
      <c r="E78" s="5" t="s">
        <v>82</v>
      </c>
      <c r="F78" s="6" t="s">
        <v>511</v>
      </c>
      <c r="H78" s="22" t="s">
        <v>662</v>
      </c>
      <c r="I78" s="23">
        <v>464</v>
      </c>
      <c r="J78" s="22" t="s">
        <v>662</v>
      </c>
      <c r="R78" s="5" t="s">
        <v>304</v>
      </c>
      <c r="S78" s="5">
        <v>3076</v>
      </c>
    </row>
    <row r="79" spans="1:19">
      <c r="H79" s="22" t="s">
        <v>663</v>
      </c>
      <c r="I79" s="23">
        <v>461</v>
      </c>
      <c r="J79" s="22" t="s">
        <v>663</v>
      </c>
      <c r="R79" s="5" t="s">
        <v>305</v>
      </c>
      <c r="S79" s="5">
        <v>3077</v>
      </c>
    </row>
    <row r="80" spans="1:19">
      <c r="H80" s="22" t="s">
        <v>804</v>
      </c>
      <c r="I80" s="23">
        <v>2155</v>
      </c>
      <c r="J80" s="22" t="s">
        <v>804</v>
      </c>
      <c r="R80" s="5" t="s">
        <v>306</v>
      </c>
      <c r="S80" s="5">
        <v>3078</v>
      </c>
    </row>
    <row r="81" spans="8:19">
      <c r="H81" s="22" t="s">
        <v>805</v>
      </c>
      <c r="I81" s="23">
        <v>2154</v>
      </c>
      <c r="J81" s="22" t="s">
        <v>805</v>
      </c>
      <c r="R81" s="5" t="s">
        <v>307</v>
      </c>
      <c r="S81" s="5">
        <v>3079</v>
      </c>
    </row>
    <row r="82" spans="8:19">
      <c r="H82" s="22" t="s">
        <v>664</v>
      </c>
      <c r="I82" s="23">
        <v>462</v>
      </c>
      <c r="J82" s="22" t="s">
        <v>664</v>
      </c>
      <c r="R82" s="5" t="s">
        <v>308</v>
      </c>
      <c r="S82" s="5">
        <v>3080</v>
      </c>
    </row>
    <row r="83" spans="8:19">
      <c r="H83" s="22" t="s">
        <v>595</v>
      </c>
      <c r="I83" s="23">
        <v>396</v>
      </c>
      <c r="J83" s="22" t="s">
        <v>595</v>
      </c>
      <c r="R83" s="5" t="s">
        <v>309</v>
      </c>
      <c r="S83" s="5">
        <v>3081</v>
      </c>
    </row>
    <row r="84" spans="8:19">
      <c r="H84" s="22" t="s">
        <v>125</v>
      </c>
      <c r="I84" s="23">
        <v>35</v>
      </c>
      <c r="J84" s="22" t="s">
        <v>125</v>
      </c>
      <c r="R84" s="5" t="s">
        <v>310</v>
      </c>
      <c r="S84" s="5">
        <v>3082</v>
      </c>
    </row>
    <row r="85" spans="8:19">
      <c r="H85" s="22" t="s">
        <v>567</v>
      </c>
      <c r="I85" s="23">
        <v>93</v>
      </c>
      <c r="J85" s="22" t="s">
        <v>567</v>
      </c>
      <c r="R85" s="3" t="s">
        <v>311</v>
      </c>
      <c r="S85" s="3">
        <v>3083</v>
      </c>
    </row>
    <row r="86" spans="8:19">
      <c r="H86" s="22" t="s">
        <v>126</v>
      </c>
      <c r="I86" s="23">
        <v>88</v>
      </c>
      <c r="J86" s="22" t="s">
        <v>126</v>
      </c>
      <c r="R86" s="3" t="s">
        <v>312</v>
      </c>
      <c r="S86" s="3">
        <v>3084</v>
      </c>
    </row>
    <row r="87" spans="8:19">
      <c r="H87" s="22" t="s">
        <v>127</v>
      </c>
      <c r="I87" s="23">
        <v>37</v>
      </c>
      <c r="J87" s="22" t="s">
        <v>127</v>
      </c>
      <c r="R87" s="3" t="s">
        <v>313</v>
      </c>
      <c r="S87" s="3">
        <v>3085</v>
      </c>
    </row>
    <row r="88" spans="8:19">
      <c r="H88" s="22" t="s">
        <v>568</v>
      </c>
      <c r="I88" s="23">
        <v>360</v>
      </c>
      <c r="J88" s="22" t="s">
        <v>568</v>
      </c>
      <c r="R88" s="3" t="s">
        <v>314</v>
      </c>
      <c r="S88" s="3">
        <v>3086</v>
      </c>
    </row>
    <row r="89" spans="8:19">
      <c r="H89" s="22" t="s">
        <v>128</v>
      </c>
      <c r="I89" s="23">
        <v>28</v>
      </c>
      <c r="J89" s="22" t="s">
        <v>128</v>
      </c>
      <c r="R89" s="3" t="s">
        <v>315</v>
      </c>
      <c r="S89" s="3">
        <v>3087</v>
      </c>
    </row>
    <row r="90" spans="8:19">
      <c r="H90" s="22" t="s">
        <v>806</v>
      </c>
      <c r="I90" s="23">
        <v>2196</v>
      </c>
      <c r="J90" s="22" t="s">
        <v>806</v>
      </c>
      <c r="R90" s="3" t="s">
        <v>316</v>
      </c>
      <c r="S90" s="3">
        <v>3088</v>
      </c>
    </row>
    <row r="91" spans="8:19">
      <c r="H91" s="22" t="s">
        <v>665</v>
      </c>
      <c r="I91" s="23">
        <v>577</v>
      </c>
      <c r="J91" s="22" t="s">
        <v>665</v>
      </c>
      <c r="R91" s="3" t="s">
        <v>317</v>
      </c>
      <c r="S91" s="3">
        <v>3089</v>
      </c>
    </row>
    <row r="92" spans="8:19">
      <c r="H92" s="22" t="s">
        <v>129</v>
      </c>
      <c r="I92" s="23">
        <v>209</v>
      </c>
      <c r="J92" s="22" t="s">
        <v>129</v>
      </c>
      <c r="R92" s="3" t="s">
        <v>318</v>
      </c>
      <c r="S92" s="3">
        <v>3090</v>
      </c>
    </row>
    <row r="93" spans="8:19">
      <c r="H93" s="22" t="s">
        <v>596</v>
      </c>
      <c r="I93" s="23">
        <v>382</v>
      </c>
      <c r="J93" s="22" t="s">
        <v>596</v>
      </c>
      <c r="R93" s="3" t="s">
        <v>319</v>
      </c>
      <c r="S93" s="3">
        <v>3091</v>
      </c>
    </row>
    <row r="94" spans="8:19">
      <c r="H94" s="22" t="s">
        <v>666</v>
      </c>
      <c r="I94" s="23">
        <v>15</v>
      </c>
      <c r="J94" s="22" t="s">
        <v>666</v>
      </c>
      <c r="R94" s="3" t="s">
        <v>320</v>
      </c>
      <c r="S94" s="3">
        <v>3092</v>
      </c>
    </row>
    <row r="95" spans="8:19">
      <c r="H95" s="22" t="s">
        <v>130</v>
      </c>
      <c r="I95" s="23">
        <v>129</v>
      </c>
      <c r="J95" s="22" t="s">
        <v>130</v>
      </c>
      <c r="R95" s="3" t="s">
        <v>321</v>
      </c>
      <c r="S95" s="3">
        <v>3093</v>
      </c>
    </row>
    <row r="96" spans="8:19">
      <c r="H96" s="22" t="s">
        <v>807</v>
      </c>
      <c r="I96" s="23">
        <v>2168</v>
      </c>
      <c r="J96" s="22" t="s">
        <v>807</v>
      </c>
      <c r="R96" s="3" t="s">
        <v>322</v>
      </c>
      <c r="S96" s="3">
        <v>3094</v>
      </c>
    </row>
    <row r="97" spans="8:19">
      <c r="H97" s="22" t="s">
        <v>569</v>
      </c>
      <c r="I97" s="23">
        <v>373</v>
      </c>
      <c r="J97" s="22" t="s">
        <v>569</v>
      </c>
      <c r="R97" s="3" t="s">
        <v>323</v>
      </c>
      <c r="S97" s="3">
        <v>3095</v>
      </c>
    </row>
    <row r="98" spans="8:19">
      <c r="H98" s="22" t="s">
        <v>570</v>
      </c>
      <c r="I98" s="23">
        <v>198</v>
      </c>
      <c r="J98" s="22" t="s">
        <v>570</v>
      </c>
      <c r="R98" s="3" t="s">
        <v>324</v>
      </c>
      <c r="S98" s="3">
        <v>3096</v>
      </c>
    </row>
    <row r="99" spans="8:19">
      <c r="H99" s="22" t="s">
        <v>571</v>
      </c>
      <c r="I99" s="23">
        <v>374</v>
      </c>
      <c r="J99" s="22" t="s">
        <v>571</v>
      </c>
      <c r="R99" s="3" t="s">
        <v>325</v>
      </c>
      <c r="S99" s="3">
        <v>3097</v>
      </c>
    </row>
    <row r="100" spans="8:19">
      <c r="H100" s="22" t="s">
        <v>572</v>
      </c>
      <c r="I100" s="23">
        <v>199</v>
      </c>
      <c r="J100" s="22" t="s">
        <v>572</v>
      </c>
      <c r="R100" s="3" t="s">
        <v>326</v>
      </c>
      <c r="S100" s="3">
        <v>3098</v>
      </c>
    </row>
    <row r="101" spans="8:19">
      <c r="H101" s="22" t="s">
        <v>131</v>
      </c>
      <c r="I101" s="23">
        <v>200</v>
      </c>
      <c r="J101" s="22" t="s">
        <v>131</v>
      </c>
      <c r="R101" s="3" t="s">
        <v>327</v>
      </c>
      <c r="S101" s="3">
        <v>3099</v>
      </c>
    </row>
    <row r="102" spans="8:19">
      <c r="H102" s="22" t="s">
        <v>597</v>
      </c>
      <c r="I102" s="23">
        <v>253</v>
      </c>
      <c r="J102" s="22" t="s">
        <v>597</v>
      </c>
      <c r="R102" s="3" t="s">
        <v>328</v>
      </c>
      <c r="S102" s="3">
        <v>3100</v>
      </c>
    </row>
    <row r="103" spans="8:19">
      <c r="H103" s="22" t="s">
        <v>598</v>
      </c>
      <c r="I103" s="23">
        <v>248</v>
      </c>
      <c r="J103" s="22" t="s">
        <v>598</v>
      </c>
      <c r="R103" s="3" t="s">
        <v>329</v>
      </c>
      <c r="S103" s="3">
        <v>3101</v>
      </c>
    </row>
    <row r="104" spans="8:19">
      <c r="H104" s="22" t="s">
        <v>132</v>
      </c>
      <c r="I104" s="23">
        <v>179</v>
      </c>
      <c r="J104" s="22" t="s">
        <v>132</v>
      </c>
      <c r="R104" s="3" t="s">
        <v>330</v>
      </c>
      <c r="S104" s="3">
        <v>3102</v>
      </c>
    </row>
    <row r="105" spans="8:19">
      <c r="H105" s="22" t="s">
        <v>808</v>
      </c>
      <c r="I105" s="23">
        <v>2159</v>
      </c>
      <c r="J105" s="22" t="s">
        <v>808</v>
      </c>
      <c r="R105" s="3" t="s">
        <v>331</v>
      </c>
      <c r="S105" s="3">
        <v>3103</v>
      </c>
    </row>
    <row r="106" spans="8:19">
      <c r="H106" s="22" t="s">
        <v>573</v>
      </c>
      <c r="I106" s="23">
        <v>291</v>
      </c>
      <c r="J106" s="22" t="s">
        <v>573</v>
      </c>
      <c r="R106" s="3" t="s">
        <v>332</v>
      </c>
      <c r="S106" s="3">
        <v>3104</v>
      </c>
    </row>
    <row r="107" spans="8:19">
      <c r="H107" s="22" t="s">
        <v>631</v>
      </c>
      <c r="I107" s="23">
        <v>453</v>
      </c>
      <c r="J107" s="22" t="s">
        <v>631</v>
      </c>
      <c r="R107" s="3" t="s">
        <v>333</v>
      </c>
      <c r="S107" s="3">
        <v>3105</v>
      </c>
    </row>
    <row r="108" spans="8:19">
      <c r="H108" s="22" t="s">
        <v>667</v>
      </c>
      <c r="I108" s="23">
        <v>482</v>
      </c>
      <c r="J108" s="22" t="s">
        <v>667</v>
      </c>
      <c r="R108" s="3" t="s">
        <v>334</v>
      </c>
      <c r="S108" s="3">
        <v>3106</v>
      </c>
    </row>
    <row r="109" spans="8:19">
      <c r="H109" s="22" t="s">
        <v>632</v>
      </c>
      <c r="I109" s="23">
        <v>21</v>
      </c>
      <c r="J109" s="22" t="s">
        <v>632</v>
      </c>
      <c r="R109" s="3" t="s">
        <v>335</v>
      </c>
      <c r="S109" s="3">
        <v>3107</v>
      </c>
    </row>
    <row r="110" spans="8:19">
      <c r="H110" s="22" t="s">
        <v>574</v>
      </c>
      <c r="I110" s="23">
        <v>367</v>
      </c>
      <c r="J110" s="22" t="s">
        <v>574</v>
      </c>
      <c r="R110" s="3" t="s">
        <v>336</v>
      </c>
      <c r="S110" s="3">
        <v>3108</v>
      </c>
    </row>
    <row r="111" spans="8:19">
      <c r="H111" s="22" t="s">
        <v>633</v>
      </c>
      <c r="I111" s="23">
        <v>22</v>
      </c>
      <c r="J111" s="22" t="s">
        <v>633</v>
      </c>
      <c r="R111" s="3" t="s">
        <v>337</v>
      </c>
      <c r="S111" s="3">
        <v>3109</v>
      </c>
    </row>
    <row r="112" spans="8:19">
      <c r="H112" s="22" t="s">
        <v>133</v>
      </c>
      <c r="I112" s="23">
        <v>130</v>
      </c>
      <c r="J112" s="22" t="s">
        <v>133</v>
      </c>
      <c r="R112" s="3" t="s">
        <v>338</v>
      </c>
      <c r="S112" s="3">
        <v>3110</v>
      </c>
    </row>
    <row r="113" spans="8:19">
      <c r="H113" s="22" t="s">
        <v>668</v>
      </c>
      <c r="I113" s="23">
        <v>525</v>
      </c>
      <c r="J113" s="22" t="s">
        <v>668</v>
      </c>
      <c r="R113" s="3" t="s">
        <v>339</v>
      </c>
      <c r="S113" s="3">
        <v>3111</v>
      </c>
    </row>
    <row r="114" spans="8:19">
      <c r="H114" s="22" t="s">
        <v>669</v>
      </c>
      <c r="I114" s="23">
        <v>483</v>
      </c>
      <c r="J114" s="22" t="s">
        <v>669</v>
      </c>
      <c r="R114" s="3" t="s">
        <v>340</v>
      </c>
      <c r="S114" s="3">
        <v>3112</v>
      </c>
    </row>
    <row r="115" spans="8:19">
      <c r="H115" s="22" t="s">
        <v>634</v>
      </c>
      <c r="I115" s="23">
        <v>401</v>
      </c>
      <c r="J115" s="22" t="s">
        <v>634</v>
      </c>
      <c r="R115" s="3" t="s">
        <v>341</v>
      </c>
      <c r="S115" s="3">
        <v>3113</v>
      </c>
    </row>
    <row r="116" spans="8:19">
      <c r="H116" s="22" t="s">
        <v>635</v>
      </c>
      <c r="I116" s="23">
        <v>402</v>
      </c>
      <c r="J116" s="22" t="s">
        <v>635</v>
      </c>
      <c r="R116" s="3" t="s">
        <v>342</v>
      </c>
      <c r="S116" s="3">
        <v>3114</v>
      </c>
    </row>
    <row r="117" spans="8:19">
      <c r="H117" s="22" t="s">
        <v>809</v>
      </c>
      <c r="I117" s="23">
        <v>566</v>
      </c>
      <c r="J117" s="22" t="s">
        <v>809</v>
      </c>
      <c r="R117" s="3" t="s">
        <v>343</v>
      </c>
      <c r="S117" s="3">
        <v>3115</v>
      </c>
    </row>
    <row r="118" spans="8:19">
      <c r="H118" s="22" t="s">
        <v>810</v>
      </c>
      <c r="I118" s="23">
        <v>535</v>
      </c>
      <c r="J118" s="22" t="s">
        <v>810</v>
      </c>
      <c r="R118" s="3" t="s">
        <v>344</v>
      </c>
      <c r="S118" s="3">
        <v>3116</v>
      </c>
    </row>
    <row r="119" spans="8:19">
      <c r="H119" s="22" t="s">
        <v>134</v>
      </c>
      <c r="I119" s="23">
        <v>131</v>
      </c>
      <c r="J119" s="22" t="s">
        <v>134</v>
      </c>
      <c r="R119" s="3" t="s">
        <v>345</v>
      </c>
      <c r="S119" s="3">
        <v>3117</v>
      </c>
    </row>
    <row r="120" spans="8:19">
      <c r="H120" s="22" t="s">
        <v>135</v>
      </c>
      <c r="I120" s="23">
        <v>132</v>
      </c>
      <c r="J120" s="22" t="s">
        <v>135</v>
      </c>
      <c r="R120" s="3" t="s">
        <v>346</v>
      </c>
      <c r="S120" s="3">
        <v>3118</v>
      </c>
    </row>
    <row r="121" spans="8:19">
      <c r="H121" s="22" t="s">
        <v>811</v>
      </c>
      <c r="I121" s="23">
        <v>2195</v>
      </c>
      <c r="J121" s="22" t="s">
        <v>811</v>
      </c>
      <c r="R121" s="3" t="s">
        <v>347</v>
      </c>
      <c r="S121" s="3">
        <v>3119</v>
      </c>
    </row>
    <row r="122" spans="8:19">
      <c r="H122" s="22" t="s">
        <v>670</v>
      </c>
      <c r="I122" s="23">
        <v>469</v>
      </c>
      <c r="J122" s="22" t="s">
        <v>670</v>
      </c>
      <c r="R122" s="3" t="s">
        <v>348</v>
      </c>
      <c r="S122" s="3">
        <v>3120</v>
      </c>
    </row>
    <row r="123" spans="8:19">
      <c r="H123" s="22" t="s">
        <v>671</v>
      </c>
      <c r="I123" s="23">
        <v>527</v>
      </c>
      <c r="J123" s="22" t="s">
        <v>671</v>
      </c>
      <c r="R123" s="3" t="s">
        <v>349</v>
      </c>
      <c r="S123" s="3">
        <v>3121</v>
      </c>
    </row>
    <row r="124" spans="8:19">
      <c r="H124" s="22" t="s">
        <v>812</v>
      </c>
      <c r="I124" s="23">
        <v>2181</v>
      </c>
      <c r="J124" s="22" t="s">
        <v>812</v>
      </c>
      <c r="R124" s="3" t="s">
        <v>350</v>
      </c>
      <c r="S124" s="3">
        <v>3122</v>
      </c>
    </row>
    <row r="125" spans="8:19">
      <c r="H125" s="22" t="s">
        <v>136</v>
      </c>
      <c r="I125" s="23">
        <v>201</v>
      </c>
      <c r="J125" s="22" t="s">
        <v>136</v>
      </c>
      <c r="R125" s="3" t="s">
        <v>351</v>
      </c>
      <c r="S125" s="3">
        <v>3123</v>
      </c>
    </row>
    <row r="126" spans="8:19">
      <c r="H126" s="22" t="s">
        <v>599</v>
      </c>
      <c r="I126" s="23">
        <v>135</v>
      </c>
      <c r="J126" s="22" t="s">
        <v>599</v>
      </c>
      <c r="R126" s="3" t="s">
        <v>352</v>
      </c>
      <c r="S126" s="3">
        <v>3124</v>
      </c>
    </row>
    <row r="127" spans="8:19">
      <c r="H127" s="22" t="s">
        <v>813</v>
      </c>
      <c r="I127" s="23">
        <v>2304</v>
      </c>
      <c r="J127" s="22" t="s">
        <v>813</v>
      </c>
      <c r="R127" s="3" t="s">
        <v>353</v>
      </c>
      <c r="S127" s="3">
        <v>3125</v>
      </c>
    </row>
    <row r="128" spans="8:19">
      <c r="H128" s="22" t="s">
        <v>137</v>
      </c>
      <c r="I128" s="23">
        <v>388</v>
      </c>
      <c r="J128" s="22" t="s">
        <v>137</v>
      </c>
      <c r="R128" s="3" t="s">
        <v>354</v>
      </c>
      <c r="S128" s="3">
        <v>3126</v>
      </c>
    </row>
    <row r="129" spans="8:19">
      <c r="H129" s="22" t="s">
        <v>672</v>
      </c>
      <c r="I129" s="23">
        <v>528</v>
      </c>
      <c r="J129" s="22" t="s">
        <v>672</v>
      </c>
      <c r="R129" s="3" t="s">
        <v>355</v>
      </c>
      <c r="S129" s="3">
        <v>3127</v>
      </c>
    </row>
    <row r="130" spans="8:19">
      <c r="H130" s="22" t="s">
        <v>138</v>
      </c>
      <c r="I130" s="23">
        <v>387</v>
      </c>
      <c r="J130" s="22" t="s">
        <v>138</v>
      </c>
      <c r="R130" s="3" t="s">
        <v>356</v>
      </c>
      <c r="S130" s="3">
        <v>3128</v>
      </c>
    </row>
    <row r="131" spans="8:19">
      <c r="H131" s="22" t="s">
        <v>139</v>
      </c>
      <c r="I131" s="23">
        <v>138</v>
      </c>
      <c r="J131" s="22" t="s">
        <v>139</v>
      </c>
      <c r="R131" s="3" t="s">
        <v>357</v>
      </c>
      <c r="S131" s="3">
        <v>3129</v>
      </c>
    </row>
    <row r="132" spans="8:19">
      <c r="H132" s="22" t="s">
        <v>140</v>
      </c>
      <c r="I132" s="23">
        <v>139</v>
      </c>
      <c r="J132" s="22" t="s">
        <v>140</v>
      </c>
      <c r="R132" s="3" t="s">
        <v>358</v>
      </c>
      <c r="S132" s="3">
        <v>3130</v>
      </c>
    </row>
    <row r="133" spans="8:19">
      <c r="H133" s="22" t="s">
        <v>814</v>
      </c>
      <c r="I133" s="23">
        <v>536</v>
      </c>
      <c r="J133" s="22" t="s">
        <v>814</v>
      </c>
      <c r="R133" s="3" t="s">
        <v>359</v>
      </c>
      <c r="S133" s="3">
        <v>3131</v>
      </c>
    </row>
    <row r="134" spans="8:19">
      <c r="H134" s="22" t="s">
        <v>141</v>
      </c>
      <c r="I134" s="23">
        <v>147</v>
      </c>
      <c r="J134" s="22" t="s">
        <v>141</v>
      </c>
      <c r="R134" s="3" t="s">
        <v>360</v>
      </c>
      <c r="S134" s="3">
        <v>3132</v>
      </c>
    </row>
    <row r="135" spans="8:19">
      <c r="H135" s="22" t="s">
        <v>600</v>
      </c>
      <c r="I135" s="23">
        <v>287</v>
      </c>
      <c r="J135" s="22" t="s">
        <v>600</v>
      </c>
      <c r="R135" s="3" t="s">
        <v>361</v>
      </c>
      <c r="S135" s="3">
        <v>3133</v>
      </c>
    </row>
    <row r="136" spans="8:19">
      <c r="H136" s="22" t="s">
        <v>601</v>
      </c>
      <c r="I136" s="23">
        <v>286</v>
      </c>
      <c r="J136" s="22" t="s">
        <v>601</v>
      </c>
      <c r="R136" s="3" t="s">
        <v>362</v>
      </c>
      <c r="S136" s="3">
        <v>3134</v>
      </c>
    </row>
    <row r="137" spans="8:19">
      <c r="H137" s="22" t="s">
        <v>142</v>
      </c>
      <c r="I137" s="23">
        <v>40</v>
      </c>
      <c r="J137" s="22" t="s">
        <v>142</v>
      </c>
      <c r="R137" s="3" t="s">
        <v>363</v>
      </c>
      <c r="S137" s="3">
        <v>3135</v>
      </c>
    </row>
    <row r="138" spans="8:19">
      <c r="H138" s="22" t="s">
        <v>815</v>
      </c>
      <c r="I138" s="23">
        <v>632</v>
      </c>
      <c r="J138" s="22" t="s">
        <v>815</v>
      </c>
      <c r="R138" s="3" t="s">
        <v>364</v>
      </c>
      <c r="S138" s="3">
        <v>3136</v>
      </c>
    </row>
    <row r="139" spans="8:19">
      <c r="H139" s="22" t="s">
        <v>144</v>
      </c>
      <c r="I139" s="23">
        <v>161</v>
      </c>
      <c r="J139" s="22" t="s">
        <v>144</v>
      </c>
      <c r="R139" s="3" t="s">
        <v>365</v>
      </c>
      <c r="S139" s="3">
        <v>3137</v>
      </c>
    </row>
    <row r="140" spans="8:19">
      <c r="H140" s="22" t="s">
        <v>143</v>
      </c>
      <c r="I140" s="23">
        <v>39</v>
      </c>
      <c r="J140" s="22" t="s">
        <v>143</v>
      </c>
      <c r="R140" s="3" t="s">
        <v>366</v>
      </c>
      <c r="S140" s="3">
        <v>3138</v>
      </c>
    </row>
    <row r="141" spans="8:19">
      <c r="H141" s="22" t="s">
        <v>673</v>
      </c>
      <c r="I141" s="23">
        <v>576</v>
      </c>
      <c r="J141" s="22" t="s">
        <v>673</v>
      </c>
      <c r="R141" s="3" t="s">
        <v>367</v>
      </c>
      <c r="S141" s="3">
        <v>3139</v>
      </c>
    </row>
    <row r="142" spans="8:19">
      <c r="H142" s="22" t="s">
        <v>816</v>
      </c>
      <c r="I142" s="23">
        <v>2300</v>
      </c>
      <c r="J142" s="22" t="s">
        <v>816</v>
      </c>
      <c r="R142" s="3" t="s">
        <v>368</v>
      </c>
      <c r="S142" s="3">
        <v>3140</v>
      </c>
    </row>
    <row r="143" spans="8:19">
      <c r="H143" s="22" t="s">
        <v>817</v>
      </c>
      <c r="I143" s="23">
        <v>2203</v>
      </c>
      <c r="J143" s="22" t="s">
        <v>817</v>
      </c>
      <c r="R143" s="3" t="s">
        <v>369</v>
      </c>
      <c r="S143" s="3">
        <v>3141</v>
      </c>
    </row>
    <row r="144" spans="8:19">
      <c r="H144" s="22" t="s">
        <v>818</v>
      </c>
      <c r="I144" s="23">
        <v>651</v>
      </c>
      <c r="J144" s="22" t="s">
        <v>818</v>
      </c>
      <c r="R144" s="3" t="s">
        <v>370</v>
      </c>
      <c r="S144" s="3">
        <v>3142</v>
      </c>
    </row>
    <row r="145" spans="8:19">
      <c r="H145" s="22" t="s">
        <v>674</v>
      </c>
      <c r="I145" s="23">
        <v>221</v>
      </c>
      <c r="J145" s="22" t="s">
        <v>674</v>
      </c>
      <c r="R145" s="3" t="s">
        <v>371</v>
      </c>
      <c r="S145" s="3">
        <v>3143</v>
      </c>
    </row>
    <row r="146" spans="8:19">
      <c r="H146" s="22" t="s">
        <v>675</v>
      </c>
      <c r="I146" s="23">
        <v>45</v>
      </c>
      <c r="J146" s="22" t="s">
        <v>675</v>
      </c>
      <c r="R146" s="3" t="s">
        <v>372</v>
      </c>
      <c r="S146" s="3">
        <v>3144</v>
      </c>
    </row>
    <row r="147" spans="8:19">
      <c r="H147" s="22" t="s">
        <v>676</v>
      </c>
      <c r="I147" s="23">
        <v>41</v>
      </c>
      <c r="J147" s="22" t="s">
        <v>676</v>
      </c>
      <c r="R147" s="3" t="s">
        <v>373</v>
      </c>
      <c r="S147" s="3">
        <v>3145</v>
      </c>
    </row>
    <row r="148" spans="8:19">
      <c r="H148" s="22" t="s">
        <v>819</v>
      </c>
      <c r="I148" s="23">
        <v>644</v>
      </c>
      <c r="J148" s="22" t="s">
        <v>819</v>
      </c>
      <c r="R148" s="3" t="s">
        <v>374</v>
      </c>
      <c r="S148" s="3">
        <v>3146</v>
      </c>
    </row>
    <row r="149" spans="8:19">
      <c r="H149" s="22" t="s">
        <v>820</v>
      </c>
      <c r="I149" s="23">
        <v>2199</v>
      </c>
      <c r="J149" s="22" t="s">
        <v>820</v>
      </c>
      <c r="R149" s="3" t="s">
        <v>375</v>
      </c>
      <c r="S149" s="3">
        <v>3147</v>
      </c>
    </row>
    <row r="150" spans="8:19">
      <c r="H150" s="22" t="s">
        <v>821</v>
      </c>
      <c r="I150" s="23">
        <v>610</v>
      </c>
      <c r="J150" s="22" t="s">
        <v>821</v>
      </c>
      <c r="R150" s="3" t="s">
        <v>376</v>
      </c>
      <c r="S150" s="3">
        <v>3148</v>
      </c>
    </row>
    <row r="151" spans="8:19">
      <c r="H151" s="22" t="s">
        <v>575</v>
      </c>
      <c r="I151" s="23">
        <v>59</v>
      </c>
      <c r="J151" s="22" t="s">
        <v>575</v>
      </c>
      <c r="R151" s="3" t="s">
        <v>377</v>
      </c>
      <c r="S151" s="3">
        <v>3149</v>
      </c>
    </row>
    <row r="152" spans="8:19">
      <c r="H152" s="22" t="s">
        <v>822</v>
      </c>
      <c r="I152" s="23">
        <v>2192</v>
      </c>
      <c r="J152" s="22" t="s">
        <v>822</v>
      </c>
      <c r="R152" s="3" t="s">
        <v>378</v>
      </c>
      <c r="S152" s="3">
        <v>3150</v>
      </c>
    </row>
    <row r="153" spans="8:19">
      <c r="H153" s="22" t="s">
        <v>823</v>
      </c>
      <c r="I153" s="23">
        <v>2191</v>
      </c>
      <c r="J153" s="22" t="s">
        <v>823</v>
      </c>
      <c r="R153" s="3" t="s">
        <v>379</v>
      </c>
      <c r="S153" s="3">
        <v>3151</v>
      </c>
    </row>
    <row r="154" spans="8:19">
      <c r="H154" s="22" t="s">
        <v>824</v>
      </c>
      <c r="I154" s="23">
        <v>2193</v>
      </c>
      <c r="J154" s="22" t="s">
        <v>824</v>
      </c>
      <c r="R154" s="3" t="s">
        <v>380</v>
      </c>
      <c r="S154" s="3">
        <v>3152</v>
      </c>
    </row>
    <row r="155" spans="8:19">
      <c r="H155" s="22" t="s">
        <v>825</v>
      </c>
      <c r="I155" s="23">
        <v>2194</v>
      </c>
      <c r="J155" s="22" t="s">
        <v>825</v>
      </c>
      <c r="R155" s="3" t="s">
        <v>381</v>
      </c>
      <c r="S155" s="3">
        <v>3153</v>
      </c>
    </row>
    <row r="156" spans="8:19">
      <c r="H156" s="22" t="s">
        <v>677</v>
      </c>
      <c r="I156" s="23">
        <v>596</v>
      </c>
      <c r="J156" s="22" t="s">
        <v>677</v>
      </c>
      <c r="R156" s="3" t="s">
        <v>382</v>
      </c>
      <c r="S156" s="3">
        <v>3154</v>
      </c>
    </row>
    <row r="157" spans="8:19">
      <c r="H157" s="22" t="s">
        <v>826</v>
      </c>
      <c r="I157" s="23">
        <v>2189</v>
      </c>
      <c r="J157" s="22" t="s">
        <v>826</v>
      </c>
      <c r="R157" s="3" t="s">
        <v>383</v>
      </c>
      <c r="S157" s="3">
        <v>3155</v>
      </c>
    </row>
    <row r="158" spans="8:19">
      <c r="H158" s="22" t="s">
        <v>827</v>
      </c>
      <c r="I158" s="23">
        <v>2190</v>
      </c>
      <c r="J158" s="22" t="s">
        <v>827</v>
      </c>
      <c r="R158" s="3" t="s">
        <v>384</v>
      </c>
      <c r="S158" s="3">
        <v>3156</v>
      </c>
    </row>
    <row r="159" spans="8:19">
      <c r="H159" s="22" t="s">
        <v>576</v>
      </c>
      <c r="I159" s="23">
        <v>243</v>
      </c>
      <c r="J159" s="22" t="s">
        <v>576</v>
      </c>
      <c r="R159" s="3" t="s">
        <v>385</v>
      </c>
      <c r="S159" s="3">
        <v>3157</v>
      </c>
    </row>
    <row r="160" spans="8:19">
      <c r="H160" s="22" t="s">
        <v>577</v>
      </c>
      <c r="I160" s="23">
        <v>26</v>
      </c>
      <c r="J160" s="22" t="s">
        <v>577</v>
      </c>
      <c r="R160" s="3" t="s">
        <v>386</v>
      </c>
      <c r="S160" s="3">
        <v>3158</v>
      </c>
    </row>
    <row r="161" spans="8:19">
      <c r="H161" s="22" t="s">
        <v>578</v>
      </c>
      <c r="I161" s="23">
        <v>27</v>
      </c>
      <c r="J161" s="22" t="s">
        <v>578</v>
      </c>
      <c r="R161" s="3" t="s">
        <v>387</v>
      </c>
      <c r="S161" s="3">
        <v>3159</v>
      </c>
    </row>
    <row r="162" spans="8:19">
      <c r="H162" s="22" t="s">
        <v>828</v>
      </c>
      <c r="I162" s="23">
        <v>2183</v>
      </c>
      <c r="J162" s="22" t="s">
        <v>828</v>
      </c>
      <c r="R162" s="3" t="s">
        <v>388</v>
      </c>
      <c r="S162" s="3">
        <v>3160</v>
      </c>
    </row>
    <row r="163" spans="8:19">
      <c r="H163" s="22" t="s">
        <v>829</v>
      </c>
      <c r="I163" s="23">
        <v>639</v>
      </c>
      <c r="J163" s="22" t="s">
        <v>829</v>
      </c>
      <c r="R163" s="3" t="s">
        <v>389</v>
      </c>
      <c r="S163" s="3">
        <v>3161</v>
      </c>
    </row>
    <row r="164" spans="8:19">
      <c r="H164" s="22" t="s">
        <v>830</v>
      </c>
      <c r="I164" s="23">
        <v>526</v>
      </c>
      <c r="J164" s="22" t="s">
        <v>830</v>
      </c>
      <c r="R164" s="3" t="s">
        <v>390</v>
      </c>
      <c r="S164" s="3">
        <v>3162</v>
      </c>
    </row>
    <row r="165" spans="8:19">
      <c r="H165" s="22" t="s">
        <v>602</v>
      </c>
      <c r="I165" s="23">
        <v>400</v>
      </c>
      <c r="J165" s="22" t="s">
        <v>602</v>
      </c>
      <c r="R165" s="3" t="s">
        <v>391</v>
      </c>
      <c r="S165" s="3">
        <v>3163</v>
      </c>
    </row>
    <row r="166" spans="8:19">
      <c r="H166" s="22" t="s">
        <v>579</v>
      </c>
      <c r="I166" s="23">
        <v>70</v>
      </c>
      <c r="J166" s="22" t="s">
        <v>579</v>
      </c>
      <c r="R166" s="3" t="s">
        <v>392</v>
      </c>
      <c r="S166" s="3">
        <v>3164</v>
      </c>
    </row>
    <row r="167" spans="8:19">
      <c r="H167" s="22" t="s">
        <v>603</v>
      </c>
      <c r="I167" s="23">
        <v>404</v>
      </c>
      <c r="J167" s="22" t="s">
        <v>603</v>
      </c>
      <c r="R167" s="3" t="s">
        <v>393</v>
      </c>
      <c r="S167" s="3">
        <v>3165</v>
      </c>
    </row>
    <row r="168" spans="8:19">
      <c r="H168" s="22" t="s">
        <v>678</v>
      </c>
      <c r="I168" s="23">
        <v>242</v>
      </c>
      <c r="J168" s="22" t="s">
        <v>678</v>
      </c>
      <c r="R168" s="3" t="s">
        <v>394</v>
      </c>
      <c r="S168" s="3">
        <v>3166</v>
      </c>
    </row>
    <row r="169" spans="8:19">
      <c r="H169" s="22" t="s">
        <v>831</v>
      </c>
      <c r="I169" s="23">
        <v>646</v>
      </c>
      <c r="J169" s="22" t="s">
        <v>831</v>
      </c>
      <c r="R169" s="3" t="s">
        <v>395</v>
      </c>
      <c r="S169" s="3">
        <v>3167</v>
      </c>
    </row>
    <row r="170" spans="8:19">
      <c r="H170" s="22" t="s">
        <v>679</v>
      </c>
      <c r="I170" s="23">
        <v>460</v>
      </c>
      <c r="J170" s="22" t="s">
        <v>679</v>
      </c>
      <c r="R170" s="3" t="s">
        <v>396</v>
      </c>
      <c r="S170" s="3">
        <v>3168</v>
      </c>
    </row>
    <row r="171" spans="8:19">
      <c r="H171" s="22" t="s">
        <v>680</v>
      </c>
      <c r="I171" s="23">
        <v>455</v>
      </c>
      <c r="J171" s="22" t="s">
        <v>680</v>
      </c>
      <c r="R171" s="3" t="s">
        <v>397</v>
      </c>
      <c r="S171" s="3">
        <v>3169</v>
      </c>
    </row>
    <row r="172" spans="8:19">
      <c r="H172" s="22" t="s">
        <v>681</v>
      </c>
      <c r="I172" s="23">
        <v>459</v>
      </c>
      <c r="J172" s="22" t="s">
        <v>681</v>
      </c>
      <c r="R172" s="3" t="s">
        <v>398</v>
      </c>
      <c r="S172" s="3">
        <v>3170</v>
      </c>
    </row>
    <row r="173" spans="8:19">
      <c r="H173" s="22" t="s">
        <v>682</v>
      </c>
      <c r="I173" s="23">
        <v>458</v>
      </c>
      <c r="J173" s="22" t="s">
        <v>682</v>
      </c>
      <c r="R173" s="3" t="s">
        <v>399</v>
      </c>
      <c r="S173" s="3">
        <v>3171</v>
      </c>
    </row>
    <row r="174" spans="8:19">
      <c r="H174" s="22" t="s">
        <v>683</v>
      </c>
      <c r="I174" s="23">
        <v>457</v>
      </c>
      <c r="J174" s="22" t="s">
        <v>683</v>
      </c>
      <c r="R174" s="3" t="s">
        <v>400</v>
      </c>
      <c r="S174" s="3">
        <v>3172</v>
      </c>
    </row>
    <row r="175" spans="8:19">
      <c r="H175" s="22" t="s">
        <v>684</v>
      </c>
      <c r="I175" s="23">
        <v>456</v>
      </c>
      <c r="J175" s="22" t="s">
        <v>684</v>
      </c>
      <c r="R175" s="3" t="s">
        <v>401</v>
      </c>
      <c r="S175" s="3">
        <v>3173</v>
      </c>
    </row>
    <row r="176" spans="8:19">
      <c r="H176" s="22" t="s">
        <v>685</v>
      </c>
      <c r="I176" s="23">
        <v>579</v>
      </c>
      <c r="J176" s="22" t="s">
        <v>685</v>
      </c>
      <c r="R176" s="3" t="s">
        <v>402</v>
      </c>
      <c r="S176" s="3">
        <v>3174</v>
      </c>
    </row>
    <row r="177" spans="8:19">
      <c r="H177" s="22" t="s">
        <v>832</v>
      </c>
      <c r="I177" s="23">
        <v>2178</v>
      </c>
      <c r="J177" s="22" t="s">
        <v>832</v>
      </c>
      <c r="R177" s="3" t="s">
        <v>403</v>
      </c>
      <c r="S177" s="3">
        <v>3175</v>
      </c>
    </row>
    <row r="178" spans="8:19">
      <c r="H178" s="22" t="s">
        <v>604</v>
      </c>
      <c r="I178" s="23">
        <v>405</v>
      </c>
      <c r="J178" s="22" t="s">
        <v>604</v>
      </c>
      <c r="R178" s="3" t="s">
        <v>404</v>
      </c>
      <c r="S178" s="3">
        <v>3176</v>
      </c>
    </row>
    <row r="179" spans="8:19">
      <c r="H179" s="22" t="s">
        <v>605</v>
      </c>
      <c r="I179" s="23">
        <v>399</v>
      </c>
      <c r="J179" s="22" t="s">
        <v>605</v>
      </c>
      <c r="R179" s="3" t="s">
        <v>412</v>
      </c>
      <c r="S179" s="3">
        <v>3177</v>
      </c>
    </row>
    <row r="180" spans="8:19">
      <c r="H180" s="22" t="s">
        <v>580</v>
      </c>
      <c r="I180" s="23">
        <v>237</v>
      </c>
      <c r="J180" s="22" t="s">
        <v>580</v>
      </c>
      <c r="R180" s="3" t="s">
        <v>159</v>
      </c>
      <c r="S180" s="3">
        <v>3178</v>
      </c>
    </row>
    <row r="181" spans="8:19">
      <c r="H181" s="22" t="s">
        <v>93</v>
      </c>
      <c r="I181" s="23">
        <v>118</v>
      </c>
      <c r="J181" s="22" t="s">
        <v>93</v>
      </c>
      <c r="R181" s="3" t="s">
        <v>160</v>
      </c>
      <c r="S181" s="3">
        <v>3179</v>
      </c>
    </row>
    <row r="182" spans="8:19">
      <c r="H182" s="22" t="s">
        <v>686</v>
      </c>
      <c r="I182" s="23">
        <v>121</v>
      </c>
      <c r="J182" s="22" t="s">
        <v>686</v>
      </c>
      <c r="R182" s="3" t="s">
        <v>161</v>
      </c>
      <c r="S182" s="3">
        <v>3180</v>
      </c>
    </row>
    <row r="183" spans="8:19">
      <c r="H183" s="22" t="s">
        <v>687</v>
      </c>
      <c r="I183" s="23">
        <v>117</v>
      </c>
      <c r="J183" s="22" t="s">
        <v>687</v>
      </c>
      <c r="R183" s="3" t="s">
        <v>162</v>
      </c>
      <c r="S183" s="3">
        <v>3181</v>
      </c>
    </row>
    <row r="184" spans="8:19">
      <c r="H184" s="22" t="s">
        <v>94</v>
      </c>
      <c r="I184" s="23">
        <v>120</v>
      </c>
      <c r="J184" s="22" t="s">
        <v>94</v>
      </c>
      <c r="R184" s="3" t="s">
        <v>163</v>
      </c>
      <c r="S184" s="3">
        <v>3182</v>
      </c>
    </row>
    <row r="185" spans="8:19">
      <c r="H185" s="22" t="s">
        <v>606</v>
      </c>
      <c r="I185" s="23">
        <v>449</v>
      </c>
      <c r="J185" s="22" t="s">
        <v>606</v>
      </c>
      <c r="R185" s="3" t="s">
        <v>164</v>
      </c>
      <c r="S185" s="3">
        <v>3183</v>
      </c>
    </row>
    <row r="186" spans="8:19">
      <c r="H186" s="22" t="s">
        <v>833</v>
      </c>
      <c r="I186" s="23">
        <v>2156</v>
      </c>
      <c r="J186" s="22" t="s">
        <v>833</v>
      </c>
      <c r="R186" s="3" t="s">
        <v>165</v>
      </c>
      <c r="S186" s="3">
        <v>3184</v>
      </c>
    </row>
    <row r="187" spans="8:19">
      <c r="H187" s="22" t="s">
        <v>834</v>
      </c>
      <c r="I187" s="23">
        <v>654</v>
      </c>
      <c r="J187" s="22" t="s">
        <v>834</v>
      </c>
      <c r="R187" s="3" t="s">
        <v>166</v>
      </c>
      <c r="S187" s="3">
        <v>3185</v>
      </c>
    </row>
    <row r="188" spans="8:19">
      <c r="H188" s="22" t="s">
        <v>688</v>
      </c>
      <c r="I188" s="23">
        <v>152</v>
      </c>
      <c r="J188" s="22" t="s">
        <v>688</v>
      </c>
      <c r="R188" s="3" t="s">
        <v>167</v>
      </c>
      <c r="S188" s="3">
        <v>3186</v>
      </c>
    </row>
    <row r="189" spans="8:19">
      <c r="H189" s="22" t="s">
        <v>835</v>
      </c>
      <c r="I189" s="23">
        <v>2198</v>
      </c>
      <c r="J189" s="22" t="s">
        <v>835</v>
      </c>
      <c r="R189" s="3" t="s">
        <v>168</v>
      </c>
      <c r="S189" s="3">
        <v>3187</v>
      </c>
    </row>
    <row r="190" spans="8:19">
      <c r="H190" s="22" t="s">
        <v>836</v>
      </c>
      <c r="I190" s="23">
        <v>2173</v>
      </c>
      <c r="J190" s="22" t="s">
        <v>836</v>
      </c>
      <c r="R190" s="3" t="s">
        <v>169</v>
      </c>
      <c r="S190" s="3">
        <v>3188</v>
      </c>
    </row>
    <row r="191" spans="8:19">
      <c r="H191" s="22" t="s">
        <v>837</v>
      </c>
      <c r="I191" s="23">
        <v>529</v>
      </c>
      <c r="J191" s="22" t="s">
        <v>837</v>
      </c>
      <c r="R191" s="3" t="s">
        <v>170</v>
      </c>
      <c r="S191" s="3">
        <v>3189</v>
      </c>
    </row>
    <row r="192" spans="8:19">
      <c r="H192" s="22" t="s">
        <v>689</v>
      </c>
      <c r="I192" s="23">
        <v>597</v>
      </c>
      <c r="J192" s="22" t="s">
        <v>689</v>
      </c>
      <c r="R192" s="3" t="s">
        <v>171</v>
      </c>
      <c r="S192" s="3">
        <v>3190</v>
      </c>
    </row>
    <row r="193" spans="8:19">
      <c r="H193" s="22" t="s">
        <v>690</v>
      </c>
      <c r="I193" s="23">
        <v>487</v>
      </c>
      <c r="J193" s="22" t="s">
        <v>690</v>
      </c>
      <c r="R193" s="3" t="s">
        <v>172</v>
      </c>
      <c r="S193" s="3">
        <v>3191</v>
      </c>
    </row>
    <row r="194" spans="8:19">
      <c r="H194" s="22" t="s">
        <v>691</v>
      </c>
      <c r="I194" s="23">
        <v>488</v>
      </c>
      <c r="J194" s="22" t="s">
        <v>691</v>
      </c>
      <c r="R194" s="3" t="s">
        <v>173</v>
      </c>
      <c r="S194" s="3">
        <v>3192</v>
      </c>
    </row>
    <row r="195" spans="8:19">
      <c r="H195" s="22" t="s">
        <v>692</v>
      </c>
      <c r="I195" s="23">
        <v>489</v>
      </c>
      <c r="J195" s="22" t="s">
        <v>692</v>
      </c>
      <c r="R195" s="3" t="s">
        <v>174</v>
      </c>
      <c r="S195" s="3">
        <v>3193</v>
      </c>
    </row>
    <row r="196" spans="8:19">
      <c r="H196" s="22" t="s">
        <v>693</v>
      </c>
      <c r="I196" s="23">
        <v>490</v>
      </c>
      <c r="J196" s="22" t="s">
        <v>693</v>
      </c>
      <c r="R196" s="3" t="s">
        <v>175</v>
      </c>
      <c r="S196" s="3">
        <v>3194</v>
      </c>
    </row>
    <row r="197" spans="8:19">
      <c r="H197" s="22" t="s">
        <v>694</v>
      </c>
      <c r="I197" s="23">
        <v>491</v>
      </c>
      <c r="J197" s="22" t="s">
        <v>694</v>
      </c>
      <c r="R197" s="3" t="s">
        <v>176</v>
      </c>
      <c r="S197" s="3">
        <v>3195</v>
      </c>
    </row>
    <row r="198" spans="8:19">
      <c r="H198" s="22" t="s">
        <v>695</v>
      </c>
      <c r="I198" s="23">
        <v>492</v>
      </c>
      <c r="J198" s="22" t="s">
        <v>695</v>
      </c>
      <c r="R198" s="3" t="s">
        <v>177</v>
      </c>
      <c r="S198" s="3">
        <v>3196</v>
      </c>
    </row>
    <row r="199" spans="8:19">
      <c r="H199" s="22" t="s">
        <v>696</v>
      </c>
      <c r="I199" s="23">
        <v>493</v>
      </c>
      <c r="J199" s="22" t="s">
        <v>696</v>
      </c>
      <c r="R199" s="3" t="s">
        <v>178</v>
      </c>
      <c r="S199" s="3">
        <v>3197</v>
      </c>
    </row>
    <row r="200" spans="8:19">
      <c r="H200" s="22" t="s">
        <v>697</v>
      </c>
      <c r="I200" s="23">
        <v>494</v>
      </c>
      <c r="J200" s="22" t="s">
        <v>697</v>
      </c>
      <c r="R200" s="3" t="s">
        <v>179</v>
      </c>
      <c r="S200" s="3">
        <v>3198</v>
      </c>
    </row>
    <row r="201" spans="8:19">
      <c r="H201" s="22" t="s">
        <v>698</v>
      </c>
      <c r="I201" s="23">
        <v>495</v>
      </c>
      <c r="J201" s="22" t="s">
        <v>698</v>
      </c>
      <c r="R201" s="3" t="s">
        <v>180</v>
      </c>
      <c r="S201" s="3">
        <v>3199</v>
      </c>
    </row>
    <row r="202" spans="8:19">
      <c r="H202" s="22" t="s">
        <v>699</v>
      </c>
      <c r="I202" s="23">
        <v>496</v>
      </c>
      <c r="J202" s="22" t="s">
        <v>699</v>
      </c>
      <c r="R202" s="3" t="s">
        <v>181</v>
      </c>
      <c r="S202" s="3">
        <v>3200</v>
      </c>
    </row>
    <row r="203" spans="8:19">
      <c r="H203" s="22" t="s">
        <v>700</v>
      </c>
      <c r="I203" s="23">
        <v>497</v>
      </c>
      <c r="J203" s="22" t="s">
        <v>700</v>
      </c>
      <c r="R203" s="3" t="s">
        <v>182</v>
      </c>
      <c r="S203" s="3">
        <v>3201</v>
      </c>
    </row>
    <row r="204" spans="8:19">
      <c r="H204" s="22" t="s">
        <v>701</v>
      </c>
      <c r="I204" s="23">
        <v>498</v>
      </c>
      <c r="J204" s="22" t="s">
        <v>701</v>
      </c>
      <c r="R204" s="3" t="s">
        <v>183</v>
      </c>
      <c r="S204" s="3">
        <v>3202</v>
      </c>
    </row>
    <row r="205" spans="8:19">
      <c r="H205" s="22" t="s">
        <v>702</v>
      </c>
      <c r="I205" s="23">
        <v>499</v>
      </c>
      <c r="J205" s="22" t="s">
        <v>702</v>
      </c>
      <c r="R205" s="3" t="s">
        <v>184</v>
      </c>
      <c r="S205" s="3">
        <v>3203</v>
      </c>
    </row>
    <row r="206" spans="8:19">
      <c r="H206" s="22" t="s">
        <v>703</v>
      </c>
      <c r="I206" s="23">
        <v>500</v>
      </c>
      <c r="J206" s="22" t="s">
        <v>703</v>
      </c>
      <c r="R206" s="3" t="s">
        <v>185</v>
      </c>
      <c r="S206" s="3">
        <v>3204</v>
      </c>
    </row>
    <row r="207" spans="8:19">
      <c r="H207" s="22" t="s">
        <v>704</v>
      </c>
      <c r="I207" s="23">
        <v>501</v>
      </c>
      <c r="J207" s="22" t="s">
        <v>704</v>
      </c>
      <c r="R207" s="3" t="s">
        <v>186</v>
      </c>
      <c r="S207" s="3">
        <v>3205</v>
      </c>
    </row>
    <row r="208" spans="8:19">
      <c r="H208" s="22" t="s">
        <v>705</v>
      </c>
      <c r="I208" s="23">
        <v>502</v>
      </c>
      <c r="J208" s="22" t="s">
        <v>705</v>
      </c>
      <c r="R208" s="3" t="s">
        <v>187</v>
      </c>
      <c r="S208" s="3">
        <v>3206</v>
      </c>
    </row>
    <row r="209" spans="8:19">
      <c r="H209" s="22" t="s">
        <v>706</v>
      </c>
      <c r="I209" s="23">
        <v>503</v>
      </c>
      <c r="J209" s="22" t="s">
        <v>706</v>
      </c>
      <c r="R209" s="3" t="s">
        <v>188</v>
      </c>
      <c r="S209" s="3">
        <v>3207</v>
      </c>
    </row>
    <row r="210" spans="8:19">
      <c r="H210" s="22" t="s">
        <v>707</v>
      </c>
      <c r="I210" s="23">
        <v>504</v>
      </c>
      <c r="J210" s="22" t="s">
        <v>707</v>
      </c>
      <c r="R210" s="3" t="s">
        <v>189</v>
      </c>
      <c r="S210" s="3">
        <v>3208</v>
      </c>
    </row>
    <row r="211" spans="8:19">
      <c r="H211" s="22" t="s">
        <v>708</v>
      </c>
      <c r="I211" s="23">
        <v>505</v>
      </c>
      <c r="J211" s="22" t="s">
        <v>708</v>
      </c>
      <c r="R211" s="3" t="s">
        <v>190</v>
      </c>
      <c r="S211" s="3">
        <v>3209</v>
      </c>
    </row>
    <row r="212" spans="8:19">
      <c r="H212" s="22" t="s">
        <v>709</v>
      </c>
      <c r="I212" s="23">
        <v>506</v>
      </c>
      <c r="J212" s="22" t="s">
        <v>709</v>
      </c>
      <c r="R212" s="3" t="s">
        <v>191</v>
      </c>
      <c r="S212" s="3">
        <v>3210</v>
      </c>
    </row>
    <row r="213" spans="8:19">
      <c r="H213" s="22" t="s">
        <v>710</v>
      </c>
      <c r="I213" s="23">
        <v>507</v>
      </c>
      <c r="J213" s="22" t="s">
        <v>710</v>
      </c>
      <c r="R213" s="3" t="s">
        <v>192</v>
      </c>
      <c r="S213" s="3">
        <v>3211</v>
      </c>
    </row>
    <row r="214" spans="8:19">
      <c r="H214" s="22" t="s">
        <v>711</v>
      </c>
      <c r="I214" s="23">
        <v>508</v>
      </c>
      <c r="J214" s="22" t="s">
        <v>711</v>
      </c>
      <c r="R214" s="3" t="s">
        <v>193</v>
      </c>
      <c r="S214" s="3">
        <v>3212</v>
      </c>
    </row>
    <row r="215" spans="8:19">
      <c r="H215" s="22" t="s">
        <v>712</v>
      </c>
      <c r="I215" s="23">
        <v>509</v>
      </c>
      <c r="J215" s="22" t="s">
        <v>712</v>
      </c>
      <c r="R215" s="3" t="s">
        <v>194</v>
      </c>
      <c r="S215" s="3">
        <v>3213</v>
      </c>
    </row>
    <row r="216" spans="8:19">
      <c r="H216" s="22" t="s">
        <v>713</v>
      </c>
      <c r="I216" s="23">
        <v>510</v>
      </c>
      <c r="J216" s="22" t="s">
        <v>713</v>
      </c>
      <c r="R216" s="3" t="s">
        <v>195</v>
      </c>
      <c r="S216" s="3">
        <v>3214</v>
      </c>
    </row>
    <row r="217" spans="8:19">
      <c r="H217" s="22" t="s">
        <v>748</v>
      </c>
      <c r="I217" s="23">
        <v>593</v>
      </c>
      <c r="J217" s="22" t="s">
        <v>748</v>
      </c>
      <c r="R217" s="3" t="s">
        <v>196</v>
      </c>
      <c r="S217" s="3">
        <v>3215</v>
      </c>
    </row>
    <row r="218" spans="8:19">
      <c r="H218" s="22" t="s">
        <v>743</v>
      </c>
      <c r="I218" s="23">
        <v>359</v>
      </c>
      <c r="J218" s="22" t="s">
        <v>743</v>
      </c>
      <c r="R218" s="3" t="s">
        <v>197</v>
      </c>
      <c r="S218" s="3">
        <v>3216</v>
      </c>
    </row>
    <row r="219" spans="8:19">
      <c r="H219" s="22" t="s">
        <v>744</v>
      </c>
      <c r="I219" s="23">
        <v>358</v>
      </c>
      <c r="J219" s="22" t="s">
        <v>744</v>
      </c>
      <c r="R219" s="3" t="s">
        <v>198</v>
      </c>
      <c r="S219" s="3">
        <v>3217</v>
      </c>
    </row>
    <row r="220" spans="8:19">
      <c r="H220" s="22" t="s">
        <v>745</v>
      </c>
      <c r="I220" s="23">
        <v>116</v>
      </c>
      <c r="J220" s="22" t="s">
        <v>745</v>
      </c>
      <c r="R220" s="3" t="s">
        <v>199</v>
      </c>
      <c r="S220" s="3">
        <v>3218</v>
      </c>
    </row>
    <row r="221" spans="8:19">
      <c r="H221" s="22" t="s">
        <v>746</v>
      </c>
      <c r="I221" s="23">
        <v>365</v>
      </c>
      <c r="J221" s="22" t="s">
        <v>746</v>
      </c>
      <c r="R221" s="3" t="s">
        <v>200</v>
      </c>
      <c r="S221" s="3">
        <v>3219</v>
      </c>
    </row>
    <row r="222" spans="8:19">
      <c r="H222" s="22" t="s">
        <v>749</v>
      </c>
      <c r="I222" s="23">
        <v>123</v>
      </c>
      <c r="J222" s="22" t="s">
        <v>749</v>
      </c>
      <c r="R222" s="3" t="s">
        <v>201</v>
      </c>
      <c r="S222" s="3">
        <v>3220</v>
      </c>
    </row>
    <row r="223" spans="8:19">
      <c r="H223" s="22" t="s">
        <v>838</v>
      </c>
      <c r="I223" s="23">
        <v>7</v>
      </c>
      <c r="J223" s="22" t="s">
        <v>838</v>
      </c>
      <c r="R223" s="3" t="s">
        <v>202</v>
      </c>
      <c r="S223" s="3">
        <v>3221</v>
      </c>
    </row>
    <row r="224" spans="8:19">
      <c r="H224" s="22" t="s">
        <v>747</v>
      </c>
      <c r="I224" s="23">
        <v>122</v>
      </c>
      <c r="J224" s="22" t="s">
        <v>747</v>
      </c>
      <c r="R224" s="3" t="s">
        <v>203</v>
      </c>
      <c r="S224" s="3">
        <v>3222</v>
      </c>
    </row>
    <row r="225" spans="8:19">
      <c r="H225" s="22" t="s">
        <v>839</v>
      </c>
      <c r="I225" s="23">
        <v>2164</v>
      </c>
      <c r="J225" s="22" t="s">
        <v>839</v>
      </c>
      <c r="R225" s="3" t="s">
        <v>204</v>
      </c>
      <c r="S225" s="3">
        <v>3223</v>
      </c>
    </row>
    <row r="226" spans="8:19">
      <c r="H226" s="22" t="s">
        <v>714</v>
      </c>
      <c r="I226" s="23">
        <v>604</v>
      </c>
      <c r="J226" s="22" t="s">
        <v>714</v>
      </c>
      <c r="R226" s="3" t="s">
        <v>205</v>
      </c>
      <c r="S226" s="3">
        <v>3224</v>
      </c>
    </row>
    <row r="227" spans="8:19">
      <c r="H227" s="22" t="s">
        <v>840</v>
      </c>
      <c r="I227" s="23">
        <v>650</v>
      </c>
      <c r="J227" s="22" t="s">
        <v>840</v>
      </c>
      <c r="R227" s="3" t="s">
        <v>206</v>
      </c>
      <c r="S227" s="3">
        <v>3225</v>
      </c>
    </row>
    <row r="228" spans="8:19">
      <c r="H228" s="22" t="s">
        <v>841</v>
      </c>
      <c r="I228" s="23">
        <v>658</v>
      </c>
      <c r="J228" s="22" t="s">
        <v>841</v>
      </c>
      <c r="R228" s="3" t="s">
        <v>207</v>
      </c>
      <c r="S228" s="3">
        <v>3226</v>
      </c>
    </row>
    <row r="229" spans="8:19">
      <c r="H229" s="22" t="s">
        <v>842</v>
      </c>
      <c r="I229" s="23">
        <v>599</v>
      </c>
      <c r="J229" s="22" t="s">
        <v>842</v>
      </c>
      <c r="R229" s="3" t="s">
        <v>208</v>
      </c>
      <c r="S229" s="3">
        <v>3227</v>
      </c>
    </row>
    <row r="230" spans="8:19">
      <c r="H230" s="22" t="s">
        <v>843</v>
      </c>
      <c r="I230" s="23">
        <v>642</v>
      </c>
      <c r="J230" s="22" t="s">
        <v>843</v>
      </c>
      <c r="R230" s="3" t="s">
        <v>209</v>
      </c>
      <c r="S230" s="3">
        <v>3228</v>
      </c>
    </row>
    <row r="231" spans="8:19">
      <c r="H231" s="22" t="s">
        <v>715</v>
      </c>
      <c r="I231" s="23">
        <v>605</v>
      </c>
      <c r="J231" s="22" t="s">
        <v>715</v>
      </c>
      <c r="R231" s="3" t="s">
        <v>210</v>
      </c>
      <c r="S231" s="3">
        <v>3229</v>
      </c>
    </row>
    <row r="232" spans="8:19">
      <c r="H232" s="22" t="s">
        <v>844</v>
      </c>
      <c r="I232" s="23">
        <v>611</v>
      </c>
      <c r="J232" s="22" t="s">
        <v>844</v>
      </c>
      <c r="R232" s="3" t="s">
        <v>211</v>
      </c>
      <c r="S232" s="3">
        <v>3230</v>
      </c>
    </row>
    <row r="233" spans="8:19">
      <c r="H233" s="22" t="s">
        <v>845</v>
      </c>
      <c r="I233" s="23">
        <v>410</v>
      </c>
      <c r="J233" s="22" t="s">
        <v>845</v>
      </c>
      <c r="R233" s="3" t="s">
        <v>212</v>
      </c>
      <c r="S233" s="3">
        <v>3231</v>
      </c>
    </row>
    <row r="234" spans="8:19">
      <c r="H234" s="22" t="s">
        <v>846</v>
      </c>
      <c r="I234" s="23">
        <v>626</v>
      </c>
      <c r="J234" s="22" t="s">
        <v>846</v>
      </c>
      <c r="R234" s="3" t="s">
        <v>213</v>
      </c>
      <c r="S234" s="3">
        <v>3232</v>
      </c>
    </row>
    <row r="235" spans="8:19">
      <c r="H235" s="22" t="s">
        <v>847</v>
      </c>
      <c r="I235" s="23">
        <v>655</v>
      </c>
      <c r="J235" s="22" t="s">
        <v>847</v>
      </c>
      <c r="R235" s="3" t="s">
        <v>214</v>
      </c>
      <c r="S235" s="3">
        <v>3233</v>
      </c>
    </row>
    <row r="236" spans="8:19">
      <c r="H236" s="22" t="s">
        <v>848</v>
      </c>
      <c r="I236" s="23">
        <v>257</v>
      </c>
      <c r="J236" s="22" t="s">
        <v>848</v>
      </c>
      <c r="R236" s="3" t="s">
        <v>215</v>
      </c>
      <c r="S236" s="3">
        <v>3234</v>
      </c>
    </row>
    <row r="237" spans="8:19">
      <c r="H237" s="22" t="s">
        <v>849</v>
      </c>
      <c r="I237" s="23">
        <v>2163</v>
      </c>
      <c r="J237" s="22" t="s">
        <v>849</v>
      </c>
      <c r="R237" s="3" t="s">
        <v>216</v>
      </c>
      <c r="S237" s="3">
        <v>3235</v>
      </c>
    </row>
    <row r="238" spans="8:19">
      <c r="H238" s="24" t="s">
        <v>850</v>
      </c>
      <c r="I238" s="23">
        <v>431</v>
      </c>
      <c r="J238" s="24" t="s">
        <v>850</v>
      </c>
      <c r="R238" s="3" t="s">
        <v>217</v>
      </c>
      <c r="S238" s="3">
        <v>3236</v>
      </c>
    </row>
    <row r="239" spans="8:19">
      <c r="H239" s="22" t="s">
        <v>851</v>
      </c>
      <c r="I239" s="23">
        <v>609</v>
      </c>
      <c r="J239" s="22" t="s">
        <v>851</v>
      </c>
      <c r="R239" s="3" t="s">
        <v>218</v>
      </c>
      <c r="S239" s="3">
        <v>3237</v>
      </c>
    </row>
    <row r="240" spans="8:19">
      <c r="H240" s="24" t="s">
        <v>852</v>
      </c>
      <c r="I240" s="23">
        <v>193</v>
      </c>
      <c r="J240" s="24" t="s">
        <v>852</v>
      </c>
      <c r="R240" s="3" t="s">
        <v>219</v>
      </c>
      <c r="S240" s="3">
        <v>3238</v>
      </c>
    </row>
    <row r="241" spans="8:19">
      <c r="H241" s="24" t="s">
        <v>853</v>
      </c>
      <c r="I241" s="23">
        <v>2185</v>
      </c>
      <c r="J241" s="24" t="s">
        <v>853</v>
      </c>
      <c r="R241" s="3" t="s">
        <v>220</v>
      </c>
      <c r="S241" s="3">
        <v>3239</v>
      </c>
    </row>
    <row r="242" spans="8:19">
      <c r="H242" s="22" t="s">
        <v>854</v>
      </c>
      <c r="I242" s="23">
        <v>233</v>
      </c>
      <c r="J242" s="22" t="s">
        <v>854</v>
      </c>
      <c r="R242" s="3" t="s">
        <v>221</v>
      </c>
      <c r="S242" s="3">
        <v>3240</v>
      </c>
    </row>
    <row r="243" spans="8:19">
      <c r="H243" s="25" t="s">
        <v>855</v>
      </c>
      <c r="I243" s="25">
        <v>353</v>
      </c>
      <c r="J243" s="25" t="s">
        <v>855</v>
      </c>
      <c r="R243" s="3" t="s">
        <v>222</v>
      </c>
      <c r="S243" s="3">
        <v>3241</v>
      </c>
    </row>
    <row r="244" spans="8:19">
      <c r="H244" s="22" t="s">
        <v>856</v>
      </c>
      <c r="I244" s="23">
        <v>186</v>
      </c>
      <c r="J244" s="22" t="s">
        <v>856</v>
      </c>
      <c r="R244" s="3" t="s">
        <v>223</v>
      </c>
      <c r="S244" s="3">
        <v>3242</v>
      </c>
    </row>
    <row r="245" spans="8:19">
      <c r="H245" s="22" t="s">
        <v>857</v>
      </c>
      <c r="I245" s="23">
        <v>612</v>
      </c>
      <c r="J245" s="22" t="s">
        <v>857</v>
      </c>
      <c r="R245" s="3" t="s">
        <v>224</v>
      </c>
      <c r="S245" s="3">
        <v>3243</v>
      </c>
    </row>
    <row r="246" spans="8:19">
      <c r="H246" s="22" t="s">
        <v>858</v>
      </c>
      <c r="I246" s="23">
        <v>607</v>
      </c>
      <c r="J246" s="22" t="s">
        <v>858</v>
      </c>
      <c r="R246" s="3" t="s">
        <v>225</v>
      </c>
      <c r="S246" s="3">
        <v>3244</v>
      </c>
    </row>
    <row r="247" spans="8:19">
      <c r="H247" s="22" t="s">
        <v>859</v>
      </c>
      <c r="I247" s="23">
        <v>2176</v>
      </c>
      <c r="J247" s="22" t="s">
        <v>859</v>
      </c>
      <c r="R247" s="3" t="s">
        <v>226</v>
      </c>
      <c r="S247" s="3">
        <v>3998</v>
      </c>
    </row>
    <row r="248" spans="8:19">
      <c r="H248" s="22" t="s">
        <v>860</v>
      </c>
      <c r="I248" s="23">
        <v>205</v>
      </c>
      <c r="J248" s="22" t="s">
        <v>860</v>
      </c>
      <c r="R248" s="3" t="s">
        <v>227</v>
      </c>
      <c r="S248" s="3">
        <v>3999</v>
      </c>
    </row>
    <row r="249" spans="8:19">
      <c r="H249" s="22" t="s">
        <v>861</v>
      </c>
      <c r="I249" s="23">
        <v>180</v>
      </c>
      <c r="J249" s="22" t="s">
        <v>861</v>
      </c>
    </row>
    <row r="250" spans="8:19">
      <c r="H250" s="22" t="s">
        <v>862</v>
      </c>
      <c r="I250" s="23">
        <v>2158</v>
      </c>
      <c r="J250" s="22" t="s">
        <v>862</v>
      </c>
    </row>
    <row r="251" spans="8:19">
      <c r="H251" s="22" t="s">
        <v>863</v>
      </c>
      <c r="I251" s="23">
        <v>602</v>
      </c>
      <c r="J251" s="22" t="s">
        <v>863</v>
      </c>
    </row>
    <row r="252" spans="8:19">
      <c r="H252" s="22" t="s">
        <v>864</v>
      </c>
      <c r="I252" s="23">
        <v>187</v>
      </c>
      <c r="J252" s="22" t="s">
        <v>864</v>
      </c>
    </row>
    <row r="253" spans="8:19">
      <c r="H253" s="22" t="s">
        <v>865</v>
      </c>
      <c r="I253" s="23">
        <v>188</v>
      </c>
      <c r="J253" s="22" t="s">
        <v>865</v>
      </c>
    </row>
    <row r="254" spans="8:19">
      <c r="H254" s="22" t="s">
        <v>866</v>
      </c>
      <c r="I254" s="23">
        <v>189</v>
      </c>
      <c r="J254" s="22" t="s">
        <v>866</v>
      </c>
    </row>
    <row r="255" spans="8:19">
      <c r="H255" s="22" t="s">
        <v>867</v>
      </c>
      <c r="I255" s="23">
        <v>352</v>
      </c>
      <c r="J255" s="22" t="s">
        <v>867</v>
      </c>
    </row>
    <row r="256" spans="8:19">
      <c r="H256" s="22" t="s">
        <v>868</v>
      </c>
      <c r="I256" s="23">
        <v>2201</v>
      </c>
      <c r="J256" s="22" t="s">
        <v>868</v>
      </c>
    </row>
    <row r="257" spans="8:10">
      <c r="H257" s="22" t="s">
        <v>869</v>
      </c>
      <c r="I257" s="23">
        <v>354</v>
      </c>
      <c r="J257" s="22" t="s">
        <v>869</v>
      </c>
    </row>
    <row r="258" spans="8:10">
      <c r="H258" s="22" t="s">
        <v>870</v>
      </c>
      <c r="I258" s="23">
        <v>659</v>
      </c>
      <c r="J258" s="22" t="s">
        <v>870</v>
      </c>
    </row>
    <row r="259" spans="8:10">
      <c r="H259" s="22" t="s">
        <v>871</v>
      </c>
      <c r="I259" s="23">
        <v>190</v>
      </c>
      <c r="J259" s="22" t="s">
        <v>871</v>
      </c>
    </row>
    <row r="260" spans="8:10">
      <c r="H260" s="22" t="s">
        <v>872</v>
      </c>
      <c r="I260" s="23">
        <v>641</v>
      </c>
      <c r="J260" s="22" t="s">
        <v>872</v>
      </c>
    </row>
    <row r="261" spans="8:10">
      <c r="H261" s="22" t="s">
        <v>716</v>
      </c>
      <c r="I261" s="23">
        <v>606</v>
      </c>
      <c r="J261" s="22" t="s">
        <v>716</v>
      </c>
    </row>
    <row r="262" spans="8:10">
      <c r="H262" s="22" t="s">
        <v>873</v>
      </c>
      <c r="I262" s="23">
        <v>372</v>
      </c>
      <c r="J262" s="22" t="s">
        <v>873</v>
      </c>
    </row>
    <row r="263" spans="8:10">
      <c r="H263" s="22" t="s">
        <v>874</v>
      </c>
      <c r="I263" s="23">
        <v>262</v>
      </c>
      <c r="J263" s="22" t="s">
        <v>874</v>
      </c>
    </row>
    <row r="264" spans="8:10">
      <c r="H264" s="22" t="s">
        <v>875</v>
      </c>
      <c r="I264" s="23">
        <v>191</v>
      </c>
      <c r="J264" s="22" t="s">
        <v>875</v>
      </c>
    </row>
    <row r="265" spans="8:10">
      <c r="H265" s="22" t="s">
        <v>876</v>
      </c>
      <c r="I265" s="23">
        <v>425</v>
      </c>
      <c r="J265" s="22" t="s">
        <v>876</v>
      </c>
    </row>
    <row r="266" spans="8:10">
      <c r="H266" s="22" t="s">
        <v>877</v>
      </c>
      <c r="I266" s="23">
        <v>304</v>
      </c>
      <c r="J266" s="22" t="s">
        <v>877</v>
      </c>
    </row>
    <row r="267" spans="8:10">
      <c r="H267" s="22" t="s">
        <v>878</v>
      </c>
      <c r="I267" s="23">
        <v>595</v>
      </c>
      <c r="J267" s="22" t="s">
        <v>878</v>
      </c>
    </row>
    <row r="268" spans="8:10">
      <c r="H268" s="22" t="s">
        <v>879</v>
      </c>
      <c r="I268" s="23">
        <v>293</v>
      </c>
      <c r="J268" s="22" t="s">
        <v>879</v>
      </c>
    </row>
    <row r="269" spans="8:10">
      <c r="H269" s="22" t="s">
        <v>581</v>
      </c>
      <c r="I269" s="23">
        <v>384</v>
      </c>
      <c r="J269" s="22" t="s">
        <v>581</v>
      </c>
    </row>
    <row r="270" spans="8:10">
      <c r="H270" s="22" t="s">
        <v>607</v>
      </c>
      <c r="I270" s="23">
        <v>285</v>
      </c>
      <c r="J270" s="22" t="s">
        <v>607</v>
      </c>
    </row>
    <row r="271" spans="8:10">
      <c r="H271" s="22" t="s">
        <v>582</v>
      </c>
      <c r="I271" s="23">
        <v>282</v>
      </c>
      <c r="J271" s="22" t="s">
        <v>582</v>
      </c>
    </row>
    <row r="272" spans="8:10">
      <c r="H272" s="22" t="s">
        <v>583</v>
      </c>
      <c r="I272" s="23">
        <v>265</v>
      </c>
      <c r="J272" s="22" t="s">
        <v>583</v>
      </c>
    </row>
    <row r="273" spans="8:10">
      <c r="H273" s="22" t="s">
        <v>608</v>
      </c>
      <c r="I273" s="23">
        <v>279</v>
      </c>
      <c r="J273" s="22" t="s">
        <v>608</v>
      </c>
    </row>
    <row r="274" spans="8:10">
      <c r="H274" s="22" t="s">
        <v>584</v>
      </c>
      <c r="I274" s="23">
        <v>357</v>
      </c>
      <c r="J274" s="22" t="s">
        <v>584</v>
      </c>
    </row>
    <row r="275" spans="8:10">
      <c r="H275" s="22" t="s">
        <v>609</v>
      </c>
      <c r="I275" s="23">
        <v>268</v>
      </c>
      <c r="J275" s="22" t="s">
        <v>609</v>
      </c>
    </row>
    <row r="276" spans="8:10">
      <c r="H276" s="22" t="s">
        <v>610</v>
      </c>
      <c r="I276" s="23">
        <v>272</v>
      </c>
      <c r="J276" s="22" t="s">
        <v>610</v>
      </c>
    </row>
    <row r="277" spans="8:10">
      <c r="H277" s="22" t="s">
        <v>611</v>
      </c>
      <c r="I277" s="23">
        <v>274</v>
      </c>
      <c r="J277" s="22" t="s">
        <v>611</v>
      </c>
    </row>
    <row r="278" spans="8:10">
      <c r="H278" s="22" t="s">
        <v>612</v>
      </c>
      <c r="I278" s="23">
        <v>275</v>
      </c>
      <c r="J278" s="22" t="s">
        <v>612</v>
      </c>
    </row>
    <row r="279" spans="8:10">
      <c r="H279" s="22" t="s">
        <v>613</v>
      </c>
      <c r="I279" s="23">
        <v>281</v>
      </c>
      <c r="J279" s="22" t="s">
        <v>613</v>
      </c>
    </row>
    <row r="280" spans="8:10">
      <c r="H280" s="22" t="s">
        <v>585</v>
      </c>
      <c r="I280" s="23">
        <v>267</v>
      </c>
      <c r="J280" s="22" t="s">
        <v>585</v>
      </c>
    </row>
    <row r="281" spans="8:10">
      <c r="H281" s="22" t="s">
        <v>614</v>
      </c>
      <c r="I281" s="23">
        <v>283</v>
      </c>
      <c r="J281" s="22" t="s">
        <v>614</v>
      </c>
    </row>
    <row r="282" spans="8:10">
      <c r="H282" s="22" t="s">
        <v>615</v>
      </c>
      <c r="I282" s="23">
        <v>271</v>
      </c>
      <c r="J282" s="22" t="s">
        <v>615</v>
      </c>
    </row>
    <row r="283" spans="8:10">
      <c r="H283" s="22" t="s">
        <v>616</v>
      </c>
      <c r="I283" s="23">
        <v>278</v>
      </c>
      <c r="J283" s="22" t="s">
        <v>616</v>
      </c>
    </row>
    <row r="284" spans="8:10">
      <c r="H284" s="22" t="s">
        <v>617</v>
      </c>
      <c r="I284" s="23">
        <v>273</v>
      </c>
      <c r="J284" s="22" t="s">
        <v>617</v>
      </c>
    </row>
    <row r="285" spans="8:10">
      <c r="H285" s="22" t="s">
        <v>586</v>
      </c>
      <c r="I285" s="23">
        <v>409</v>
      </c>
      <c r="J285" s="22" t="s">
        <v>586</v>
      </c>
    </row>
    <row r="286" spans="8:10">
      <c r="H286" s="22" t="s">
        <v>587</v>
      </c>
      <c r="I286" s="23">
        <v>270</v>
      </c>
      <c r="J286" s="22" t="s">
        <v>587</v>
      </c>
    </row>
    <row r="287" spans="8:10">
      <c r="H287" s="22" t="s">
        <v>618</v>
      </c>
      <c r="I287" s="23">
        <v>246</v>
      </c>
      <c r="J287" s="22" t="s">
        <v>618</v>
      </c>
    </row>
    <row r="288" spans="8:10">
      <c r="H288" s="22" t="s">
        <v>588</v>
      </c>
      <c r="I288" s="23">
        <v>284</v>
      </c>
      <c r="J288" s="22" t="s">
        <v>588</v>
      </c>
    </row>
    <row r="289" spans="8:10">
      <c r="H289" s="22" t="s">
        <v>619</v>
      </c>
      <c r="I289" s="23">
        <v>264</v>
      </c>
      <c r="J289" s="22" t="s">
        <v>619</v>
      </c>
    </row>
    <row r="290" spans="8:10">
      <c r="H290" s="22" t="s">
        <v>620</v>
      </c>
      <c r="I290" s="23">
        <v>269</v>
      </c>
      <c r="J290" s="22" t="s">
        <v>620</v>
      </c>
    </row>
    <row r="291" spans="8:10">
      <c r="H291" s="22" t="s">
        <v>621</v>
      </c>
      <c r="I291" s="23">
        <v>263</v>
      </c>
      <c r="J291" s="22" t="s">
        <v>621</v>
      </c>
    </row>
    <row r="292" spans="8:10">
      <c r="H292" s="22" t="s">
        <v>622</v>
      </c>
      <c r="I292" s="23">
        <v>295</v>
      </c>
      <c r="J292" s="22" t="s">
        <v>622</v>
      </c>
    </row>
    <row r="293" spans="8:10">
      <c r="H293" s="22" t="s">
        <v>623</v>
      </c>
      <c r="I293" s="23">
        <v>277</v>
      </c>
      <c r="J293" s="22" t="s">
        <v>623</v>
      </c>
    </row>
    <row r="294" spans="8:10">
      <c r="H294" s="22" t="s">
        <v>589</v>
      </c>
      <c r="I294" s="23">
        <v>276</v>
      </c>
      <c r="J294" s="22" t="s">
        <v>589</v>
      </c>
    </row>
    <row r="295" spans="8:10">
      <c r="H295" s="22" t="s">
        <v>590</v>
      </c>
      <c r="I295" s="23">
        <v>280</v>
      </c>
      <c r="J295" s="22" t="s">
        <v>590</v>
      </c>
    </row>
    <row r="296" spans="8:10">
      <c r="H296" s="22" t="s">
        <v>591</v>
      </c>
      <c r="I296" s="23">
        <v>266</v>
      </c>
      <c r="J296" s="22" t="s">
        <v>591</v>
      </c>
    </row>
    <row r="297" spans="8:10">
      <c r="H297" s="22" t="s">
        <v>145</v>
      </c>
      <c r="I297" s="23">
        <v>247</v>
      </c>
      <c r="J297" s="22" t="s">
        <v>145</v>
      </c>
    </row>
    <row r="298" spans="8:10">
      <c r="H298" s="22" t="s">
        <v>880</v>
      </c>
      <c r="I298" s="23">
        <v>2177</v>
      </c>
      <c r="J298" s="22" t="s">
        <v>880</v>
      </c>
    </row>
    <row r="299" spans="8:10">
      <c r="H299" s="22" t="s">
        <v>881</v>
      </c>
      <c r="I299" s="23">
        <v>2167</v>
      </c>
      <c r="J299" s="22" t="s">
        <v>881</v>
      </c>
    </row>
    <row r="300" spans="8:10">
      <c r="H300" s="22" t="s">
        <v>882</v>
      </c>
      <c r="I300" s="23">
        <v>653</v>
      </c>
      <c r="J300" s="22" t="s">
        <v>882</v>
      </c>
    </row>
    <row r="301" spans="8:10">
      <c r="H301" s="22" t="s">
        <v>717</v>
      </c>
      <c r="I301" s="23">
        <v>531</v>
      </c>
      <c r="J301" s="22" t="s">
        <v>717</v>
      </c>
    </row>
    <row r="302" spans="8:10">
      <c r="H302" s="22" t="s">
        <v>883</v>
      </c>
      <c r="I302" s="23">
        <v>2184</v>
      </c>
      <c r="J302" s="22" t="s">
        <v>883</v>
      </c>
    </row>
    <row r="303" spans="8:10">
      <c r="H303" s="22" t="s">
        <v>884</v>
      </c>
      <c r="I303" s="23">
        <v>2180</v>
      </c>
      <c r="J303" s="22" t="s">
        <v>884</v>
      </c>
    </row>
    <row r="304" spans="8:10">
      <c r="H304" s="22" t="s">
        <v>885</v>
      </c>
      <c r="I304" s="23">
        <v>631</v>
      </c>
      <c r="J304" s="22" t="s">
        <v>885</v>
      </c>
    </row>
    <row r="305" spans="8:10">
      <c r="H305" s="22" t="s">
        <v>886</v>
      </c>
      <c r="I305" s="23">
        <v>638</v>
      </c>
      <c r="J305" s="22" t="s">
        <v>886</v>
      </c>
    </row>
    <row r="306" spans="8:10">
      <c r="H306" s="22" t="s">
        <v>887</v>
      </c>
      <c r="I306" s="23">
        <v>637</v>
      </c>
      <c r="J306" s="22" t="s">
        <v>887</v>
      </c>
    </row>
    <row r="307" spans="8:10">
      <c r="H307" s="22" t="s">
        <v>888</v>
      </c>
      <c r="I307" s="23">
        <v>635</v>
      </c>
      <c r="J307" s="22" t="s">
        <v>888</v>
      </c>
    </row>
    <row r="308" spans="8:10">
      <c r="H308" s="22" t="s">
        <v>889</v>
      </c>
      <c r="I308" s="23">
        <v>636</v>
      </c>
      <c r="J308" s="22" t="s">
        <v>889</v>
      </c>
    </row>
    <row r="309" spans="8:10">
      <c r="H309" s="22" t="s">
        <v>890</v>
      </c>
      <c r="I309" s="23">
        <v>633</v>
      </c>
      <c r="J309" s="22" t="s">
        <v>890</v>
      </c>
    </row>
    <row r="310" spans="8:10">
      <c r="H310" s="22" t="s">
        <v>891</v>
      </c>
      <c r="I310" s="23">
        <v>634</v>
      </c>
      <c r="J310" s="22" t="s">
        <v>891</v>
      </c>
    </row>
    <row r="311" spans="8:10">
      <c r="H311" s="22" t="s">
        <v>718</v>
      </c>
      <c r="I311" s="23">
        <v>471</v>
      </c>
      <c r="J311" s="22" t="s">
        <v>718</v>
      </c>
    </row>
    <row r="312" spans="8:10">
      <c r="H312" s="22" t="s">
        <v>624</v>
      </c>
      <c r="I312" s="23">
        <v>53</v>
      </c>
      <c r="J312" s="22" t="s">
        <v>624</v>
      </c>
    </row>
    <row r="313" spans="8:10">
      <c r="H313" s="22" t="s">
        <v>625</v>
      </c>
      <c r="I313" s="23">
        <v>54</v>
      </c>
      <c r="J313" s="22" t="s">
        <v>625</v>
      </c>
    </row>
    <row r="314" spans="8:10">
      <c r="H314" s="22" t="s">
        <v>626</v>
      </c>
      <c r="I314" s="23">
        <v>55</v>
      </c>
      <c r="J314" s="22" t="s">
        <v>626</v>
      </c>
    </row>
    <row r="315" spans="8:10">
      <c r="H315" s="22" t="s">
        <v>719</v>
      </c>
      <c r="I315" s="23">
        <v>559</v>
      </c>
      <c r="J315" s="22" t="s">
        <v>719</v>
      </c>
    </row>
    <row r="316" spans="8:10">
      <c r="H316" s="22" t="s">
        <v>720</v>
      </c>
      <c r="I316" s="23">
        <v>544</v>
      </c>
      <c r="J316" s="22" t="s">
        <v>720</v>
      </c>
    </row>
    <row r="317" spans="8:10">
      <c r="H317" s="22" t="s">
        <v>721</v>
      </c>
      <c r="I317" s="23">
        <v>533</v>
      </c>
      <c r="J317" s="22" t="s">
        <v>721</v>
      </c>
    </row>
    <row r="318" spans="8:10">
      <c r="H318" s="22" t="s">
        <v>722</v>
      </c>
      <c r="I318" s="23">
        <v>572</v>
      </c>
      <c r="J318" s="22" t="s">
        <v>722</v>
      </c>
    </row>
    <row r="319" spans="8:10">
      <c r="H319" s="22" t="s">
        <v>723</v>
      </c>
      <c r="I319" s="23">
        <v>564</v>
      </c>
      <c r="J319" s="22" t="s">
        <v>723</v>
      </c>
    </row>
    <row r="320" spans="8:10">
      <c r="H320" s="22" t="s">
        <v>724</v>
      </c>
      <c r="I320" s="23">
        <v>547</v>
      </c>
      <c r="J320" s="22" t="s">
        <v>724</v>
      </c>
    </row>
    <row r="321" spans="8:10">
      <c r="H321" s="22" t="s">
        <v>725</v>
      </c>
      <c r="I321" s="23">
        <v>548</v>
      </c>
      <c r="J321" s="22" t="s">
        <v>725</v>
      </c>
    </row>
    <row r="322" spans="8:10">
      <c r="H322" s="22" t="s">
        <v>726</v>
      </c>
      <c r="I322" s="23">
        <v>540</v>
      </c>
      <c r="J322" s="22" t="s">
        <v>726</v>
      </c>
    </row>
    <row r="323" spans="8:10">
      <c r="H323" s="22" t="s">
        <v>727</v>
      </c>
      <c r="I323" s="23">
        <v>549</v>
      </c>
      <c r="J323" s="22" t="s">
        <v>727</v>
      </c>
    </row>
    <row r="324" spans="8:10">
      <c r="H324" s="22" t="s">
        <v>728</v>
      </c>
      <c r="I324" s="23">
        <v>556</v>
      </c>
      <c r="J324" s="22" t="s">
        <v>728</v>
      </c>
    </row>
    <row r="325" spans="8:10">
      <c r="H325" s="22" t="s">
        <v>729</v>
      </c>
      <c r="I325" s="23">
        <v>541</v>
      </c>
      <c r="J325" s="22" t="s">
        <v>729</v>
      </c>
    </row>
    <row r="326" spans="8:10">
      <c r="H326" s="22" t="s">
        <v>730</v>
      </c>
      <c r="I326" s="23">
        <v>553</v>
      </c>
      <c r="J326" s="22" t="s">
        <v>730</v>
      </c>
    </row>
    <row r="327" spans="8:10">
      <c r="H327" s="22" t="s">
        <v>731</v>
      </c>
      <c r="I327" s="23">
        <v>551</v>
      </c>
      <c r="J327" s="22" t="s">
        <v>731</v>
      </c>
    </row>
    <row r="328" spans="8:10">
      <c r="H328" s="22" t="s">
        <v>732</v>
      </c>
      <c r="I328" s="23">
        <v>546</v>
      </c>
      <c r="J328" s="22" t="s">
        <v>732</v>
      </c>
    </row>
    <row r="329" spans="8:10">
      <c r="H329" s="22" t="s">
        <v>733</v>
      </c>
      <c r="I329" s="23">
        <v>539</v>
      </c>
      <c r="J329" s="22" t="s">
        <v>733</v>
      </c>
    </row>
    <row r="330" spans="8:10">
      <c r="H330" s="22" t="s">
        <v>734</v>
      </c>
      <c r="I330" s="23">
        <v>545</v>
      </c>
      <c r="J330" s="22" t="s">
        <v>734</v>
      </c>
    </row>
    <row r="331" spans="8:10">
      <c r="H331" s="22" t="s">
        <v>735</v>
      </c>
      <c r="I331" s="23">
        <v>543</v>
      </c>
      <c r="J331" s="22" t="s">
        <v>735</v>
      </c>
    </row>
    <row r="332" spans="8:10">
      <c r="H332" s="22" t="s">
        <v>736</v>
      </c>
      <c r="I332" s="23">
        <v>561</v>
      </c>
      <c r="J332" s="22" t="s">
        <v>736</v>
      </c>
    </row>
    <row r="333" spans="8:10">
      <c r="H333" s="22" t="s">
        <v>737</v>
      </c>
      <c r="I333" s="23">
        <v>560</v>
      </c>
      <c r="J333" s="22" t="s">
        <v>737</v>
      </c>
    </row>
    <row r="334" spans="8:10">
      <c r="H334" s="22" t="s">
        <v>738</v>
      </c>
      <c r="I334" s="23">
        <v>542</v>
      </c>
      <c r="J334" s="22" t="s">
        <v>738</v>
      </c>
    </row>
    <row r="335" spans="8:10">
      <c r="H335" s="22" t="s">
        <v>739</v>
      </c>
      <c r="I335" s="23">
        <v>538</v>
      </c>
      <c r="J335" s="22" t="s">
        <v>739</v>
      </c>
    </row>
    <row r="336" spans="8:10">
      <c r="H336" s="22" t="s">
        <v>740</v>
      </c>
      <c r="I336" s="23">
        <v>552</v>
      </c>
      <c r="J336" s="22" t="s">
        <v>740</v>
      </c>
    </row>
    <row r="337" spans="8:10">
      <c r="H337" s="22" t="s">
        <v>741</v>
      </c>
      <c r="I337" s="23">
        <v>550</v>
      </c>
      <c r="J337" s="22" t="s">
        <v>741</v>
      </c>
    </row>
    <row r="338" spans="8:10">
      <c r="H338" s="22" t="s">
        <v>892</v>
      </c>
      <c r="I338" s="23">
        <v>103</v>
      </c>
      <c r="J338" s="22" t="s">
        <v>892</v>
      </c>
    </row>
    <row r="339" spans="8:10">
      <c r="H339" s="22" t="s">
        <v>146</v>
      </c>
      <c r="I339" s="23">
        <v>99</v>
      </c>
      <c r="J339" s="22" t="s">
        <v>146</v>
      </c>
    </row>
    <row r="340" spans="8:10">
      <c r="H340" s="22" t="s">
        <v>147</v>
      </c>
      <c r="I340" s="23">
        <v>101</v>
      </c>
      <c r="J340" s="22" t="s">
        <v>147</v>
      </c>
    </row>
    <row r="341" spans="8:10">
      <c r="H341" s="22" t="s">
        <v>148</v>
      </c>
      <c r="I341" s="23">
        <v>100</v>
      </c>
      <c r="J341" s="22" t="s">
        <v>148</v>
      </c>
    </row>
    <row r="342" spans="8:10">
      <c r="H342" s="22" t="s">
        <v>149</v>
      </c>
      <c r="I342" s="23">
        <v>102</v>
      </c>
      <c r="J342" s="22" t="s">
        <v>149</v>
      </c>
    </row>
    <row r="343" spans="8:10">
      <c r="H343" s="22" t="s">
        <v>893</v>
      </c>
      <c r="I343" s="23">
        <v>2151</v>
      </c>
      <c r="J343" s="22" t="s">
        <v>893</v>
      </c>
    </row>
    <row r="344" spans="8:10">
      <c r="H344" s="22" t="s">
        <v>592</v>
      </c>
      <c r="I344" s="23">
        <v>397</v>
      </c>
      <c r="J344" s="22" t="s">
        <v>592</v>
      </c>
    </row>
    <row r="345" spans="8:10">
      <c r="H345" s="22" t="s">
        <v>894</v>
      </c>
      <c r="I345" s="23">
        <v>643</v>
      </c>
      <c r="J345" s="22" t="s">
        <v>894</v>
      </c>
    </row>
    <row r="346" spans="8:10">
      <c r="H346" s="22" t="s">
        <v>895</v>
      </c>
      <c r="I346" s="23">
        <v>614</v>
      </c>
      <c r="J346" s="22" t="s">
        <v>895</v>
      </c>
    </row>
    <row r="347" spans="8:10">
      <c r="H347" s="22" t="s">
        <v>896</v>
      </c>
      <c r="I347" s="23">
        <v>619</v>
      </c>
      <c r="J347" s="22" t="s">
        <v>896</v>
      </c>
    </row>
    <row r="348" spans="8:10">
      <c r="H348" s="22" t="s">
        <v>897</v>
      </c>
      <c r="I348" s="23">
        <v>616</v>
      </c>
      <c r="J348" s="22" t="s">
        <v>897</v>
      </c>
    </row>
    <row r="349" spans="8:10">
      <c r="H349" s="22" t="s">
        <v>898</v>
      </c>
      <c r="I349" s="23">
        <v>621</v>
      </c>
      <c r="J349" s="22" t="s">
        <v>898</v>
      </c>
    </row>
    <row r="350" spans="8:10">
      <c r="H350" s="22" t="s">
        <v>899</v>
      </c>
      <c r="I350" s="23">
        <v>615</v>
      </c>
      <c r="J350" s="22" t="s">
        <v>899</v>
      </c>
    </row>
    <row r="351" spans="8:10">
      <c r="H351" s="22" t="s">
        <v>900</v>
      </c>
      <c r="I351" s="23">
        <v>624</v>
      </c>
      <c r="J351" s="22" t="s">
        <v>900</v>
      </c>
    </row>
    <row r="352" spans="8:10">
      <c r="H352" s="22" t="s">
        <v>901</v>
      </c>
      <c r="I352" s="25">
        <v>618</v>
      </c>
      <c r="J352" s="22" t="s">
        <v>901</v>
      </c>
    </row>
    <row r="353" spans="8:10">
      <c r="H353" s="22" t="s">
        <v>902</v>
      </c>
      <c r="I353" s="25">
        <v>623</v>
      </c>
      <c r="J353" s="22" t="s">
        <v>902</v>
      </c>
    </row>
    <row r="354" spans="8:10">
      <c r="H354" s="22" t="s">
        <v>903</v>
      </c>
      <c r="I354" s="25">
        <v>620</v>
      </c>
      <c r="J354" s="22" t="s">
        <v>903</v>
      </c>
    </row>
    <row r="355" spans="8:10">
      <c r="H355" s="22" t="s">
        <v>904</v>
      </c>
      <c r="I355" s="25">
        <v>647</v>
      </c>
      <c r="J355" s="22" t="s">
        <v>904</v>
      </c>
    </row>
    <row r="356" spans="8:10">
      <c r="H356" s="22" t="s">
        <v>905</v>
      </c>
      <c r="I356" s="25">
        <v>648</v>
      </c>
      <c r="J356" s="22" t="s">
        <v>905</v>
      </c>
    </row>
    <row r="357" spans="8:10">
      <c r="H357" s="22" t="s">
        <v>906</v>
      </c>
      <c r="I357" s="25">
        <v>613</v>
      </c>
      <c r="J357" s="22" t="s">
        <v>906</v>
      </c>
    </row>
    <row r="358" spans="8:10">
      <c r="H358" s="22" t="s">
        <v>907</v>
      </c>
      <c r="I358" s="25">
        <v>617</v>
      </c>
      <c r="J358" s="22" t="s">
        <v>907</v>
      </c>
    </row>
    <row r="359" spans="8:10">
      <c r="H359" s="22" t="s">
        <v>908</v>
      </c>
      <c r="I359" s="25">
        <v>622</v>
      </c>
      <c r="J359" s="22" t="s">
        <v>908</v>
      </c>
    </row>
    <row r="360" spans="8:10">
      <c r="H360" s="22" t="s">
        <v>909</v>
      </c>
      <c r="I360" s="25">
        <v>2204</v>
      </c>
      <c r="J360" s="22" t="s">
        <v>909</v>
      </c>
    </row>
    <row r="361" spans="8:10">
      <c r="H361" s="22" t="s">
        <v>910</v>
      </c>
      <c r="I361" s="25">
        <v>2157</v>
      </c>
      <c r="J361" s="22" t="s">
        <v>910</v>
      </c>
    </row>
    <row r="362" spans="8:10">
      <c r="H362" s="22" t="s">
        <v>911</v>
      </c>
      <c r="I362" s="25">
        <v>2302</v>
      </c>
      <c r="J362" s="22" t="s">
        <v>911</v>
      </c>
    </row>
    <row r="363" spans="8:10">
      <c r="H363" s="22" t="s">
        <v>912</v>
      </c>
      <c r="I363" s="25">
        <v>2301</v>
      </c>
      <c r="J363" s="22" t="s">
        <v>912</v>
      </c>
    </row>
    <row r="364" spans="8:10">
      <c r="H364" s="22" t="s">
        <v>913</v>
      </c>
      <c r="I364" s="25">
        <v>2303</v>
      </c>
      <c r="J364" s="22" t="s">
        <v>913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Stocks"/>
  <dimension ref="A1:X15"/>
  <sheetViews>
    <sheetView showGridLines="0" tabSelected="1" workbookViewId="0">
      <pane xSplit="2" topLeftCell="C1" activePane="topRight" state="frozen"/>
      <selection pane="topRight" activeCell="K4" sqref="K4"/>
    </sheetView>
  </sheetViews>
  <sheetFormatPr defaultRowHeight="15"/>
  <cols>
    <col min="1" max="1" width="16.5703125" bestFit="1" customWidth="1"/>
    <col min="3" max="3" width="2.7109375" style="31" customWidth="1"/>
    <col min="4" max="4" width="9.140625" style="31" customWidth="1"/>
    <col min="5" max="5" width="9.7109375" style="31" customWidth="1"/>
    <col min="6" max="6" width="9.7109375" style="30" customWidth="1"/>
    <col min="7" max="7" width="14.85546875" style="33" bestFit="1" customWidth="1"/>
    <col min="8" max="8" width="2.5703125" style="32" customWidth="1"/>
    <col min="10" max="10" width="2" customWidth="1"/>
    <col min="12" max="15" width="9.140625" style="45"/>
    <col min="16" max="16" width="3" style="31" customWidth="1"/>
    <col min="17" max="17" width="10.140625" style="30" bestFit="1" customWidth="1"/>
    <col min="18" max="18" width="9.140625" style="41"/>
    <col min="19" max="19" width="2.5703125" customWidth="1"/>
    <col min="20" max="20" width="9.140625" style="39"/>
    <col min="21" max="21" width="9.140625" style="41"/>
    <col min="23" max="23" width="11.140625" style="42" bestFit="1" customWidth="1"/>
    <col min="24" max="24" width="9.140625" style="31"/>
  </cols>
  <sheetData>
    <row r="1" spans="1:24" s="36" customFormat="1" ht="18" customHeight="1">
      <c r="A1" s="36" t="s">
        <v>922</v>
      </c>
      <c r="B1" s="36" t="s">
        <v>923</v>
      </c>
      <c r="C1" s="37"/>
      <c r="D1" s="37"/>
      <c r="E1" s="37"/>
      <c r="F1" s="34"/>
      <c r="G1" s="34">
        <v>41558.601446759261</v>
      </c>
      <c r="H1" s="38"/>
      <c r="I1" s="35" t="s">
        <v>928</v>
      </c>
      <c r="K1" s="36" t="s">
        <v>929</v>
      </c>
      <c r="L1" s="44" t="s">
        <v>930</v>
      </c>
      <c r="M1" s="44" t="s">
        <v>931</v>
      </c>
      <c r="N1" s="44" t="s">
        <v>932</v>
      </c>
      <c r="O1" s="44" t="s">
        <v>933</v>
      </c>
      <c r="P1" s="37"/>
      <c r="Q1" s="47">
        <f ca="1">AVERAGE(RNG)</f>
        <v>-2.7683850762859452E-2</v>
      </c>
      <c r="R1" s="48">
        <f ca="1">SUM(RNG)</f>
        <v>-35.385530007337564</v>
      </c>
      <c r="T1" s="47">
        <f ca="1">AVERAGE(RNG)</f>
        <v>-5.4600000000000004E-3</v>
      </c>
      <c r="U1" s="48">
        <f ca="1">SUM(RNG)</f>
        <v>-5.7502019999999998</v>
      </c>
      <c r="W1" s="48">
        <f ca="1">SUM(RNG)</f>
        <v>-0.52500400000000069</v>
      </c>
      <c r="X1" s="43">
        <v>41557.428113425929</v>
      </c>
    </row>
    <row r="2" spans="1:24" ht="15.75">
      <c r="A2" s="40" t="s">
        <v>936</v>
      </c>
      <c r="B2" t="s">
        <v>937</v>
      </c>
      <c r="C2" s="32">
        <v>-1</v>
      </c>
      <c r="D2" s="31">
        <v>293.2</v>
      </c>
      <c r="E2" s="31">
        <v>0.3</v>
      </c>
      <c r="F2" s="39">
        <v>1E-3</v>
      </c>
      <c r="G2" s="33">
        <f t="shared" ref="G2:G6" si="0">IF(H2*E2&gt;0,1,0)</f>
        <v>0</v>
      </c>
      <c r="H2" s="32">
        <v>-1</v>
      </c>
      <c r="K2">
        <v>1</v>
      </c>
      <c r="N2" s="45">
        <v>265.32</v>
      </c>
      <c r="O2" s="45">
        <v>305.7</v>
      </c>
      <c r="Q2" s="30">
        <f t="shared" ref="Q2:Q6" si="1">IF(ISBLANK(D2),"",IF(ISNUMBER(N2),H2*(D2-N2)/N2,""))</f>
        <v>-0.10508065731946327</v>
      </c>
      <c r="R2" s="41">
        <f t="shared" ref="R2:R6" si="2">IF(ISBLANK(D2),"",Q2*O2)</f>
        <v>-32.123156942559923</v>
      </c>
      <c r="S2" s="31"/>
      <c r="T2" s="39">
        <f t="shared" ref="T2:T6" si="3">IF(ISBLANK(D2),"",IFERROR(F2*H2,0))</f>
        <v>-1E-3</v>
      </c>
      <c r="U2" s="41">
        <f t="shared" ref="U2:U6" si="4">IF(ISBLANK(D2),"",T2*O2)</f>
        <v>-0.30569999999999997</v>
      </c>
      <c r="W2" s="41">
        <f t="shared" ref="W2:W6" si="5">IF(ISBLANK(D2),"",U2-X2)</f>
        <v>1.4062199999999998</v>
      </c>
      <c r="X2" s="46">
        <v>-1.7119199999999999</v>
      </c>
    </row>
    <row r="3" spans="1:24">
      <c r="A3" t="s">
        <v>924</v>
      </c>
      <c r="B3" t="s">
        <v>925</v>
      </c>
      <c r="C3" s="32">
        <v>-1</v>
      </c>
      <c r="D3" s="31">
        <v>210.8</v>
      </c>
      <c r="E3" s="31">
        <v>1.3</v>
      </c>
      <c r="F3" s="39">
        <v>6.1999999999999998E-3</v>
      </c>
      <c r="G3" s="33">
        <f t="shared" si="0"/>
        <v>0</v>
      </c>
      <c r="H3" s="32">
        <v>-1</v>
      </c>
      <c r="K3">
        <v>100</v>
      </c>
      <c r="N3" s="45">
        <v>225</v>
      </c>
      <c r="O3" s="45">
        <v>225</v>
      </c>
      <c r="Q3" s="30">
        <f t="shared" si="1"/>
        <v>6.3111111111111062E-2</v>
      </c>
      <c r="R3" s="41">
        <f t="shared" si="2"/>
        <v>14.199999999999989</v>
      </c>
      <c r="S3" s="31"/>
      <c r="T3" s="39">
        <f t="shared" si="3"/>
        <v>-6.1999999999999998E-3</v>
      </c>
      <c r="U3" s="41">
        <f t="shared" si="4"/>
        <v>-1.395</v>
      </c>
      <c r="W3" s="41">
        <f t="shared" si="5"/>
        <v>-1.395</v>
      </c>
      <c r="X3" s="46">
        <v>0</v>
      </c>
    </row>
    <row r="4" spans="1:24">
      <c r="A4" t="s">
        <v>926</v>
      </c>
      <c r="B4" t="s">
        <v>927</v>
      </c>
      <c r="C4" s="32">
        <v>-1</v>
      </c>
      <c r="D4" s="31">
        <v>854</v>
      </c>
      <c r="E4" s="31">
        <v>4.5</v>
      </c>
      <c r="F4" s="39">
        <v>5.3E-3</v>
      </c>
      <c r="G4" s="33">
        <f t="shared" si="0"/>
        <v>0</v>
      </c>
      <c r="H4" s="32">
        <v>-1</v>
      </c>
      <c r="K4">
        <v>25</v>
      </c>
      <c r="L4" s="45">
        <v>750.4</v>
      </c>
      <c r="N4" s="45">
        <v>837.68</v>
      </c>
      <c r="O4" s="45">
        <v>209.42</v>
      </c>
      <c r="Q4" s="30">
        <f t="shared" si="1"/>
        <v>-1.9482379906408234E-2</v>
      </c>
      <c r="R4" s="41">
        <f t="shared" si="2"/>
        <v>-4.0800000000000125</v>
      </c>
      <c r="S4" s="31"/>
      <c r="T4" s="39">
        <f t="shared" si="3"/>
        <v>-5.3E-3</v>
      </c>
      <c r="U4" s="41">
        <f t="shared" si="4"/>
        <v>-1.109926</v>
      </c>
      <c r="W4" s="41">
        <f t="shared" si="5"/>
        <v>1.9266639999999999</v>
      </c>
      <c r="X4" s="46">
        <v>-3.0365899999999999</v>
      </c>
    </row>
    <row r="5" spans="1:24">
      <c r="A5" t="s">
        <v>934</v>
      </c>
      <c r="B5" t="s">
        <v>935</v>
      </c>
      <c r="C5" s="32">
        <v>-1</v>
      </c>
      <c r="D5" s="31">
        <v>1949.5</v>
      </c>
      <c r="E5" s="31">
        <v>28.5</v>
      </c>
      <c r="F5" s="39">
        <v>1.4800000000000001E-2</v>
      </c>
      <c r="G5" s="33">
        <f t="shared" si="0"/>
        <v>0</v>
      </c>
      <c r="H5" s="32">
        <v>-1</v>
      </c>
      <c r="K5">
        <v>5</v>
      </c>
      <c r="N5" s="45">
        <v>1986.18</v>
      </c>
      <c r="O5" s="45">
        <v>198.62</v>
      </c>
      <c r="Q5" s="30">
        <f t="shared" si="1"/>
        <v>1.8467611193346053E-2</v>
      </c>
      <c r="R5" s="41">
        <f t="shared" si="2"/>
        <v>3.6680369352223932</v>
      </c>
      <c r="S5" s="31"/>
      <c r="T5" s="39">
        <f t="shared" si="3"/>
        <v>-1.4800000000000001E-2</v>
      </c>
      <c r="U5" s="41">
        <f t="shared" si="4"/>
        <v>-2.9395760000000002</v>
      </c>
      <c r="W5" s="41">
        <f t="shared" si="5"/>
        <v>-2.4628880000000004</v>
      </c>
      <c r="X5" s="46">
        <v>-0.47668799999999995</v>
      </c>
    </row>
    <row r="6" spans="1:24" ht="15.75">
      <c r="A6" s="40" t="s">
        <v>938</v>
      </c>
      <c r="B6" s="40" t="s">
        <v>939</v>
      </c>
      <c r="C6" s="32">
        <v>-1</v>
      </c>
      <c r="D6" s="31">
        <v>60.95</v>
      </c>
      <c r="E6" s="31">
        <v>0</v>
      </c>
      <c r="F6" s="39" t="s">
        <v>940</v>
      </c>
      <c r="G6" s="33">
        <f t="shared" si="0"/>
        <v>0</v>
      </c>
      <c r="H6" s="32">
        <v>-1</v>
      </c>
      <c r="K6">
        <v>5</v>
      </c>
      <c r="N6" s="45">
        <v>55.64</v>
      </c>
      <c r="O6" s="45">
        <v>178.66003999999998</v>
      </c>
      <c r="Q6" s="30">
        <f t="shared" si="1"/>
        <v>-9.5434938892882862E-2</v>
      </c>
      <c r="R6" s="41">
        <f t="shared" si="2"/>
        <v>-17.050410000000007</v>
      </c>
      <c r="S6" s="31"/>
      <c r="T6" s="39">
        <f t="shared" si="3"/>
        <v>0</v>
      </c>
      <c r="U6" s="41">
        <f t="shared" si="4"/>
        <v>0</v>
      </c>
      <c r="W6" s="41">
        <f t="shared" si="5"/>
        <v>0</v>
      </c>
      <c r="X6" s="46">
        <v>0</v>
      </c>
    </row>
    <row r="7" spans="1:24" ht="15.75">
      <c r="A7" s="40"/>
    </row>
    <row r="8" spans="1:24" ht="15.75">
      <c r="A8" s="40"/>
    </row>
    <row r="9" spans="1:24" ht="15.75">
      <c r="A9" s="40"/>
      <c r="B9" s="40"/>
    </row>
    <row r="10" spans="1:24" ht="15.75">
      <c r="A10" s="40"/>
      <c r="B10" s="40"/>
    </row>
    <row r="11" spans="1:24" ht="15.75">
      <c r="B11" s="40"/>
    </row>
    <row r="12" spans="1:24" ht="15.75">
      <c r="B12" s="40"/>
    </row>
    <row r="13" spans="1:24" ht="15.75">
      <c r="B13" s="40"/>
    </row>
    <row r="14" spans="1:24" ht="15.75">
      <c r="B14" s="40"/>
    </row>
    <row r="15" spans="1:24" ht="15.75">
      <c r="B15" s="40"/>
    </row>
  </sheetData>
  <sheetProtection formatCells="0" formatColumns="0" formatRows="0" insertRows="0" insertHyperlinks="0" deleteRows="0" sort="0" autoFilter="0" pivotTables="0"/>
  <sortState ref="A2:X7">
    <sortCondition descending="1" ref="O2:O13"/>
  </sortState>
  <conditionalFormatting sqref="C1:C1048576">
    <cfRule type="iconSet" priority="1248">
      <iconSet iconSet="3Arrows">
        <cfvo type="percent" val="0"/>
        <cfvo type="num" val="0" gte="0"/>
        <cfvo type="num" val="1"/>
      </iconSet>
    </cfRule>
  </conditionalFormatting>
  <conditionalFormatting sqref="D1:F1048576">
    <cfRule type="expression" dxfId="5" priority="1249">
      <formula>IF($E1&lt;0,1,0)</formula>
    </cfRule>
    <cfRule type="expression" dxfId="4" priority="1250">
      <formula>IF($E1&gt;0,1,0)</formula>
    </cfRule>
  </conditionalFormatting>
  <conditionalFormatting sqref="Q1:R1048576 W1:W1048576 T1:U1048576">
    <cfRule type="cellIs" dxfId="3" priority="1255" operator="lessThan">
      <formula>0</formula>
    </cfRule>
    <cfRule type="cellIs" dxfId="2" priority="1256" operator="greaterThan">
      <formula>0</formula>
    </cfRule>
  </conditionalFormatting>
  <conditionalFormatting sqref="A1:B1048576">
    <cfRule type="expression" dxfId="1" priority="1274">
      <formula>IF($C1=1,1,0)</formula>
    </cfRule>
    <cfRule type="expression" dxfId="0" priority="1275">
      <formula>IF($C1=-1,1,0)</formula>
    </cfRule>
  </conditionalFormatting>
  <conditionalFormatting sqref="C2:C6">
    <cfRule type="iconSet" priority="1309">
      <iconSet iconSet="3Arrows">
        <cfvo type="percent" val="0"/>
        <cfvo type="num" val="0" gte="0"/>
        <cfvo type="num" val="1"/>
      </iconSet>
    </cfRule>
  </conditionalFormatting>
  <conditionalFormatting sqref="G2:G6">
    <cfRule type="iconSet" priority="1319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61C9AA31A3454AB3885BBEA625C41C" ma:contentTypeVersion="5" ma:contentTypeDescription="Create a new document." ma:contentTypeScope="" ma:versionID="e05aef89af4f7ad1cc06c824240a48d9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2d9f53027e0e86f806c5f46fb149790f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EmailSender" minOccurs="0"/>
                <xsd:element ref="ns1:EmailTo" minOccurs="0"/>
                <xsd:element ref="ns1:EmailCc" minOccurs="0"/>
                <xsd:element ref="ns1:EmailFrom" minOccurs="0"/>
                <xsd:element ref="ns1:EmailSubject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EmailSender" ma:index="8" nillable="true" ma:displayName="E-Mail Sender" ma:hidden="true" ma:internalName="EmailSender">
      <xsd:simpleType>
        <xsd:restriction base="dms:Note"/>
      </xsd:simpleType>
    </xsd:element>
    <xsd:element name="EmailTo" ma:index="9" nillable="true" ma:displayName="E-Mail To" ma:hidden="true" ma:internalName="EmailTo">
      <xsd:simpleType>
        <xsd:restriction base="dms:Note"/>
      </xsd:simpleType>
    </xsd:element>
    <xsd:element name="EmailCc" ma:index="10" nillable="true" ma:displayName="E-Mail Cc" ma:hidden="true" ma:internalName="EmailCc">
      <xsd:simpleType>
        <xsd:restriction base="dms:Note"/>
      </xsd:simpleType>
    </xsd:element>
    <xsd:element name="EmailFrom" ma:index="11" nillable="true" ma:displayName="E-Mail From" ma:hidden="true" ma:internalName="EmailFrom">
      <xsd:simpleType>
        <xsd:restriction base="dms:Text"/>
      </xsd:simpleType>
    </xsd:element>
    <xsd:element name="EmailSubject" ma:index="12" nillable="true" ma:displayName="E-Mail Subject" ma:hidden="true" ma:internalName="EmailSubject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mailTo xmlns="http://schemas.microsoft.com/sharepoint/v3" xsi:nil="true"/>
    <EmailSender xmlns="http://schemas.microsoft.com/sharepoint/v3" xsi:nil="true"/>
    <EmailFrom xmlns="http://schemas.microsoft.com/sharepoint/v3" xsi:nil="true"/>
    <EmailSubject xmlns="http://schemas.microsoft.com/sharepoint/v3" xsi:nil="true"/>
    <EmailCc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DF6832-8A80-45F6-82A5-3E3212FF9C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B9C4D81-92BE-4819-A14B-CE4080F5D084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738D3FB-05AC-476D-BB13-87EF0380571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AddCase</vt:lpstr>
      <vt:lpstr>data</vt:lpstr>
      <vt:lpstr>Sheet1</vt:lpstr>
    </vt:vector>
  </TitlesOfParts>
  <Company>Euroconex Technologies Ltd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gxciesi</dc:creator>
  <cp:lastModifiedBy>txmieln</cp:lastModifiedBy>
  <dcterms:created xsi:type="dcterms:W3CDTF">2009-06-30T10:12:25Z</dcterms:created>
  <dcterms:modified xsi:type="dcterms:W3CDTF">2013-10-11T12:26:26Z</dcterms:modified>
</cp:coreProperties>
</file>